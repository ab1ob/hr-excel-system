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bud\Downloads\"/>
    </mc:Choice>
  </mc:AlternateContent>
  <xr:revisionPtr revIDLastSave="0" documentId="13_ncr:1_{9BE040B0-03E9-47EF-869F-67AE0B64B343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🏠 لوحة التحكم" sheetId="1" r:id="rId1"/>
    <sheet name="⚙️ الإعدادات" sheetId="10" r:id="rId2"/>
    <sheet name="👥 بيانات الموظفين" sheetId="2" r:id="rId3"/>
    <sheet name="📅 الحضور" sheetId="3" r:id="rId4"/>
    <sheet name="💰 الرواتب" sheetId="4" r:id="rId5"/>
    <sheet name="🌴 الإجازات" sheetId="5" r:id="rId6"/>
    <sheet name="➕ الخصومات والمكافآت" sheetId="6" r:id="rId7"/>
    <sheet name="📊 KPI الأداء" sheetId="7" r:id="rId8"/>
    <sheet name="🎯 التوظيف" sheetId="8" r:id="rId9"/>
    <sheet name="📈 التقارير" sheetId="9" r:id="rId10"/>
  </sheets>
  <definedNames>
    <definedName name="Currency">'⚙️ الإعدادات'!$B$17</definedName>
    <definedName name="ExpiryWarnDays">'⚙️ الإعدادات'!$B$18</definedName>
    <definedName name="GosiCeiling">'⚙️ الإعدادات'!$B$14</definedName>
    <definedName name="GosiCoRate">'⚙️ الإعدادات'!$B$13</definedName>
    <definedName name="GosiEmpRate">'⚙️ الإعدادات'!$B$12</definedName>
    <definedName name="LeaveDaysJunior">'⚙️ الإعدادات'!$B$15</definedName>
    <definedName name="LeaveDaysSenior">'⚙️ الإعدادات'!$B$16</definedName>
    <definedName name="ListAttState">'⚙️ الإعدادات'!$F$5:$F$9</definedName>
    <definedName name="ListContractType">'⚙️ الإعدادات'!$H$5:$H$8</definedName>
    <definedName name="ListDepts">'⚙️ الإعدادات'!$D$5:$D$12</definedName>
    <definedName name="ListLeaveStatus">'⚙️ الإعدادات'!$I$5:$I$8</definedName>
    <definedName name="ListLeaveType">'⚙️ الإعدادات'!$G$5:$G$12</definedName>
    <definedName name="ListStatus">'⚙️ الإعدادات'!$E$5:$E$8</definedName>
    <definedName name="OTRateHoliday">'⚙️ الإعدادات'!$B$11</definedName>
    <definedName name="OTRateRegular">'⚙️ الإعدادات'!$B$10</definedName>
    <definedName name="PayMonth">'⚙️ الإعدادات'!$B$4</definedName>
    <definedName name="PayPeriod">'⚙️ الإعدادات'!$B$6</definedName>
    <definedName name="PayYear">'⚙️ الإعدادات'!$B$5</definedName>
    <definedName name="WorkDaysMonth">'⚙️ الإعدادات'!$B$7</definedName>
    <definedName name="WorkHoursDay">'⚙️ الإعدادات'!$B$8</definedName>
    <definedName name="WorkHoursMonth">'⚙️ الإعدادات'!$B$9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8" l="1"/>
  <c r="C16" i="8"/>
  <c r="C15" i="8"/>
  <c r="G14" i="8"/>
  <c r="C14" i="8"/>
  <c r="G13" i="8"/>
  <c r="C13" i="8"/>
  <c r="G12" i="8"/>
  <c r="C12" i="8"/>
  <c r="C11" i="8"/>
  <c r="G10" i="8"/>
  <c r="C10" i="8"/>
  <c r="G9" i="8"/>
  <c r="C9" i="8"/>
  <c r="C8" i="8"/>
  <c r="G7" i="8"/>
  <c r="C7" i="8"/>
  <c r="K6" i="8"/>
  <c r="G6" i="8"/>
  <c r="C6" i="8"/>
  <c r="K5" i="8"/>
  <c r="G5" i="8"/>
  <c r="C5" i="8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G431" i="3"/>
  <c r="F431" i="3"/>
  <c r="D431" i="3"/>
  <c r="G430" i="3"/>
  <c r="F430" i="3"/>
  <c r="D430" i="3"/>
  <c r="G429" i="3"/>
  <c r="F429" i="3"/>
  <c r="D429" i="3"/>
  <c r="G428" i="3"/>
  <c r="F428" i="3"/>
  <c r="D428" i="3"/>
  <c r="G427" i="3"/>
  <c r="F427" i="3"/>
  <c r="D427" i="3"/>
  <c r="G426" i="3"/>
  <c r="F426" i="3"/>
  <c r="D426" i="3"/>
  <c r="G425" i="3"/>
  <c r="F425" i="3"/>
  <c r="D425" i="3"/>
  <c r="G424" i="3"/>
  <c r="F424" i="3"/>
  <c r="D424" i="3"/>
  <c r="G423" i="3"/>
  <c r="F423" i="3"/>
  <c r="D423" i="3"/>
  <c r="G422" i="3"/>
  <c r="F422" i="3"/>
  <c r="D422" i="3"/>
  <c r="G421" i="3"/>
  <c r="F421" i="3"/>
  <c r="D421" i="3"/>
  <c r="G420" i="3"/>
  <c r="F420" i="3"/>
  <c r="D420" i="3"/>
  <c r="G419" i="3"/>
  <c r="F419" i="3"/>
  <c r="D419" i="3"/>
  <c r="G418" i="3"/>
  <c r="F418" i="3"/>
  <c r="D418" i="3"/>
  <c r="G417" i="3"/>
  <c r="F417" i="3"/>
  <c r="D417" i="3"/>
  <c r="G416" i="3"/>
  <c r="F416" i="3"/>
  <c r="D416" i="3"/>
  <c r="G415" i="3"/>
  <c r="F415" i="3"/>
  <c r="D415" i="3"/>
  <c r="G414" i="3"/>
  <c r="F414" i="3"/>
  <c r="D414" i="3"/>
  <c r="G413" i="3"/>
  <c r="F413" i="3"/>
  <c r="D413" i="3"/>
  <c r="G412" i="3"/>
  <c r="F412" i="3"/>
  <c r="D412" i="3"/>
  <c r="G411" i="3"/>
  <c r="F411" i="3"/>
  <c r="D411" i="3"/>
  <c r="G410" i="3"/>
  <c r="F410" i="3"/>
  <c r="D410" i="3"/>
  <c r="G409" i="3"/>
  <c r="F409" i="3"/>
  <c r="D409" i="3"/>
  <c r="G408" i="3"/>
  <c r="F408" i="3"/>
  <c r="D408" i="3"/>
  <c r="G407" i="3"/>
  <c r="F407" i="3"/>
  <c r="D407" i="3"/>
  <c r="G406" i="3"/>
  <c r="F406" i="3"/>
  <c r="D406" i="3"/>
  <c r="G405" i="3"/>
  <c r="F405" i="3"/>
  <c r="D405" i="3"/>
  <c r="G404" i="3"/>
  <c r="F404" i="3"/>
  <c r="D404" i="3"/>
  <c r="G403" i="3"/>
  <c r="F403" i="3"/>
  <c r="D403" i="3"/>
  <c r="G402" i="3"/>
  <c r="F402" i="3"/>
  <c r="D402" i="3"/>
  <c r="G401" i="3"/>
  <c r="F401" i="3"/>
  <c r="D401" i="3"/>
  <c r="G400" i="3"/>
  <c r="F400" i="3"/>
  <c r="D400" i="3"/>
  <c r="G399" i="3"/>
  <c r="F399" i="3"/>
  <c r="D399" i="3"/>
  <c r="G398" i="3"/>
  <c r="F398" i="3"/>
  <c r="D398" i="3"/>
  <c r="G397" i="3"/>
  <c r="F397" i="3"/>
  <c r="D397" i="3"/>
  <c r="G396" i="3"/>
  <c r="F396" i="3"/>
  <c r="D396" i="3"/>
  <c r="G395" i="3"/>
  <c r="F395" i="3"/>
  <c r="D395" i="3"/>
  <c r="G394" i="3"/>
  <c r="F394" i="3"/>
  <c r="D394" i="3"/>
  <c r="G393" i="3"/>
  <c r="F393" i="3"/>
  <c r="D393" i="3"/>
  <c r="G392" i="3"/>
  <c r="F392" i="3"/>
  <c r="D392" i="3"/>
  <c r="G391" i="3"/>
  <c r="F391" i="3"/>
  <c r="D391" i="3"/>
  <c r="G390" i="3"/>
  <c r="F390" i="3"/>
  <c r="D390" i="3"/>
  <c r="G389" i="3"/>
  <c r="F389" i="3"/>
  <c r="D389" i="3"/>
  <c r="G388" i="3"/>
  <c r="F388" i="3"/>
  <c r="D388" i="3"/>
  <c r="G387" i="3"/>
  <c r="F387" i="3"/>
  <c r="D387" i="3"/>
  <c r="G386" i="3"/>
  <c r="F386" i="3"/>
  <c r="D386" i="3"/>
  <c r="G385" i="3"/>
  <c r="F385" i="3"/>
  <c r="D385" i="3"/>
  <c r="G384" i="3"/>
  <c r="F384" i="3"/>
  <c r="D384" i="3"/>
  <c r="G383" i="3"/>
  <c r="F383" i="3"/>
  <c r="D383" i="3"/>
  <c r="G382" i="3"/>
  <c r="F382" i="3"/>
  <c r="D382" i="3"/>
  <c r="G381" i="3"/>
  <c r="F381" i="3"/>
  <c r="D381" i="3"/>
  <c r="G380" i="3"/>
  <c r="F380" i="3"/>
  <c r="D380" i="3"/>
  <c r="G379" i="3"/>
  <c r="F379" i="3"/>
  <c r="D379" i="3"/>
  <c r="G378" i="3"/>
  <c r="F378" i="3"/>
  <c r="D378" i="3"/>
  <c r="G377" i="3"/>
  <c r="F377" i="3"/>
  <c r="D377" i="3"/>
  <c r="G376" i="3"/>
  <c r="F376" i="3"/>
  <c r="D376" i="3"/>
  <c r="G375" i="3"/>
  <c r="F375" i="3"/>
  <c r="D375" i="3"/>
  <c r="G374" i="3"/>
  <c r="F374" i="3"/>
  <c r="D374" i="3"/>
  <c r="G373" i="3"/>
  <c r="F373" i="3"/>
  <c r="D373" i="3"/>
  <c r="G372" i="3"/>
  <c r="F372" i="3"/>
  <c r="D372" i="3"/>
  <c r="G371" i="3"/>
  <c r="F371" i="3"/>
  <c r="D371" i="3"/>
  <c r="G370" i="3"/>
  <c r="F370" i="3"/>
  <c r="D370" i="3"/>
  <c r="G369" i="3"/>
  <c r="F369" i="3"/>
  <c r="D369" i="3"/>
  <c r="G368" i="3"/>
  <c r="F368" i="3"/>
  <c r="D368" i="3"/>
  <c r="G367" i="3"/>
  <c r="F367" i="3"/>
  <c r="D367" i="3"/>
  <c r="G366" i="3"/>
  <c r="F366" i="3"/>
  <c r="D366" i="3"/>
  <c r="G365" i="3"/>
  <c r="F365" i="3"/>
  <c r="D365" i="3"/>
  <c r="G364" i="3"/>
  <c r="F364" i="3"/>
  <c r="D364" i="3"/>
  <c r="G363" i="3"/>
  <c r="F363" i="3"/>
  <c r="D363" i="3"/>
  <c r="G362" i="3"/>
  <c r="F362" i="3"/>
  <c r="D362" i="3"/>
  <c r="G361" i="3"/>
  <c r="F361" i="3"/>
  <c r="D361" i="3"/>
  <c r="G360" i="3"/>
  <c r="F360" i="3"/>
  <c r="D360" i="3"/>
  <c r="G359" i="3"/>
  <c r="F359" i="3"/>
  <c r="D359" i="3"/>
  <c r="G358" i="3"/>
  <c r="F358" i="3"/>
  <c r="D358" i="3"/>
  <c r="G357" i="3"/>
  <c r="F357" i="3"/>
  <c r="D357" i="3"/>
  <c r="G356" i="3"/>
  <c r="F356" i="3"/>
  <c r="D356" i="3"/>
  <c r="G355" i="3"/>
  <c r="F355" i="3"/>
  <c r="D355" i="3"/>
  <c r="G354" i="3"/>
  <c r="F354" i="3"/>
  <c r="D354" i="3"/>
  <c r="G353" i="3"/>
  <c r="F353" i="3"/>
  <c r="D353" i="3"/>
  <c r="G352" i="3"/>
  <c r="F352" i="3"/>
  <c r="D352" i="3"/>
  <c r="G351" i="3"/>
  <c r="F351" i="3"/>
  <c r="D351" i="3"/>
  <c r="G350" i="3"/>
  <c r="F350" i="3"/>
  <c r="D350" i="3"/>
  <c r="G349" i="3"/>
  <c r="F349" i="3"/>
  <c r="D349" i="3"/>
  <c r="G348" i="3"/>
  <c r="F348" i="3"/>
  <c r="D348" i="3"/>
  <c r="G347" i="3"/>
  <c r="F347" i="3"/>
  <c r="D347" i="3"/>
  <c r="G346" i="3"/>
  <c r="F346" i="3"/>
  <c r="D346" i="3"/>
  <c r="G345" i="3"/>
  <c r="F345" i="3"/>
  <c r="D345" i="3"/>
  <c r="G344" i="3"/>
  <c r="F344" i="3"/>
  <c r="D344" i="3"/>
  <c r="G343" i="3"/>
  <c r="F343" i="3"/>
  <c r="D343" i="3"/>
  <c r="G342" i="3"/>
  <c r="F342" i="3"/>
  <c r="D342" i="3"/>
  <c r="G341" i="3"/>
  <c r="F341" i="3"/>
  <c r="D341" i="3"/>
  <c r="G340" i="3"/>
  <c r="F340" i="3"/>
  <c r="D340" i="3"/>
  <c r="G339" i="3"/>
  <c r="F339" i="3"/>
  <c r="D339" i="3"/>
  <c r="G338" i="3"/>
  <c r="F338" i="3"/>
  <c r="D338" i="3"/>
  <c r="G337" i="3"/>
  <c r="F337" i="3"/>
  <c r="D337" i="3"/>
  <c r="G336" i="3"/>
  <c r="F336" i="3"/>
  <c r="D336" i="3"/>
  <c r="G335" i="3"/>
  <c r="F335" i="3"/>
  <c r="D335" i="3"/>
  <c r="G334" i="3"/>
  <c r="F334" i="3"/>
  <c r="D334" i="3"/>
  <c r="G333" i="3"/>
  <c r="F333" i="3"/>
  <c r="D333" i="3"/>
  <c r="G332" i="3"/>
  <c r="F332" i="3"/>
  <c r="D332" i="3"/>
  <c r="G331" i="3"/>
  <c r="F331" i="3"/>
  <c r="D331" i="3"/>
  <c r="G330" i="3"/>
  <c r="F330" i="3"/>
  <c r="D330" i="3"/>
  <c r="G329" i="3"/>
  <c r="F329" i="3"/>
  <c r="D329" i="3"/>
  <c r="G328" i="3"/>
  <c r="F328" i="3"/>
  <c r="D328" i="3"/>
  <c r="G327" i="3"/>
  <c r="F327" i="3"/>
  <c r="D327" i="3"/>
  <c r="G326" i="3"/>
  <c r="F326" i="3"/>
  <c r="D326" i="3"/>
  <c r="G325" i="3"/>
  <c r="F325" i="3"/>
  <c r="D325" i="3"/>
  <c r="G324" i="3"/>
  <c r="F324" i="3"/>
  <c r="D324" i="3"/>
  <c r="G323" i="3"/>
  <c r="F323" i="3"/>
  <c r="D323" i="3"/>
  <c r="G322" i="3"/>
  <c r="F322" i="3"/>
  <c r="D322" i="3"/>
  <c r="G321" i="3"/>
  <c r="F321" i="3"/>
  <c r="D321" i="3"/>
  <c r="G320" i="3"/>
  <c r="F320" i="3"/>
  <c r="D320" i="3"/>
  <c r="G319" i="3"/>
  <c r="F319" i="3"/>
  <c r="D319" i="3"/>
  <c r="G318" i="3"/>
  <c r="F318" i="3"/>
  <c r="D318" i="3"/>
  <c r="G317" i="3"/>
  <c r="F317" i="3"/>
  <c r="D317" i="3"/>
  <c r="G316" i="3"/>
  <c r="F316" i="3"/>
  <c r="D316" i="3"/>
  <c r="G315" i="3"/>
  <c r="F315" i="3"/>
  <c r="D315" i="3"/>
  <c r="D314" i="3"/>
  <c r="G313" i="3"/>
  <c r="F313" i="3"/>
  <c r="D313" i="3"/>
  <c r="G312" i="3"/>
  <c r="F312" i="3"/>
  <c r="D312" i="3"/>
  <c r="G311" i="3"/>
  <c r="F311" i="3"/>
  <c r="D311" i="3"/>
  <c r="G310" i="3"/>
  <c r="F310" i="3"/>
  <c r="D310" i="3"/>
  <c r="G309" i="3"/>
  <c r="F309" i="3"/>
  <c r="D309" i="3"/>
  <c r="G308" i="3"/>
  <c r="F308" i="3"/>
  <c r="D308" i="3"/>
  <c r="G307" i="3"/>
  <c r="F307" i="3"/>
  <c r="D307" i="3"/>
  <c r="G306" i="3"/>
  <c r="F306" i="3"/>
  <c r="D306" i="3"/>
  <c r="G305" i="3"/>
  <c r="F305" i="3"/>
  <c r="D305" i="3"/>
  <c r="G304" i="3"/>
  <c r="F304" i="3"/>
  <c r="D304" i="3"/>
  <c r="G303" i="3"/>
  <c r="F303" i="3"/>
  <c r="D303" i="3"/>
  <c r="G302" i="3"/>
  <c r="F302" i="3"/>
  <c r="D302" i="3"/>
  <c r="G301" i="3"/>
  <c r="F301" i="3"/>
  <c r="D301" i="3"/>
  <c r="G300" i="3"/>
  <c r="F300" i="3"/>
  <c r="D300" i="3"/>
  <c r="G299" i="3"/>
  <c r="F299" i="3"/>
  <c r="D299" i="3"/>
  <c r="G298" i="3"/>
  <c r="F298" i="3"/>
  <c r="D298" i="3"/>
  <c r="G297" i="3"/>
  <c r="F297" i="3"/>
  <c r="D297" i="3"/>
  <c r="G296" i="3"/>
  <c r="F296" i="3"/>
  <c r="D296" i="3"/>
  <c r="G295" i="3"/>
  <c r="F295" i="3"/>
  <c r="D295" i="3"/>
  <c r="G294" i="3"/>
  <c r="F294" i="3"/>
  <c r="D294" i="3"/>
  <c r="G293" i="3"/>
  <c r="F293" i="3"/>
  <c r="D293" i="3"/>
  <c r="G292" i="3"/>
  <c r="F292" i="3"/>
  <c r="D292" i="3"/>
  <c r="G291" i="3"/>
  <c r="F291" i="3"/>
  <c r="D291" i="3"/>
  <c r="G290" i="3"/>
  <c r="F290" i="3"/>
  <c r="D290" i="3"/>
  <c r="D289" i="3"/>
  <c r="D288" i="3"/>
  <c r="D287" i="3"/>
  <c r="D286" i="3"/>
  <c r="D285" i="3"/>
  <c r="D284" i="3"/>
  <c r="D283" i="3"/>
  <c r="G282" i="3"/>
  <c r="F282" i="3"/>
  <c r="D282" i="3"/>
  <c r="G281" i="3"/>
  <c r="F281" i="3"/>
  <c r="D281" i="3"/>
  <c r="G280" i="3"/>
  <c r="F280" i="3"/>
  <c r="D280" i="3"/>
  <c r="G279" i="3"/>
  <c r="F279" i="3"/>
  <c r="D279" i="3"/>
  <c r="G278" i="3"/>
  <c r="F278" i="3"/>
  <c r="D278" i="3"/>
  <c r="G277" i="3"/>
  <c r="F277" i="3"/>
  <c r="D277" i="3"/>
  <c r="G276" i="3"/>
  <c r="F276" i="3"/>
  <c r="D276" i="3"/>
  <c r="G275" i="3"/>
  <c r="F275" i="3"/>
  <c r="D275" i="3"/>
  <c r="G274" i="3"/>
  <c r="F274" i="3"/>
  <c r="D274" i="3"/>
  <c r="G273" i="3"/>
  <c r="F273" i="3"/>
  <c r="D273" i="3"/>
  <c r="G272" i="3"/>
  <c r="F272" i="3"/>
  <c r="D272" i="3"/>
  <c r="G271" i="3"/>
  <c r="F271" i="3"/>
  <c r="D271" i="3"/>
  <c r="G270" i="3"/>
  <c r="F270" i="3"/>
  <c r="D270" i="3"/>
  <c r="G269" i="3"/>
  <c r="F269" i="3"/>
  <c r="D269" i="3"/>
  <c r="G268" i="3"/>
  <c r="F268" i="3"/>
  <c r="D268" i="3"/>
  <c r="G267" i="3"/>
  <c r="F267" i="3"/>
  <c r="D267" i="3"/>
  <c r="G266" i="3"/>
  <c r="F266" i="3"/>
  <c r="D266" i="3"/>
  <c r="G265" i="3"/>
  <c r="F265" i="3"/>
  <c r="D265" i="3"/>
  <c r="G264" i="3"/>
  <c r="F264" i="3"/>
  <c r="D264" i="3"/>
  <c r="G263" i="3"/>
  <c r="F263" i="3"/>
  <c r="D263" i="3"/>
  <c r="G262" i="3"/>
  <c r="F262" i="3"/>
  <c r="D262" i="3"/>
  <c r="G261" i="3"/>
  <c r="F261" i="3"/>
  <c r="D261" i="3"/>
  <c r="G260" i="3"/>
  <c r="F260" i="3"/>
  <c r="D260" i="3"/>
  <c r="G259" i="3"/>
  <c r="F259" i="3"/>
  <c r="D259" i="3"/>
  <c r="G258" i="3"/>
  <c r="F258" i="3"/>
  <c r="D258" i="3"/>
  <c r="G257" i="3"/>
  <c r="F257" i="3"/>
  <c r="D257" i="3"/>
  <c r="G256" i="3"/>
  <c r="F256" i="3"/>
  <c r="D256" i="3"/>
  <c r="G255" i="3"/>
  <c r="F255" i="3"/>
  <c r="D255" i="3"/>
  <c r="G254" i="3"/>
  <c r="F254" i="3"/>
  <c r="D254" i="3"/>
  <c r="G253" i="3"/>
  <c r="F253" i="3"/>
  <c r="D253" i="3"/>
  <c r="G252" i="3"/>
  <c r="F252" i="3"/>
  <c r="D252" i="3"/>
  <c r="G251" i="3"/>
  <c r="F251" i="3"/>
  <c r="D251" i="3"/>
  <c r="G250" i="3"/>
  <c r="F250" i="3"/>
  <c r="D250" i="3"/>
  <c r="G249" i="3"/>
  <c r="F249" i="3"/>
  <c r="D249" i="3"/>
  <c r="G248" i="3"/>
  <c r="F248" i="3"/>
  <c r="D248" i="3"/>
  <c r="G247" i="3"/>
  <c r="F247" i="3"/>
  <c r="D247" i="3"/>
  <c r="G246" i="3"/>
  <c r="F246" i="3"/>
  <c r="D246" i="3"/>
  <c r="G245" i="3"/>
  <c r="F245" i="3"/>
  <c r="D245" i="3"/>
  <c r="G244" i="3"/>
  <c r="F244" i="3"/>
  <c r="D244" i="3"/>
  <c r="G243" i="3"/>
  <c r="F243" i="3"/>
  <c r="D243" i="3"/>
  <c r="G242" i="3"/>
  <c r="F242" i="3"/>
  <c r="D242" i="3"/>
  <c r="G241" i="3"/>
  <c r="F241" i="3"/>
  <c r="D241" i="3"/>
  <c r="G240" i="3"/>
  <c r="F240" i="3"/>
  <c r="D240" i="3"/>
  <c r="G239" i="3"/>
  <c r="F239" i="3"/>
  <c r="D239" i="3"/>
  <c r="G238" i="3"/>
  <c r="F238" i="3"/>
  <c r="D238" i="3"/>
  <c r="G237" i="3"/>
  <c r="F237" i="3"/>
  <c r="D237" i="3"/>
  <c r="G236" i="3"/>
  <c r="F236" i="3"/>
  <c r="D236" i="3"/>
  <c r="G235" i="3"/>
  <c r="F235" i="3"/>
  <c r="D235" i="3"/>
  <c r="G234" i="3"/>
  <c r="F234" i="3"/>
  <c r="D234" i="3"/>
  <c r="G233" i="3"/>
  <c r="F233" i="3"/>
  <c r="D233" i="3"/>
  <c r="G232" i="3"/>
  <c r="F232" i="3"/>
  <c r="D232" i="3"/>
  <c r="G231" i="3"/>
  <c r="F231" i="3"/>
  <c r="D231" i="3"/>
  <c r="G230" i="3"/>
  <c r="F230" i="3"/>
  <c r="D230" i="3"/>
  <c r="G229" i="3"/>
  <c r="F229" i="3"/>
  <c r="D229" i="3"/>
  <c r="G228" i="3"/>
  <c r="F228" i="3"/>
  <c r="D228" i="3"/>
  <c r="G227" i="3"/>
  <c r="F227" i="3"/>
  <c r="D227" i="3"/>
  <c r="G226" i="3"/>
  <c r="F226" i="3"/>
  <c r="D226" i="3"/>
  <c r="G225" i="3"/>
  <c r="F225" i="3"/>
  <c r="D225" i="3"/>
  <c r="G224" i="3"/>
  <c r="F224" i="3"/>
  <c r="D224" i="3"/>
  <c r="G223" i="3"/>
  <c r="F223" i="3"/>
  <c r="D223" i="3"/>
  <c r="G222" i="3"/>
  <c r="F222" i="3"/>
  <c r="D222" i="3"/>
  <c r="G221" i="3"/>
  <c r="F221" i="3"/>
  <c r="D221" i="3"/>
  <c r="G220" i="3"/>
  <c r="F220" i="3"/>
  <c r="D220" i="3"/>
  <c r="G219" i="3"/>
  <c r="F219" i="3"/>
  <c r="D219" i="3"/>
  <c r="G218" i="3"/>
  <c r="F218" i="3"/>
  <c r="D218" i="3"/>
  <c r="G217" i="3"/>
  <c r="F217" i="3"/>
  <c r="D217" i="3"/>
  <c r="D216" i="3"/>
  <c r="D215" i="3"/>
  <c r="G214" i="3"/>
  <c r="F214" i="3"/>
  <c r="D214" i="3"/>
  <c r="G213" i="3"/>
  <c r="F213" i="3"/>
  <c r="D213" i="3"/>
  <c r="D212" i="3"/>
  <c r="G211" i="3"/>
  <c r="F211" i="3"/>
  <c r="D211" i="3"/>
  <c r="G210" i="3"/>
  <c r="F210" i="3"/>
  <c r="D210" i="3"/>
  <c r="G209" i="3"/>
  <c r="F209" i="3"/>
  <c r="D209" i="3"/>
  <c r="G208" i="3"/>
  <c r="F208" i="3"/>
  <c r="D208" i="3"/>
  <c r="D207" i="3"/>
  <c r="G206" i="3"/>
  <c r="F206" i="3"/>
  <c r="D206" i="3"/>
  <c r="G205" i="3"/>
  <c r="F205" i="3"/>
  <c r="D205" i="3"/>
  <c r="G204" i="3"/>
  <c r="F204" i="3"/>
  <c r="D204" i="3"/>
  <c r="G203" i="3"/>
  <c r="F203" i="3"/>
  <c r="D203" i="3"/>
  <c r="G202" i="3"/>
  <c r="F202" i="3"/>
  <c r="D202" i="3"/>
  <c r="D201" i="3"/>
  <c r="G200" i="3"/>
  <c r="F200" i="3"/>
  <c r="D200" i="3"/>
  <c r="G199" i="3"/>
  <c r="F199" i="3"/>
  <c r="D199" i="3"/>
  <c r="G198" i="3"/>
  <c r="F198" i="3"/>
  <c r="D198" i="3"/>
  <c r="G197" i="3"/>
  <c r="F197" i="3"/>
  <c r="D197" i="3"/>
  <c r="G196" i="3"/>
  <c r="F196" i="3"/>
  <c r="D196" i="3"/>
  <c r="G195" i="3"/>
  <c r="F195" i="3"/>
  <c r="D195" i="3"/>
  <c r="G194" i="3"/>
  <c r="F194" i="3"/>
  <c r="D194" i="3"/>
  <c r="G193" i="3"/>
  <c r="F193" i="3"/>
  <c r="D193" i="3"/>
  <c r="G192" i="3"/>
  <c r="F192" i="3"/>
  <c r="D192" i="3"/>
  <c r="G191" i="3"/>
  <c r="F191" i="3"/>
  <c r="D191" i="3"/>
  <c r="G190" i="3"/>
  <c r="F190" i="3"/>
  <c r="D190" i="3"/>
  <c r="G189" i="3"/>
  <c r="F189" i="3"/>
  <c r="D189" i="3"/>
  <c r="G188" i="3"/>
  <c r="F188" i="3"/>
  <c r="D188" i="3"/>
  <c r="G187" i="3"/>
  <c r="F187" i="3"/>
  <c r="D187" i="3"/>
  <c r="G186" i="3"/>
  <c r="F186" i="3"/>
  <c r="D186" i="3"/>
  <c r="G185" i="3"/>
  <c r="F185" i="3"/>
  <c r="D185" i="3"/>
  <c r="G184" i="3"/>
  <c r="F184" i="3"/>
  <c r="D184" i="3"/>
  <c r="G183" i="3"/>
  <c r="F183" i="3"/>
  <c r="D183" i="3"/>
  <c r="G182" i="3"/>
  <c r="F182" i="3"/>
  <c r="D182" i="3"/>
  <c r="G181" i="3"/>
  <c r="F181" i="3"/>
  <c r="D181" i="3"/>
  <c r="G180" i="3"/>
  <c r="F180" i="3"/>
  <c r="D180" i="3"/>
  <c r="G179" i="3"/>
  <c r="F179" i="3"/>
  <c r="D179" i="3"/>
  <c r="G178" i="3"/>
  <c r="F178" i="3"/>
  <c r="D178" i="3"/>
  <c r="G177" i="3"/>
  <c r="F177" i="3"/>
  <c r="D177" i="3"/>
  <c r="G176" i="3"/>
  <c r="F176" i="3"/>
  <c r="D176" i="3"/>
  <c r="G175" i="3"/>
  <c r="F175" i="3"/>
  <c r="D175" i="3"/>
  <c r="G174" i="3"/>
  <c r="F174" i="3"/>
  <c r="D174" i="3"/>
  <c r="G173" i="3"/>
  <c r="F173" i="3"/>
  <c r="D173" i="3"/>
  <c r="G172" i="3"/>
  <c r="F172" i="3"/>
  <c r="D172" i="3"/>
  <c r="G171" i="3"/>
  <c r="F171" i="3"/>
  <c r="D171" i="3"/>
  <c r="G170" i="3"/>
  <c r="F170" i="3"/>
  <c r="D170" i="3"/>
  <c r="G169" i="3"/>
  <c r="F169" i="3"/>
  <c r="D169" i="3"/>
  <c r="G168" i="3"/>
  <c r="F168" i="3"/>
  <c r="D168" i="3"/>
  <c r="G167" i="3"/>
  <c r="F167" i="3"/>
  <c r="D167" i="3"/>
  <c r="G166" i="3"/>
  <c r="F166" i="3"/>
  <c r="D166" i="3"/>
  <c r="G165" i="3"/>
  <c r="F165" i="3"/>
  <c r="D165" i="3"/>
  <c r="G164" i="3"/>
  <c r="F164" i="3"/>
  <c r="D164" i="3"/>
  <c r="G163" i="3"/>
  <c r="F163" i="3"/>
  <c r="D163" i="3"/>
  <c r="G162" i="3"/>
  <c r="F162" i="3"/>
  <c r="D162" i="3"/>
  <c r="G161" i="3"/>
  <c r="F161" i="3"/>
  <c r="D161" i="3"/>
  <c r="G160" i="3"/>
  <c r="F160" i="3"/>
  <c r="D160" i="3"/>
  <c r="G159" i="3"/>
  <c r="F159" i="3"/>
  <c r="D159" i="3"/>
  <c r="G158" i="3"/>
  <c r="F158" i="3"/>
  <c r="D158" i="3"/>
  <c r="G157" i="3"/>
  <c r="F157" i="3"/>
  <c r="D157" i="3"/>
  <c r="G156" i="3"/>
  <c r="F156" i="3"/>
  <c r="D156" i="3"/>
  <c r="G155" i="3"/>
  <c r="F155" i="3"/>
  <c r="D155" i="3"/>
  <c r="G154" i="3"/>
  <c r="F154" i="3"/>
  <c r="D154" i="3"/>
  <c r="G153" i="3"/>
  <c r="F153" i="3"/>
  <c r="D153" i="3"/>
  <c r="G152" i="3"/>
  <c r="F152" i="3"/>
  <c r="D152" i="3"/>
  <c r="G151" i="3"/>
  <c r="F151" i="3"/>
  <c r="D151" i="3"/>
  <c r="G150" i="3"/>
  <c r="F150" i="3"/>
  <c r="D150" i="3"/>
  <c r="G149" i="3"/>
  <c r="F149" i="3"/>
  <c r="D149" i="3"/>
  <c r="G148" i="3"/>
  <c r="F148" i="3"/>
  <c r="D148" i="3"/>
  <c r="G147" i="3"/>
  <c r="F147" i="3"/>
  <c r="D147" i="3"/>
  <c r="G146" i="3"/>
  <c r="F146" i="3"/>
  <c r="D146" i="3"/>
  <c r="G145" i="3"/>
  <c r="F145" i="3"/>
  <c r="D145" i="3"/>
  <c r="G144" i="3"/>
  <c r="F144" i="3"/>
  <c r="D144" i="3"/>
  <c r="G143" i="3"/>
  <c r="F143" i="3"/>
  <c r="D143" i="3"/>
  <c r="G142" i="3"/>
  <c r="F142" i="3"/>
  <c r="D142" i="3"/>
  <c r="G141" i="3"/>
  <c r="F141" i="3"/>
  <c r="D141" i="3"/>
  <c r="G140" i="3"/>
  <c r="F140" i="3"/>
  <c r="D140" i="3"/>
  <c r="G139" i="3"/>
  <c r="F139" i="3"/>
  <c r="D139" i="3"/>
  <c r="G138" i="3"/>
  <c r="F138" i="3"/>
  <c r="D138" i="3"/>
  <c r="G137" i="3"/>
  <c r="F137" i="3"/>
  <c r="D137" i="3"/>
  <c r="G136" i="3"/>
  <c r="F136" i="3"/>
  <c r="D136" i="3"/>
  <c r="G135" i="3"/>
  <c r="F135" i="3"/>
  <c r="D135" i="3"/>
  <c r="G134" i="3"/>
  <c r="F134" i="3"/>
  <c r="D134" i="3"/>
  <c r="G133" i="3"/>
  <c r="F133" i="3"/>
  <c r="D133" i="3"/>
  <c r="G132" i="3"/>
  <c r="F132" i="3"/>
  <c r="D132" i="3"/>
  <c r="G131" i="3"/>
  <c r="F131" i="3"/>
  <c r="D131" i="3"/>
  <c r="G130" i="3"/>
  <c r="F130" i="3"/>
  <c r="D130" i="3"/>
  <c r="G129" i="3"/>
  <c r="F129" i="3"/>
  <c r="D129" i="3"/>
  <c r="G128" i="3"/>
  <c r="F128" i="3"/>
  <c r="D128" i="3"/>
  <c r="G127" i="3"/>
  <c r="F127" i="3"/>
  <c r="D127" i="3"/>
  <c r="G126" i="3"/>
  <c r="F126" i="3"/>
  <c r="D126" i="3"/>
  <c r="G125" i="3"/>
  <c r="F125" i="3"/>
  <c r="D125" i="3"/>
  <c r="G124" i="3"/>
  <c r="F124" i="3"/>
  <c r="D124" i="3"/>
  <c r="G123" i="3"/>
  <c r="F123" i="3"/>
  <c r="D123" i="3"/>
  <c r="G122" i="3"/>
  <c r="F122" i="3"/>
  <c r="D122" i="3"/>
  <c r="G121" i="3"/>
  <c r="F121" i="3"/>
  <c r="D121" i="3"/>
  <c r="G120" i="3"/>
  <c r="F120" i="3"/>
  <c r="D120" i="3"/>
  <c r="G119" i="3"/>
  <c r="F119" i="3"/>
  <c r="D119" i="3"/>
  <c r="G118" i="3"/>
  <c r="F118" i="3"/>
  <c r="D118" i="3"/>
  <c r="G117" i="3"/>
  <c r="F117" i="3"/>
  <c r="D117" i="3"/>
  <c r="G116" i="3"/>
  <c r="F116" i="3"/>
  <c r="D116" i="3"/>
  <c r="G115" i="3"/>
  <c r="F115" i="3"/>
  <c r="D115" i="3"/>
  <c r="G114" i="3"/>
  <c r="F114" i="3"/>
  <c r="D114" i="3"/>
  <c r="D113" i="3"/>
  <c r="D112" i="3"/>
  <c r="G111" i="3"/>
  <c r="F111" i="3"/>
  <c r="D111" i="3"/>
  <c r="G110" i="3"/>
  <c r="F110" i="3"/>
  <c r="D110" i="3"/>
  <c r="G109" i="3"/>
  <c r="F109" i="3"/>
  <c r="D109" i="3"/>
  <c r="G108" i="3"/>
  <c r="F108" i="3"/>
  <c r="D108" i="3"/>
  <c r="G107" i="3"/>
  <c r="F107" i="3"/>
  <c r="D107" i="3"/>
  <c r="G106" i="3"/>
  <c r="F106" i="3"/>
  <c r="D106" i="3"/>
  <c r="G105" i="3"/>
  <c r="F105" i="3"/>
  <c r="D105" i="3"/>
  <c r="G104" i="3"/>
  <c r="F104" i="3"/>
  <c r="D104" i="3"/>
  <c r="G103" i="3"/>
  <c r="F103" i="3"/>
  <c r="D103" i="3"/>
  <c r="G102" i="3"/>
  <c r="F102" i="3"/>
  <c r="D102" i="3"/>
  <c r="G101" i="3"/>
  <c r="F101" i="3"/>
  <c r="D101" i="3"/>
  <c r="G100" i="3"/>
  <c r="F100" i="3"/>
  <c r="D100" i="3"/>
  <c r="G99" i="3"/>
  <c r="F99" i="3"/>
  <c r="D99" i="3"/>
  <c r="G98" i="3"/>
  <c r="F98" i="3"/>
  <c r="D98" i="3"/>
  <c r="G97" i="3"/>
  <c r="F97" i="3"/>
  <c r="D97" i="3"/>
  <c r="G96" i="3"/>
  <c r="F96" i="3"/>
  <c r="D96" i="3"/>
  <c r="G95" i="3"/>
  <c r="F95" i="3"/>
  <c r="D95" i="3"/>
  <c r="G94" i="3"/>
  <c r="F94" i="3"/>
  <c r="D94" i="3"/>
  <c r="G93" i="3"/>
  <c r="F93" i="3"/>
  <c r="D93" i="3"/>
  <c r="G92" i="3"/>
  <c r="F92" i="3"/>
  <c r="D92" i="3"/>
  <c r="G91" i="3"/>
  <c r="F91" i="3"/>
  <c r="D91" i="3"/>
  <c r="G90" i="3"/>
  <c r="F90" i="3"/>
  <c r="D90" i="3"/>
  <c r="G89" i="3"/>
  <c r="F89" i="3"/>
  <c r="D89" i="3"/>
  <c r="G88" i="3"/>
  <c r="F88" i="3"/>
  <c r="D88" i="3"/>
  <c r="G87" i="3"/>
  <c r="F87" i="3"/>
  <c r="D87" i="3"/>
  <c r="G86" i="3"/>
  <c r="F86" i="3"/>
  <c r="D86" i="3"/>
  <c r="G85" i="3"/>
  <c r="F85" i="3"/>
  <c r="D85" i="3"/>
  <c r="G84" i="3"/>
  <c r="F84" i="3"/>
  <c r="D84" i="3"/>
  <c r="G83" i="3"/>
  <c r="F83" i="3"/>
  <c r="D83" i="3"/>
  <c r="G82" i="3"/>
  <c r="F82" i="3"/>
  <c r="D82" i="3"/>
  <c r="G81" i="3"/>
  <c r="F81" i="3"/>
  <c r="D81" i="3"/>
  <c r="G80" i="3"/>
  <c r="F80" i="3"/>
  <c r="D80" i="3"/>
  <c r="G79" i="3"/>
  <c r="F79" i="3"/>
  <c r="D79" i="3"/>
  <c r="G78" i="3"/>
  <c r="F78" i="3"/>
  <c r="D78" i="3"/>
  <c r="G77" i="3"/>
  <c r="F77" i="3"/>
  <c r="D77" i="3"/>
  <c r="G76" i="3"/>
  <c r="F76" i="3"/>
  <c r="D76" i="3"/>
  <c r="G75" i="3"/>
  <c r="F75" i="3"/>
  <c r="D75" i="3"/>
  <c r="G74" i="3"/>
  <c r="F74" i="3"/>
  <c r="D74" i="3"/>
  <c r="G73" i="3"/>
  <c r="F73" i="3"/>
  <c r="D73" i="3"/>
  <c r="G72" i="3"/>
  <c r="F72" i="3"/>
  <c r="D72" i="3"/>
  <c r="G71" i="3"/>
  <c r="F71" i="3"/>
  <c r="D71" i="3"/>
  <c r="G70" i="3"/>
  <c r="F70" i="3"/>
  <c r="D70" i="3"/>
  <c r="G69" i="3"/>
  <c r="F69" i="3"/>
  <c r="D69" i="3"/>
  <c r="G68" i="3"/>
  <c r="F68" i="3"/>
  <c r="D68" i="3"/>
  <c r="G67" i="3"/>
  <c r="F67" i="3"/>
  <c r="D67" i="3"/>
  <c r="G66" i="3"/>
  <c r="F66" i="3"/>
  <c r="D66" i="3"/>
  <c r="G65" i="3"/>
  <c r="F65" i="3"/>
  <c r="D65" i="3"/>
  <c r="G64" i="3"/>
  <c r="F64" i="3"/>
  <c r="D64" i="3"/>
  <c r="G63" i="3"/>
  <c r="F63" i="3"/>
  <c r="D63" i="3"/>
  <c r="G62" i="3"/>
  <c r="F62" i="3"/>
  <c r="D62" i="3"/>
  <c r="G61" i="3"/>
  <c r="F61" i="3"/>
  <c r="D61" i="3"/>
  <c r="G60" i="3"/>
  <c r="F60" i="3"/>
  <c r="D60" i="3"/>
  <c r="G59" i="3"/>
  <c r="F59" i="3"/>
  <c r="D59" i="3"/>
  <c r="G58" i="3"/>
  <c r="F58" i="3"/>
  <c r="D58" i="3"/>
  <c r="G57" i="3"/>
  <c r="F57" i="3"/>
  <c r="D57" i="3"/>
  <c r="G56" i="3"/>
  <c r="F56" i="3"/>
  <c r="D56" i="3"/>
  <c r="G55" i="3"/>
  <c r="F55" i="3"/>
  <c r="D55" i="3"/>
  <c r="G54" i="3"/>
  <c r="F54" i="3"/>
  <c r="D54" i="3"/>
  <c r="G53" i="3"/>
  <c r="F53" i="3"/>
  <c r="D53" i="3"/>
  <c r="G52" i="3"/>
  <c r="F52" i="3"/>
  <c r="D52" i="3"/>
  <c r="G51" i="3"/>
  <c r="F51" i="3"/>
  <c r="D51" i="3"/>
  <c r="G50" i="3"/>
  <c r="F50" i="3"/>
  <c r="D50" i="3"/>
  <c r="G49" i="3"/>
  <c r="F49" i="3"/>
  <c r="D49" i="3"/>
  <c r="G48" i="3"/>
  <c r="F48" i="3"/>
  <c r="D48" i="3"/>
  <c r="G47" i="3"/>
  <c r="F47" i="3"/>
  <c r="D47" i="3"/>
  <c r="G46" i="3"/>
  <c r="F46" i="3"/>
  <c r="D46" i="3"/>
  <c r="G45" i="3"/>
  <c r="F45" i="3"/>
  <c r="D45" i="3"/>
  <c r="G44" i="3"/>
  <c r="F44" i="3"/>
  <c r="D44" i="3"/>
  <c r="G43" i="3"/>
  <c r="F43" i="3"/>
  <c r="D43" i="3"/>
  <c r="G42" i="3"/>
  <c r="F42" i="3"/>
  <c r="D42" i="3"/>
  <c r="G41" i="3"/>
  <c r="F41" i="3"/>
  <c r="D41" i="3"/>
  <c r="G40" i="3"/>
  <c r="F40" i="3"/>
  <c r="D40" i="3"/>
  <c r="G39" i="3"/>
  <c r="F39" i="3"/>
  <c r="D39" i="3"/>
  <c r="G38" i="3"/>
  <c r="F38" i="3"/>
  <c r="D38" i="3"/>
  <c r="G37" i="3"/>
  <c r="F37" i="3"/>
  <c r="D37" i="3"/>
  <c r="G36" i="3"/>
  <c r="F36" i="3"/>
  <c r="D36" i="3"/>
  <c r="G35" i="3"/>
  <c r="F35" i="3"/>
  <c r="D35" i="3"/>
  <c r="G34" i="3"/>
  <c r="F34" i="3"/>
  <c r="D34" i="3"/>
  <c r="G33" i="3"/>
  <c r="F33" i="3"/>
  <c r="D33" i="3"/>
  <c r="G32" i="3"/>
  <c r="F32" i="3"/>
  <c r="D32" i="3"/>
  <c r="G31" i="3"/>
  <c r="F31" i="3"/>
  <c r="D31" i="3"/>
  <c r="G30" i="3"/>
  <c r="F30" i="3"/>
  <c r="D30" i="3"/>
  <c r="G29" i="3"/>
  <c r="F29" i="3"/>
  <c r="D29" i="3"/>
  <c r="G28" i="3"/>
  <c r="F28" i="3"/>
  <c r="D28" i="3"/>
  <c r="G27" i="3"/>
  <c r="F27" i="3"/>
  <c r="D27" i="3"/>
  <c r="G26" i="3"/>
  <c r="F26" i="3"/>
  <c r="D26" i="3"/>
  <c r="G25" i="3"/>
  <c r="F25" i="3"/>
  <c r="D25" i="3"/>
  <c r="G24" i="3"/>
  <c r="F24" i="3"/>
  <c r="D24" i="3"/>
  <c r="G23" i="3"/>
  <c r="F23" i="3"/>
  <c r="D23" i="3"/>
  <c r="G22" i="3"/>
  <c r="F22" i="3"/>
  <c r="D22" i="3"/>
  <c r="G21" i="3"/>
  <c r="F21" i="3"/>
  <c r="D21" i="3"/>
  <c r="G20" i="3"/>
  <c r="F20" i="3"/>
  <c r="D20" i="3"/>
  <c r="G19" i="3"/>
  <c r="F19" i="3"/>
  <c r="D19" i="3"/>
  <c r="G18" i="3"/>
  <c r="F18" i="3"/>
  <c r="D18" i="3"/>
  <c r="G17" i="3"/>
  <c r="F17" i="3"/>
  <c r="D17" i="3"/>
  <c r="G16" i="3"/>
  <c r="F16" i="3"/>
  <c r="D16" i="3"/>
  <c r="G15" i="3"/>
  <c r="F15" i="3"/>
  <c r="D15" i="3"/>
  <c r="G14" i="3"/>
  <c r="F14" i="3"/>
  <c r="D14" i="3"/>
  <c r="G13" i="3"/>
  <c r="F13" i="3"/>
  <c r="D13" i="3"/>
  <c r="G12" i="3"/>
  <c r="F12" i="3"/>
  <c r="D12" i="3"/>
  <c r="G11" i="3"/>
  <c r="F11" i="3"/>
  <c r="D11" i="3"/>
  <c r="G10" i="3"/>
  <c r="F10" i="3"/>
  <c r="D10" i="3"/>
  <c r="G9" i="3"/>
  <c r="F9" i="3"/>
  <c r="D9" i="3"/>
  <c r="G8" i="3"/>
  <c r="F8" i="3"/>
  <c r="D8" i="3"/>
  <c r="G7" i="3"/>
  <c r="F7" i="3"/>
  <c r="D7" i="3"/>
  <c r="G6" i="3"/>
  <c r="F6" i="3"/>
  <c r="D6" i="3"/>
  <c r="G5" i="3"/>
  <c r="F5" i="3"/>
  <c r="D5" i="3"/>
  <c r="X9" i="2"/>
  <c r="X10" i="2"/>
  <c r="X13" i="2"/>
  <c r="X19" i="2"/>
  <c r="X23" i="2"/>
  <c r="X28" i="2"/>
  <c r="X31" i="2"/>
  <c r="X32" i="2"/>
  <c r="W15" i="2"/>
  <c r="W20" i="2"/>
  <c r="B70" i="1" s="1"/>
  <c r="V13" i="2"/>
  <c r="B69" i="1" s="1"/>
  <c r="V19" i="2"/>
  <c r="V23" i="2"/>
  <c r="V28" i="2"/>
  <c r="V31" i="2"/>
  <c r="V3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B68" i="1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F204" i="4"/>
  <c r="B204" i="4"/>
  <c r="A204" i="4"/>
  <c r="U203" i="4"/>
  <c r="S203" i="4"/>
  <c r="H203" i="4"/>
  <c r="G203" i="4"/>
  <c r="F203" i="4"/>
  <c r="D203" i="4"/>
  <c r="B203" i="4"/>
  <c r="A203" i="4"/>
  <c r="B202" i="4"/>
  <c r="U201" i="4"/>
  <c r="S201" i="4"/>
  <c r="H201" i="4"/>
  <c r="G201" i="4"/>
  <c r="F201" i="4"/>
  <c r="B201" i="4"/>
  <c r="A201" i="4"/>
  <c r="B200" i="4"/>
  <c r="B199" i="4"/>
  <c r="U198" i="4"/>
  <c r="S198" i="4"/>
  <c r="H198" i="4"/>
  <c r="G198" i="4"/>
  <c r="F198" i="4"/>
  <c r="D198" i="4"/>
  <c r="B198" i="4"/>
  <c r="A198" i="4"/>
  <c r="B197" i="4"/>
  <c r="A197" i="4"/>
  <c r="S196" i="4"/>
  <c r="H196" i="4"/>
  <c r="F196" i="4"/>
  <c r="D196" i="4"/>
  <c r="C196" i="4"/>
  <c r="B196" i="4"/>
  <c r="U195" i="4"/>
  <c r="H195" i="4"/>
  <c r="G195" i="4"/>
  <c r="D195" i="4"/>
  <c r="B195" i="4"/>
  <c r="A195" i="4" s="1"/>
  <c r="U194" i="4"/>
  <c r="S194" i="4"/>
  <c r="H194" i="4"/>
  <c r="G194" i="4"/>
  <c r="F194" i="4"/>
  <c r="B194" i="4"/>
  <c r="A194" i="4"/>
  <c r="S193" i="4"/>
  <c r="D193" i="4"/>
  <c r="C193" i="4"/>
  <c r="B193" i="4"/>
  <c r="A193" i="4"/>
  <c r="B192" i="4"/>
  <c r="A192" i="4" s="1"/>
  <c r="S191" i="4"/>
  <c r="D191" i="4"/>
  <c r="B191" i="4"/>
  <c r="C190" i="4"/>
  <c r="B190" i="4"/>
  <c r="B189" i="4"/>
  <c r="A189" i="4"/>
  <c r="U188" i="4"/>
  <c r="S188" i="4"/>
  <c r="H188" i="4"/>
  <c r="G188" i="4"/>
  <c r="F188" i="4"/>
  <c r="T188" i="4" s="1"/>
  <c r="D188" i="4"/>
  <c r="C188" i="4"/>
  <c r="B188" i="4"/>
  <c r="A188" i="4"/>
  <c r="B187" i="4"/>
  <c r="U186" i="4"/>
  <c r="S186" i="4"/>
  <c r="H186" i="4"/>
  <c r="G186" i="4"/>
  <c r="T186" i="4" s="1"/>
  <c r="F186" i="4"/>
  <c r="D186" i="4"/>
  <c r="B186" i="4"/>
  <c r="A186" i="4"/>
  <c r="B185" i="4"/>
  <c r="A185" i="4"/>
  <c r="B184" i="4"/>
  <c r="A184" i="4" s="1"/>
  <c r="U183" i="4"/>
  <c r="T183" i="4"/>
  <c r="S183" i="4"/>
  <c r="H183" i="4"/>
  <c r="G183" i="4"/>
  <c r="F183" i="4"/>
  <c r="D183" i="4"/>
  <c r="B183" i="4"/>
  <c r="A183" i="4"/>
  <c r="U182" i="4"/>
  <c r="S182" i="4"/>
  <c r="F182" i="4"/>
  <c r="C182" i="4"/>
  <c r="B182" i="4"/>
  <c r="U181" i="4"/>
  <c r="H181" i="4"/>
  <c r="B181" i="4"/>
  <c r="A181" i="4"/>
  <c r="S180" i="4"/>
  <c r="B180" i="4"/>
  <c r="U179" i="4"/>
  <c r="S179" i="4"/>
  <c r="G179" i="4"/>
  <c r="F179" i="4"/>
  <c r="T179" i="4" s="1"/>
  <c r="C179" i="4"/>
  <c r="B179" i="4"/>
  <c r="A179" i="4"/>
  <c r="U178" i="4"/>
  <c r="S178" i="4"/>
  <c r="H178" i="4"/>
  <c r="F178" i="4"/>
  <c r="D178" i="4"/>
  <c r="C178" i="4"/>
  <c r="B178" i="4"/>
  <c r="A178" i="4"/>
  <c r="U177" i="4"/>
  <c r="S177" i="4"/>
  <c r="F177" i="4"/>
  <c r="D177" i="4"/>
  <c r="B177" i="4"/>
  <c r="U176" i="4"/>
  <c r="B176" i="4"/>
  <c r="B175" i="4"/>
  <c r="B174" i="4"/>
  <c r="U173" i="4"/>
  <c r="H173" i="4"/>
  <c r="G173" i="4"/>
  <c r="T173" i="4" s="1"/>
  <c r="F173" i="4"/>
  <c r="D173" i="4"/>
  <c r="B173" i="4"/>
  <c r="B172" i="4"/>
  <c r="U172" i="4" s="1"/>
  <c r="B171" i="4"/>
  <c r="U170" i="4"/>
  <c r="B170" i="4"/>
  <c r="U169" i="4"/>
  <c r="S169" i="4"/>
  <c r="H169" i="4"/>
  <c r="F169" i="4"/>
  <c r="D169" i="4"/>
  <c r="C169" i="4"/>
  <c r="B169" i="4"/>
  <c r="A169" i="4"/>
  <c r="U168" i="4"/>
  <c r="S168" i="4"/>
  <c r="H168" i="4"/>
  <c r="G168" i="4"/>
  <c r="F168" i="4"/>
  <c r="T168" i="4" s="1"/>
  <c r="B168" i="4"/>
  <c r="A168" i="4"/>
  <c r="D167" i="4"/>
  <c r="B167" i="4"/>
  <c r="H166" i="4"/>
  <c r="B166" i="4"/>
  <c r="B165" i="4"/>
  <c r="U164" i="4"/>
  <c r="S164" i="4"/>
  <c r="F164" i="4"/>
  <c r="C164" i="4"/>
  <c r="B164" i="4"/>
  <c r="A164" i="4"/>
  <c r="U163" i="4"/>
  <c r="S163" i="4"/>
  <c r="H163" i="4"/>
  <c r="F163" i="4"/>
  <c r="B163" i="4"/>
  <c r="A163" i="4"/>
  <c r="U162" i="4"/>
  <c r="B162" i="4"/>
  <c r="H161" i="4"/>
  <c r="G161" i="4"/>
  <c r="F161" i="4"/>
  <c r="D161" i="4"/>
  <c r="B161" i="4"/>
  <c r="B160" i="4"/>
  <c r="A160" i="4" s="1"/>
  <c r="S159" i="4"/>
  <c r="D159" i="4"/>
  <c r="B159" i="4"/>
  <c r="A159" i="4"/>
  <c r="U158" i="4"/>
  <c r="H158" i="4"/>
  <c r="G158" i="4"/>
  <c r="F158" i="4"/>
  <c r="B158" i="4"/>
  <c r="A158" i="4"/>
  <c r="C157" i="4"/>
  <c r="B157" i="4"/>
  <c r="A157" i="4"/>
  <c r="U156" i="4"/>
  <c r="B156" i="4"/>
  <c r="S155" i="4"/>
  <c r="H155" i="4"/>
  <c r="D155" i="4"/>
  <c r="C155" i="4"/>
  <c r="B155" i="4"/>
  <c r="A155" i="4"/>
  <c r="U154" i="4"/>
  <c r="H154" i="4"/>
  <c r="G154" i="4"/>
  <c r="F154" i="4"/>
  <c r="D154" i="4"/>
  <c r="C154" i="4"/>
  <c r="B154" i="4"/>
  <c r="A154" i="4"/>
  <c r="H153" i="4"/>
  <c r="D153" i="4"/>
  <c r="C153" i="4"/>
  <c r="B153" i="4"/>
  <c r="B152" i="4"/>
  <c r="U151" i="4"/>
  <c r="H151" i="4"/>
  <c r="G151" i="4"/>
  <c r="F151" i="4"/>
  <c r="T151" i="4" s="1"/>
  <c r="D151" i="4"/>
  <c r="C151" i="4"/>
  <c r="B151" i="4"/>
  <c r="S151" i="4" s="1"/>
  <c r="A151" i="4"/>
  <c r="U150" i="4"/>
  <c r="S150" i="4"/>
  <c r="H150" i="4"/>
  <c r="G150" i="4"/>
  <c r="F150" i="4"/>
  <c r="T150" i="4" s="1"/>
  <c r="D150" i="4"/>
  <c r="B150" i="4"/>
  <c r="A150" i="4"/>
  <c r="B149" i="4"/>
  <c r="U148" i="4"/>
  <c r="B148" i="4"/>
  <c r="A148" i="4" s="1"/>
  <c r="U147" i="4"/>
  <c r="B147" i="4"/>
  <c r="B146" i="4"/>
  <c r="A146" i="4" s="1"/>
  <c r="U145" i="4"/>
  <c r="S145" i="4"/>
  <c r="H145" i="4"/>
  <c r="G145" i="4"/>
  <c r="F145" i="4"/>
  <c r="C145" i="4"/>
  <c r="B145" i="4"/>
  <c r="A145" i="4"/>
  <c r="S144" i="4"/>
  <c r="B144" i="4"/>
  <c r="S143" i="4"/>
  <c r="D143" i="4"/>
  <c r="C143" i="4"/>
  <c r="B143" i="4"/>
  <c r="A143" i="4"/>
  <c r="F142" i="4"/>
  <c r="C142" i="4"/>
  <c r="B142" i="4"/>
  <c r="A142" i="4"/>
  <c r="B141" i="4"/>
  <c r="B140" i="4"/>
  <c r="U139" i="4"/>
  <c r="S139" i="4"/>
  <c r="H139" i="4"/>
  <c r="G139" i="4"/>
  <c r="F139" i="4"/>
  <c r="T139" i="4" s="1"/>
  <c r="D139" i="4"/>
  <c r="C139" i="4"/>
  <c r="B139" i="4"/>
  <c r="A139" i="4"/>
  <c r="U138" i="4"/>
  <c r="C138" i="4"/>
  <c r="B138" i="4"/>
  <c r="U137" i="4"/>
  <c r="B137" i="4"/>
  <c r="A137" i="4" s="1"/>
  <c r="U136" i="4"/>
  <c r="S136" i="4"/>
  <c r="H136" i="4"/>
  <c r="G136" i="4"/>
  <c r="F136" i="4"/>
  <c r="T136" i="4" s="1"/>
  <c r="D136" i="4"/>
  <c r="C136" i="4"/>
  <c r="B136" i="4"/>
  <c r="A136" i="4"/>
  <c r="S135" i="4"/>
  <c r="G135" i="4"/>
  <c r="C135" i="4"/>
  <c r="B135" i="4"/>
  <c r="F134" i="4"/>
  <c r="B134" i="4"/>
  <c r="A134" i="4" s="1"/>
  <c r="B133" i="4"/>
  <c r="U132" i="4"/>
  <c r="S132" i="4"/>
  <c r="B132" i="4"/>
  <c r="U131" i="4"/>
  <c r="S131" i="4"/>
  <c r="M131" i="4"/>
  <c r="H131" i="4"/>
  <c r="G131" i="4"/>
  <c r="T131" i="4" s="1"/>
  <c r="F131" i="4"/>
  <c r="D131" i="4"/>
  <c r="C131" i="4"/>
  <c r="B131" i="4"/>
  <c r="A131" i="4"/>
  <c r="B130" i="4"/>
  <c r="U130" i="4" s="1"/>
  <c r="U129" i="4"/>
  <c r="B129" i="4"/>
  <c r="U128" i="4"/>
  <c r="L128" i="4"/>
  <c r="H128" i="4"/>
  <c r="F128" i="4"/>
  <c r="B128" i="4"/>
  <c r="A128" i="4"/>
  <c r="H127" i="4"/>
  <c r="F127" i="4"/>
  <c r="D127" i="4"/>
  <c r="B127" i="4"/>
  <c r="A127" i="4"/>
  <c r="U126" i="4"/>
  <c r="H126" i="4"/>
  <c r="G126" i="4"/>
  <c r="F126" i="4"/>
  <c r="B126" i="4"/>
  <c r="C125" i="4"/>
  <c r="B125" i="4"/>
  <c r="H124" i="4"/>
  <c r="G124" i="4"/>
  <c r="F124" i="4"/>
  <c r="D124" i="4"/>
  <c r="C124" i="4"/>
  <c r="B124" i="4"/>
  <c r="G123" i="4"/>
  <c r="F123" i="4"/>
  <c r="D123" i="4"/>
  <c r="B123" i="4"/>
  <c r="U122" i="4"/>
  <c r="T122" i="4"/>
  <c r="S122" i="4"/>
  <c r="L122" i="4"/>
  <c r="H122" i="4"/>
  <c r="G122" i="4"/>
  <c r="F122" i="4"/>
  <c r="D122" i="4"/>
  <c r="C122" i="4"/>
  <c r="B122" i="4"/>
  <c r="A122" i="4"/>
  <c r="S121" i="4"/>
  <c r="F121" i="4"/>
  <c r="D121" i="4"/>
  <c r="B121" i="4"/>
  <c r="G120" i="4"/>
  <c r="D120" i="4"/>
  <c r="B120" i="4"/>
  <c r="U119" i="4"/>
  <c r="S119" i="4"/>
  <c r="H119" i="4"/>
  <c r="G119" i="4"/>
  <c r="F119" i="4"/>
  <c r="C119" i="4"/>
  <c r="B119" i="4"/>
  <c r="U118" i="4"/>
  <c r="H118" i="4"/>
  <c r="D118" i="4"/>
  <c r="B118" i="4"/>
  <c r="A118" i="4"/>
  <c r="U117" i="4"/>
  <c r="B117" i="4"/>
  <c r="U116" i="4"/>
  <c r="B116" i="4"/>
  <c r="S115" i="4"/>
  <c r="M115" i="4"/>
  <c r="B115" i="4"/>
  <c r="D115" i="4" s="1"/>
  <c r="A115" i="4"/>
  <c r="S114" i="4"/>
  <c r="G114" i="4"/>
  <c r="F114" i="4"/>
  <c r="T114" i="4" s="1"/>
  <c r="D114" i="4"/>
  <c r="C114" i="4"/>
  <c r="B114" i="4"/>
  <c r="Q113" i="4"/>
  <c r="S113" i="4"/>
  <c r="B113" i="4"/>
  <c r="B112" i="4"/>
  <c r="U111" i="4"/>
  <c r="S111" i="4"/>
  <c r="B111" i="4"/>
  <c r="A111" i="4"/>
  <c r="U110" i="4"/>
  <c r="T110" i="4"/>
  <c r="Q110" i="4"/>
  <c r="R110" i="4" s="1"/>
  <c r="S110" i="4"/>
  <c r="H110" i="4"/>
  <c r="G110" i="4"/>
  <c r="F110" i="4"/>
  <c r="D110" i="4"/>
  <c r="C110" i="4"/>
  <c r="B110" i="4"/>
  <c r="A110" i="4"/>
  <c r="S109" i="4"/>
  <c r="M109" i="4"/>
  <c r="F109" i="4"/>
  <c r="D109" i="4"/>
  <c r="C109" i="4"/>
  <c r="B109" i="4"/>
  <c r="A109" i="4"/>
  <c r="U108" i="4"/>
  <c r="S108" i="4"/>
  <c r="H108" i="4"/>
  <c r="G108" i="4"/>
  <c r="F108" i="4"/>
  <c r="T108" i="4" s="1"/>
  <c r="C108" i="4"/>
  <c r="B108" i="4"/>
  <c r="A108" i="4"/>
  <c r="D107" i="4"/>
  <c r="B107" i="4"/>
  <c r="A107" i="4"/>
  <c r="F106" i="4"/>
  <c r="B106" i="4"/>
  <c r="A106" i="4"/>
  <c r="H105" i="4"/>
  <c r="G105" i="4"/>
  <c r="B105" i="4"/>
  <c r="B104" i="4"/>
  <c r="A104" i="4" s="1"/>
  <c r="G103" i="4"/>
  <c r="D103" i="4"/>
  <c r="B103" i="4"/>
  <c r="H102" i="4"/>
  <c r="G102" i="4"/>
  <c r="F102" i="4"/>
  <c r="C102" i="4"/>
  <c r="B102" i="4"/>
  <c r="U102" i="4" s="1"/>
  <c r="U101" i="4"/>
  <c r="S101" i="4"/>
  <c r="H101" i="4"/>
  <c r="G101" i="4"/>
  <c r="F101" i="4"/>
  <c r="B101" i="4"/>
  <c r="S100" i="4"/>
  <c r="D100" i="4"/>
  <c r="C100" i="4"/>
  <c r="B100" i="4"/>
  <c r="A100" i="4"/>
  <c r="S99" i="4"/>
  <c r="H99" i="4"/>
  <c r="G99" i="4"/>
  <c r="B99" i="4"/>
  <c r="A99" i="4"/>
  <c r="U98" i="4"/>
  <c r="S98" i="4"/>
  <c r="M98" i="4"/>
  <c r="I98" i="4"/>
  <c r="B98" i="4"/>
  <c r="S97" i="4"/>
  <c r="B97" i="4"/>
  <c r="A97" i="4"/>
  <c r="B96" i="4"/>
  <c r="A96" i="4"/>
  <c r="B95" i="4"/>
  <c r="S94" i="4"/>
  <c r="F94" i="4"/>
  <c r="D94" i="4"/>
  <c r="B94" i="4"/>
  <c r="A94" i="4"/>
  <c r="U93" i="4"/>
  <c r="F93" i="4"/>
  <c r="B93" i="4"/>
  <c r="B92" i="4"/>
  <c r="A92" i="4"/>
  <c r="S91" i="4"/>
  <c r="G91" i="4"/>
  <c r="F91" i="4"/>
  <c r="D91" i="4"/>
  <c r="C91" i="4"/>
  <c r="B91" i="4"/>
  <c r="A91" i="4"/>
  <c r="S90" i="4"/>
  <c r="M90" i="4"/>
  <c r="B90" i="4"/>
  <c r="A90" i="4"/>
  <c r="B89" i="4"/>
  <c r="A89" i="4"/>
  <c r="S88" i="4"/>
  <c r="G88" i="4"/>
  <c r="F88" i="4"/>
  <c r="T88" i="4" s="1"/>
  <c r="E88" i="4"/>
  <c r="C88" i="4"/>
  <c r="B88" i="4"/>
  <c r="A88" i="4"/>
  <c r="B87" i="4"/>
  <c r="U86" i="4"/>
  <c r="S86" i="4"/>
  <c r="H86" i="4"/>
  <c r="G86" i="4"/>
  <c r="F86" i="4"/>
  <c r="T86" i="4" s="1"/>
  <c r="E86" i="4"/>
  <c r="D86" i="4"/>
  <c r="C86" i="4"/>
  <c r="B86" i="4"/>
  <c r="A86" i="4"/>
  <c r="C85" i="4"/>
  <c r="B85" i="4"/>
  <c r="G84" i="4"/>
  <c r="C84" i="4"/>
  <c r="B84" i="4"/>
  <c r="S83" i="4"/>
  <c r="H83" i="4"/>
  <c r="G83" i="4"/>
  <c r="F83" i="4"/>
  <c r="C83" i="4"/>
  <c r="B83" i="4"/>
  <c r="U83" i="4" s="1"/>
  <c r="M82" i="4"/>
  <c r="K82" i="4"/>
  <c r="I82" i="4"/>
  <c r="G82" i="4"/>
  <c r="F82" i="4"/>
  <c r="D82" i="4"/>
  <c r="B82" i="4"/>
  <c r="A82" i="4"/>
  <c r="S81" i="4"/>
  <c r="I81" i="4"/>
  <c r="H81" i="4"/>
  <c r="G81" i="4"/>
  <c r="B81" i="4"/>
  <c r="S80" i="4"/>
  <c r="B80" i="4"/>
  <c r="A80" i="4"/>
  <c r="S79" i="4"/>
  <c r="B79" i="4"/>
  <c r="A79" i="4"/>
  <c r="S78" i="4"/>
  <c r="B78" i="4"/>
  <c r="Q77" i="4"/>
  <c r="S77" i="4"/>
  <c r="B77" i="4"/>
  <c r="A77" i="4"/>
  <c r="H76" i="4"/>
  <c r="G76" i="4"/>
  <c r="T76" i="4" s="1"/>
  <c r="F76" i="4"/>
  <c r="E76" i="4"/>
  <c r="D76" i="4"/>
  <c r="C76" i="4"/>
  <c r="B76" i="4"/>
  <c r="U76" i="4" s="1"/>
  <c r="A76" i="4"/>
  <c r="B75" i="4"/>
  <c r="U75" i="4" s="1"/>
  <c r="S74" i="4"/>
  <c r="H74" i="4"/>
  <c r="G74" i="4"/>
  <c r="C74" i="4"/>
  <c r="B74" i="4"/>
  <c r="A74" i="4"/>
  <c r="U73" i="4"/>
  <c r="H73" i="4"/>
  <c r="G73" i="4"/>
  <c r="F73" i="4"/>
  <c r="T73" i="4" s="1"/>
  <c r="D73" i="4"/>
  <c r="C73" i="4"/>
  <c r="B73" i="4"/>
  <c r="S73" i="4" s="1"/>
  <c r="A73" i="4"/>
  <c r="U72" i="4"/>
  <c r="D72" i="4"/>
  <c r="C72" i="4"/>
  <c r="B72" i="4"/>
  <c r="A72" i="4" s="1"/>
  <c r="U71" i="4"/>
  <c r="H71" i="4"/>
  <c r="G71" i="4"/>
  <c r="B71" i="4"/>
  <c r="U70" i="4"/>
  <c r="M70" i="4"/>
  <c r="L70" i="4"/>
  <c r="H70" i="4"/>
  <c r="G70" i="4"/>
  <c r="F70" i="4"/>
  <c r="D70" i="4"/>
  <c r="C70" i="4"/>
  <c r="B70" i="4"/>
  <c r="S70" i="4" s="1"/>
  <c r="A70" i="4"/>
  <c r="U69" i="4"/>
  <c r="T69" i="4"/>
  <c r="Q69" i="4"/>
  <c r="R69" i="4" s="1"/>
  <c r="S69" i="4"/>
  <c r="H69" i="4"/>
  <c r="G69" i="4"/>
  <c r="F69" i="4"/>
  <c r="D69" i="4"/>
  <c r="C69" i="4"/>
  <c r="B69" i="4"/>
  <c r="A69" i="4"/>
  <c r="S68" i="4"/>
  <c r="M68" i="4"/>
  <c r="H68" i="4"/>
  <c r="D68" i="4"/>
  <c r="C68" i="4"/>
  <c r="B68" i="4"/>
  <c r="U67" i="4"/>
  <c r="H67" i="4"/>
  <c r="G67" i="4"/>
  <c r="F67" i="4"/>
  <c r="D67" i="4"/>
  <c r="C67" i="4"/>
  <c r="B67" i="4"/>
  <c r="S67" i="4" s="1"/>
  <c r="A67" i="4"/>
  <c r="B66" i="4"/>
  <c r="A66" i="4" s="1"/>
  <c r="C65" i="4"/>
  <c r="B65" i="4"/>
  <c r="A65" i="4"/>
  <c r="U64" i="4"/>
  <c r="T64" i="4"/>
  <c r="I64" i="4"/>
  <c r="H64" i="4"/>
  <c r="G64" i="4"/>
  <c r="F64" i="4"/>
  <c r="D64" i="4"/>
  <c r="C64" i="4"/>
  <c r="B64" i="4"/>
  <c r="S64" i="4" s="1"/>
  <c r="A64" i="4"/>
  <c r="S63" i="4"/>
  <c r="M63" i="4"/>
  <c r="H63" i="4"/>
  <c r="G63" i="4"/>
  <c r="B63" i="4"/>
  <c r="A63" i="4"/>
  <c r="U62" i="4"/>
  <c r="S62" i="4"/>
  <c r="H62" i="4"/>
  <c r="G62" i="4"/>
  <c r="F62" i="4"/>
  <c r="T62" i="4" s="1"/>
  <c r="E62" i="4"/>
  <c r="D62" i="4"/>
  <c r="B62" i="4"/>
  <c r="F61" i="4"/>
  <c r="B61" i="4"/>
  <c r="A61" i="4" s="1"/>
  <c r="U60" i="4"/>
  <c r="S60" i="4"/>
  <c r="I60" i="4"/>
  <c r="H60" i="4"/>
  <c r="G60" i="4"/>
  <c r="F60" i="4"/>
  <c r="D60" i="4"/>
  <c r="B60" i="4"/>
  <c r="A60" i="4"/>
  <c r="B59" i="4"/>
  <c r="U58" i="4"/>
  <c r="S58" i="4"/>
  <c r="F58" i="4"/>
  <c r="E58" i="4"/>
  <c r="B58" i="4"/>
  <c r="A58" i="4"/>
  <c r="U57" i="4"/>
  <c r="S57" i="4"/>
  <c r="H57" i="4"/>
  <c r="G57" i="4"/>
  <c r="F57" i="4"/>
  <c r="D57" i="4"/>
  <c r="C57" i="4"/>
  <c r="B57" i="4"/>
  <c r="S56" i="4"/>
  <c r="H56" i="4"/>
  <c r="B56" i="4"/>
  <c r="B55" i="4"/>
  <c r="A55" i="4" s="1"/>
  <c r="C54" i="4"/>
  <c r="B54" i="4"/>
  <c r="A54" i="4" s="1"/>
  <c r="U53" i="4"/>
  <c r="S53" i="4"/>
  <c r="H53" i="4"/>
  <c r="G53" i="4"/>
  <c r="F53" i="4"/>
  <c r="T53" i="4" s="1"/>
  <c r="D53" i="4"/>
  <c r="B53" i="4"/>
  <c r="S52" i="4"/>
  <c r="B52" i="4"/>
  <c r="G52" i="4" s="1"/>
  <c r="A52" i="4"/>
  <c r="B51" i="4"/>
  <c r="H50" i="4"/>
  <c r="E50" i="4"/>
  <c r="D50" i="4"/>
  <c r="C50" i="4"/>
  <c r="B50" i="4"/>
  <c r="H49" i="4"/>
  <c r="G49" i="4"/>
  <c r="F49" i="4"/>
  <c r="B49" i="4"/>
  <c r="S48" i="4"/>
  <c r="B48" i="4"/>
  <c r="A48" i="4"/>
  <c r="U47" i="4"/>
  <c r="T47" i="4"/>
  <c r="S47" i="4"/>
  <c r="H47" i="4"/>
  <c r="G47" i="4"/>
  <c r="F47" i="4"/>
  <c r="D47" i="4"/>
  <c r="C47" i="4"/>
  <c r="B47" i="4"/>
  <c r="S46" i="4"/>
  <c r="M46" i="4"/>
  <c r="F46" i="4"/>
  <c r="D46" i="4"/>
  <c r="B46" i="4"/>
  <c r="A46" i="4"/>
  <c r="U45" i="4"/>
  <c r="S45" i="4"/>
  <c r="M45" i="4"/>
  <c r="L45" i="4"/>
  <c r="H45" i="4"/>
  <c r="G45" i="4"/>
  <c r="F45" i="4"/>
  <c r="T45" i="4" s="1"/>
  <c r="D45" i="4"/>
  <c r="C45" i="4"/>
  <c r="B45" i="4"/>
  <c r="A45" i="4"/>
  <c r="U44" i="4"/>
  <c r="S44" i="4"/>
  <c r="G44" i="4"/>
  <c r="T44" i="4" s="1"/>
  <c r="F44" i="4"/>
  <c r="D44" i="4"/>
  <c r="C44" i="4"/>
  <c r="B44" i="4"/>
  <c r="U43" i="4"/>
  <c r="S43" i="4"/>
  <c r="L43" i="4"/>
  <c r="K43" i="4"/>
  <c r="H43" i="4"/>
  <c r="G43" i="4"/>
  <c r="F43" i="4"/>
  <c r="T43" i="4" s="1"/>
  <c r="D43" i="4"/>
  <c r="B43" i="4"/>
  <c r="A43" i="4"/>
  <c r="S42" i="4"/>
  <c r="B42" i="4"/>
  <c r="A42" i="4"/>
  <c r="B41" i="4"/>
  <c r="U40" i="4"/>
  <c r="S40" i="4"/>
  <c r="M40" i="4"/>
  <c r="H40" i="4"/>
  <c r="G40" i="4"/>
  <c r="F40" i="4"/>
  <c r="D40" i="4"/>
  <c r="B40" i="4"/>
  <c r="A40" i="4"/>
  <c r="S39" i="4"/>
  <c r="M39" i="4"/>
  <c r="B39" i="4"/>
  <c r="H39" i="4" s="1"/>
  <c r="A39" i="4"/>
  <c r="C38" i="4"/>
  <c r="B38" i="4"/>
  <c r="U38" i="4" s="1"/>
  <c r="U37" i="4"/>
  <c r="H37" i="4"/>
  <c r="G37" i="4"/>
  <c r="F37" i="4"/>
  <c r="C37" i="4"/>
  <c r="B37" i="4"/>
  <c r="S36" i="4"/>
  <c r="M36" i="4"/>
  <c r="I36" i="4"/>
  <c r="H36" i="4"/>
  <c r="G36" i="4"/>
  <c r="B36" i="4"/>
  <c r="A36" i="4"/>
  <c r="B35" i="4"/>
  <c r="S35" i="4" s="1"/>
  <c r="B34" i="4"/>
  <c r="A34" i="4"/>
  <c r="H33" i="4"/>
  <c r="B33" i="4"/>
  <c r="B32" i="4"/>
  <c r="I32" i="4" s="1"/>
  <c r="B31" i="4"/>
  <c r="A31" i="4" s="1"/>
  <c r="B30" i="4"/>
  <c r="I29" i="4"/>
  <c r="B29" i="4"/>
  <c r="F29" i="4" s="1"/>
  <c r="S28" i="4"/>
  <c r="H28" i="4"/>
  <c r="D28" i="4"/>
  <c r="B28" i="4"/>
  <c r="G28" i="4" s="1"/>
  <c r="A28" i="4"/>
  <c r="B27" i="4"/>
  <c r="B26" i="4"/>
  <c r="M25" i="4"/>
  <c r="C25" i="4"/>
  <c r="B25" i="4"/>
  <c r="A25" i="4"/>
  <c r="B24" i="4"/>
  <c r="A24" i="4"/>
  <c r="S23" i="4"/>
  <c r="G23" i="4"/>
  <c r="B23" i="4"/>
  <c r="B22" i="4"/>
  <c r="A22" i="4"/>
  <c r="F21" i="4"/>
  <c r="C21" i="4"/>
  <c r="B21" i="4"/>
  <c r="D21" i="4" s="1"/>
  <c r="A21" i="4"/>
  <c r="B20" i="4"/>
  <c r="C20" i="4" s="1"/>
  <c r="H19" i="4"/>
  <c r="G19" i="4"/>
  <c r="B19" i="4"/>
  <c r="S19" i="4" s="1"/>
  <c r="A19" i="4"/>
  <c r="B18" i="4"/>
  <c r="A18" i="4" s="1"/>
  <c r="D17" i="4"/>
  <c r="B17" i="4"/>
  <c r="G17" i="4" s="1"/>
  <c r="H16" i="4"/>
  <c r="G16" i="4"/>
  <c r="D16" i="4"/>
  <c r="B16" i="4"/>
  <c r="C16" i="4" s="1"/>
  <c r="B15" i="4"/>
  <c r="I15" i="4" s="1"/>
  <c r="A15" i="4"/>
  <c r="B14" i="4"/>
  <c r="C14" i="4" s="1"/>
  <c r="H13" i="4"/>
  <c r="G13" i="4"/>
  <c r="F13" i="4"/>
  <c r="T13" i="4" s="1"/>
  <c r="B13" i="4"/>
  <c r="E13" i="4" s="1"/>
  <c r="B12" i="4"/>
  <c r="A12" i="4"/>
  <c r="B11" i="4"/>
  <c r="B10" i="4"/>
  <c r="H9" i="4"/>
  <c r="G9" i="4"/>
  <c r="F9" i="4"/>
  <c r="T9" i="4" s="1"/>
  <c r="C9" i="4"/>
  <c r="B9" i="4"/>
  <c r="D9" i="4" s="1"/>
  <c r="A9" i="4"/>
  <c r="B8" i="4"/>
  <c r="B7" i="4"/>
  <c r="A7" i="4" s="1"/>
  <c r="H6" i="4"/>
  <c r="G6" i="4"/>
  <c r="B6" i="4"/>
  <c r="A6" i="4"/>
  <c r="B5" i="4"/>
  <c r="A3" i="4"/>
  <c r="L504" i="3"/>
  <c r="I504" i="3"/>
  <c r="H504" i="3"/>
  <c r="J504" i="3" s="1"/>
  <c r="L503" i="3"/>
  <c r="I503" i="3"/>
  <c r="H503" i="3"/>
  <c r="J503" i="3" s="1"/>
  <c r="L502" i="3"/>
  <c r="I502" i="3"/>
  <c r="H502" i="3"/>
  <c r="J502" i="3" s="1"/>
  <c r="L501" i="3"/>
  <c r="J501" i="3"/>
  <c r="I501" i="3"/>
  <c r="H501" i="3"/>
  <c r="L500" i="3"/>
  <c r="J500" i="3"/>
  <c r="I500" i="3"/>
  <c r="H500" i="3"/>
  <c r="L499" i="3"/>
  <c r="I499" i="3"/>
  <c r="H499" i="3"/>
  <c r="J499" i="3" s="1"/>
  <c r="L498" i="3"/>
  <c r="I498" i="3"/>
  <c r="H498" i="3"/>
  <c r="J498" i="3" s="1"/>
  <c r="L497" i="3"/>
  <c r="J497" i="3"/>
  <c r="I497" i="3"/>
  <c r="H497" i="3"/>
  <c r="L496" i="3"/>
  <c r="I496" i="3"/>
  <c r="H496" i="3"/>
  <c r="J496" i="3" s="1"/>
  <c r="L495" i="3"/>
  <c r="I495" i="3"/>
  <c r="H495" i="3"/>
  <c r="J495" i="3" s="1"/>
  <c r="L494" i="3"/>
  <c r="J494" i="3"/>
  <c r="I494" i="3"/>
  <c r="H494" i="3"/>
  <c r="L493" i="3"/>
  <c r="I493" i="3"/>
  <c r="H493" i="3"/>
  <c r="J493" i="3" s="1"/>
  <c r="L492" i="3"/>
  <c r="I492" i="3"/>
  <c r="H492" i="3"/>
  <c r="J492" i="3" s="1"/>
  <c r="L491" i="3"/>
  <c r="J491" i="3"/>
  <c r="I491" i="3"/>
  <c r="H491" i="3"/>
  <c r="L490" i="3"/>
  <c r="I490" i="3"/>
  <c r="H490" i="3"/>
  <c r="J490" i="3" s="1"/>
  <c r="L489" i="3"/>
  <c r="I489" i="3"/>
  <c r="H489" i="3"/>
  <c r="J489" i="3" s="1"/>
  <c r="L488" i="3"/>
  <c r="I488" i="3"/>
  <c r="H488" i="3"/>
  <c r="J488" i="3" s="1"/>
  <c r="L487" i="3"/>
  <c r="I487" i="3"/>
  <c r="H487" i="3"/>
  <c r="J487" i="3" s="1"/>
  <c r="L486" i="3"/>
  <c r="I486" i="3"/>
  <c r="H486" i="3"/>
  <c r="J486" i="3" s="1"/>
  <c r="L485" i="3"/>
  <c r="I485" i="3"/>
  <c r="H485" i="3"/>
  <c r="J485" i="3" s="1"/>
  <c r="L484" i="3"/>
  <c r="I484" i="3"/>
  <c r="H484" i="3"/>
  <c r="J484" i="3" s="1"/>
  <c r="L483" i="3"/>
  <c r="I483" i="3"/>
  <c r="H483" i="3"/>
  <c r="J483" i="3" s="1"/>
  <c r="L482" i="3"/>
  <c r="J482" i="3"/>
  <c r="I482" i="3"/>
  <c r="H482" i="3"/>
  <c r="L481" i="3"/>
  <c r="I481" i="3"/>
  <c r="H481" i="3"/>
  <c r="J481" i="3" s="1"/>
  <c r="L480" i="3"/>
  <c r="I480" i="3"/>
  <c r="H480" i="3"/>
  <c r="J480" i="3" s="1"/>
  <c r="L479" i="3"/>
  <c r="J479" i="3"/>
  <c r="I479" i="3"/>
  <c r="H479" i="3"/>
  <c r="L478" i="3"/>
  <c r="I478" i="3"/>
  <c r="H478" i="3"/>
  <c r="J478" i="3" s="1"/>
  <c r="L477" i="3"/>
  <c r="J477" i="3"/>
  <c r="I477" i="3"/>
  <c r="H477" i="3"/>
  <c r="L476" i="3"/>
  <c r="I476" i="3"/>
  <c r="H476" i="3"/>
  <c r="J476" i="3" s="1"/>
  <c r="L475" i="3"/>
  <c r="I475" i="3"/>
  <c r="H475" i="3"/>
  <c r="J475" i="3" s="1"/>
  <c r="L474" i="3"/>
  <c r="J474" i="3"/>
  <c r="I474" i="3"/>
  <c r="H474" i="3"/>
  <c r="L473" i="3"/>
  <c r="I473" i="3"/>
  <c r="H473" i="3"/>
  <c r="J473" i="3" s="1"/>
  <c r="L472" i="3"/>
  <c r="I472" i="3"/>
  <c r="H472" i="3"/>
  <c r="J472" i="3" s="1"/>
  <c r="L471" i="3"/>
  <c r="J471" i="3"/>
  <c r="I471" i="3"/>
  <c r="H471" i="3"/>
  <c r="L470" i="3"/>
  <c r="I470" i="3"/>
  <c r="H470" i="3"/>
  <c r="J470" i="3" s="1"/>
  <c r="L469" i="3"/>
  <c r="I469" i="3"/>
  <c r="H469" i="3"/>
  <c r="J469" i="3" s="1"/>
  <c r="L468" i="3"/>
  <c r="J468" i="3"/>
  <c r="I468" i="3"/>
  <c r="H468" i="3"/>
  <c r="L467" i="3"/>
  <c r="I467" i="3"/>
  <c r="H467" i="3"/>
  <c r="J467" i="3" s="1"/>
  <c r="L466" i="3"/>
  <c r="I466" i="3"/>
  <c r="H466" i="3"/>
  <c r="J466" i="3" s="1"/>
  <c r="L465" i="3"/>
  <c r="J465" i="3"/>
  <c r="I465" i="3"/>
  <c r="H465" i="3"/>
  <c r="L464" i="3"/>
  <c r="J464" i="3"/>
  <c r="I464" i="3"/>
  <c r="H464" i="3"/>
  <c r="L463" i="3"/>
  <c r="I463" i="3"/>
  <c r="H463" i="3"/>
  <c r="J463" i="3" s="1"/>
  <c r="L462" i="3"/>
  <c r="I462" i="3"/>
  <c r="H462" i="3"/>
  <c r="J462" i="3" s="1"/>
  <c r="L461" i="3"/>
  <c r="J461" i="3"/>
  <c r="I461" i="3"/>
  <c r="H461" i="3"/>
  <c r="L460" i="3"/>
  <c r="I460" i="3"/>
  <c r="H460" i="3"/>
  <c r="J460" i="3" s="1"/>
  <c r="L459" i="3"/>
  <c r="I459" i="3"/>
  <c r="H459" i="3"/>
  <c r="J459" i="3" s="1"/>
  <c r="L458" i="3"/>
  <c r="J458" i="3"/>
  <c r="I458" i="3"/>
  <c r="H458" i="3"/>
  <c r="L457" i="3"/>
  <c r="I457" i="3"/>
  <c r="H457" i="3"/>
  <c r="J457" i="3" s="1"/>
  <c r="L456" i="3"/>
  <c r="J456" i="3"/>
  <c r="I456" i="3"/>
  <c r="H456" i="3"/>
  <c r="L455" i="3"/>
  <c r="J455" i="3"/>
  <c r="I455" i="3"/>
  <c r="H455" i="3"/>
  <c r="L454" i="3"/>
  <c r="I454" i="3"/>
  <c r="H454" i="3"/>
  <c r="J454" i="3" s="1"/>
  <c r="L453" i="3"/>
  <c r="I453" i="3"/>
  <c r="H453" i="3"/>
  <c r="J453" i="3" s="1"/>
  <c r="L452" i="3"/>
  <c r="I452" i="3"/>
  <c r="H452" i="3"/>
  <c r="J452" i="3" s="1"/>
  <c r="L451" i="3"/>
  <c r="I451" i="3"/>
  <c r="H451" i="3"/>
  <c r="J451" i="3" s="1"/>
  <c r="L450" i="3"/>
  <c r="I450" i="3"/>
  <c r="H450" i="3"/>
  <c r="J450" i="3" s="1"/>
  <c r="L449" i="3"/>
  <c r="J449" i="3"/>
  <c r="I449" i="3"/>
  <c r="H449" i="3"/>
  <c r="L448" i="3"/>
  <c r="I448" i="3"/>
  <c r="H448" i="3"/>
  <c r="J448" i="3" s="1"/>
  <c r="L447" i="3"/>
  <c r="I447" i="3"/>
  <c r="H447" i="3"/>
  <c r="J447" i="3" s="1"/>
  <c r="L446" i="3"/>
  <c r="I446" i="3"/>
  <c r="H446" i="3"/>
  <c r="J446" i="3" s="1"/>
  <c r="L445" i="3"/>
  <c r="I445" i="3"/>
  <c r="H445" i="3"/>
  <c r="J445" i="3" s="1"/>
  <c r="L444" i="3"/>
  <c r="I444" i="3"/>
  <c r="H444" i="3"/>
  <c r="J444" i="3" s="1"/>
  <c r="L443" i="3"/>
  <c r="I443" i="3"/>
  <c r="H443" i="3"/>
  <c r="J443" i="3" s="1"/>
  <c r="L442" i="3"/>
  <c r="I442" i="3"/>
  <c r="H442" i="3"/>
  <c r="J442" i="3" s="1"/>
  <c r="L441" i="3"/>
  <c r="J441" i="3"/>
  <c r="I441" i="3"/>
  <c r="H441" i="3"/>
  <c r="L440" i="3"/>
  <c r="I440" i="3"/>
  <c r="H440" i="3"/>
  <c r="J440" i="3" s="1"/>
  <c r="L439" i="3"/>
  <c r="I439" i="3"/>
  <c r="H439" i="3"/>
  <c r="J439" i="3" s="1"/>
  <c r="L438" i="3"/>
  <c r="J438" i="3"/>
  <c r="I438" i="3"/>
  <c r="H438" i="3"/>
  <c r="L437" i="3"/>
  <c r="I437" i="3"/>
  <c r="H437" i="3"/>
  <c r="J437" i="3" s="1"/>
  <c r="L436" i="3"/>
  <c r="I436" i="3"/>
  <c r="H436" i="3"/>
  <c r="J436" i="3" s="1"/>
  <c r="L435" i="3"/>
  <c r="J435" i="3"/>
  <c r="I435" i="3"/>
  <c r="H435" i="3"/>
  <c r="L434" i="3"/>
  <c r="I434" i="3"/>
  <c r="H434" i="3"/>
  <c r="J434" i="3" s="1"/>
  <c r="L433" i="3"/>
  <c r="I433" i="3"/>
  <c r="H433" i="3"/>
  <c r="J433" i="3" s="1"/>
  <c r="L432" i="3"/>
  <c r="I432" i="3"/>
  <c r="H432" i="3"/>
  <c r="J432" i="3" s="1"/>
  <c r="L431" i="3"/>
  <c r="I431" i="3"/>
  <c r="H431" i="3"/>
  <c r="J431" i="3" s="1"/>
  <c r="L430" i="3"/>
  <c r="I430" i="3"/>
  <c r="H430" i="3"/>
  <c r="J430" i="3" s="1"/>
  <c r="L429" i="3"/>
  <c r="I429" i="3"/>
  <c r="H429" i="3"/>
  <c r="J429" i="3" s="1"/>
  <c r="L428" i="3"/>
  <c r="I428" i="3"/>
  <c r="H428" i="3"/>
  <c r="J428" i="3" s="1"/>
  <c r="L427" i="3"/>
  <c r="I427" i="3"/>
  <c r="H427" i="3"/>
  <c r="J427" i="3" s="1"/>
  <c r="L426" i="3"/>
  <c r="I426" i="3"/>
  <c r="H426" i="3"/>
  <c r="J426" i="3" s="1"/>
  <c r="L425" i="3"/>
  <c r="I425" i="3"/>
  <c r="H425" i="3"/>
  <c r="J425" i="3" s="1"/>
  <c r="L424" i="3"/>
  <c r="I424" i="3"/>
  <c r="H424" i="3"/>
  <c r="J424" i="3" s="1"/>
  <c r="L423" i="3"/>
  <c r="I423" i="3"/>
  <c r="H423" i="3"/>
  <c r="J423" i="3" s="1"/>
  <c r="L422" i="3"/>
  <c r="I422" i="3"/>
  <c r="H422" i="3"/>
  <c r="J422" i="3" s="1"/>
  <c r="L421" i="3"/>
  <c r="I421" i="3"/>
  <c r="H421" i="3"/>
  <c r="J421" i="3" s="1"/>
  <c r="L420" i="3"/>
  <c r="J420" i="3"/>
  <c r="I420" i="3"/>
  <c r="H420" i="3"/>
  <c r="L419" i="3"/>
  <c r="I419" i="3"/>
  <c r="H419" i="3"/>
  <c r="J419" i="3" s="1"/>
  <c r="L418" i="3"/>
  <c r="I418" i="3"/>
  <c r="H418" i="3"/>
  <c r="J418" i="3" s="1"/>
  <c r="L417" i="3"/>
  <c r="I417" i="3"/>
  <c r="H417" i="3"/>
  <c r="J417" i="3" s="1"/>
  <c r="L416" i="3"/>
  <c r="I416" i="3"/>
  <c r="H416" i="3"/>
  <c r="J416" i="3" s="1"/>
  <c r="L415" i="3"/>
  <c r="I415" i="3"/>
  <c r="H415" i="3"/>
  <c r="J415" i="3" s="1"/>
  <c r="L414" i="3"/>
  <c r="I414" i="3"/>
  <c r="H414" i="3"/>
  <c r="J414" i="3" s="1"/>
  <c r="L413" i="3"/>
  <c r="J413" i="3"/>
  <c r="I413" i="3"/>
  <c r="H413" i="3"/>
  <c r="L412" i="3"/>
  <c r="I412" i="3"/>
  <c r="H412" i="3"/>
  <c r="J412" i="3" s="1"/>
  <c r="L411" i="3"/>
  <c r="I411" i="3"/>
  <c r="H411" i="3"/>
  <c r="J411" i="3" s="1"/>
  <c r="L410" i="3"/>
  <c r="I410" i="3"/>
  <c r="H410" i="3"/>
  <c r="J410" i="3" s="1"/>
  <c r="L409" i="3"/>
  <c r="I409" i="3"/>
  <c r="H409" i="3"/>
  <c r="J409" i="3" s="1"/>
  <c r="L408" i="3"/>
  <c r="I408" i="3"/>
  <c r="H408" i="3"/>
  <c r="J408" i="3" s="1"/>
  <c r="L407" i="3"/>
  <c r="I407" i="3"/>
  <c r="H407" i="3"/>
  <c r="J407" i="3" s="1"/>
  <c r="L406" i="3"/>
  <c r="I406" i="3"/>
  <c r="H406" i="3"/>
  <c r="J406" i="3" s="1"/>
  <c r="L405" i="3"/>
  <c r="I405" i="3"/>
  <c r="H405" i="3"/>
  <c r="J405" i="3" s="1"/>
  <c r="L404" i="3"/>
  <c r="I404" i="3"/>
  <c r="H404" i="3"/>
  <c r="J404" i="3" s="1"/>
  <c r="L403" i="3"/>
  <c r="I403" i="3"/>
  <c r="H403" i="3"/>
  <c r="J403" i="3" s="1"/>
  <c r="L402" i="3"/>
  <c r="J402" i="3"/>
  <c r="I402" i="3"/>
  <c r="H402" i="3"/>
  <c r="L401" i="3"/>
  <c r="I401" i="3"/>
  <c r="H401" i="3"/>
  <c r="J401" i="3" s="1"/>
  <c r="L400" i="3"/>
  <c r="I400" i="3"/>
  <c r="H400" i="3"/>
  <c r="J400" i="3" s="1"/>
  <c r="L399" i="3"/>
  <c r="I399" i="3"/>
  <c r="H399" i="3"/>
  <c r="J399" i="3" s="1"/>
  <c r="L398" i="3"/>
  <c r="I398" i="3"/>
  <c r="H398" i="3"/>
  <c r="J398" i="3" s="1"/>
  <c r="L397" i="3"/>
  <c r="I397" i="3"/>
  <c r="H397" i="3"/>
  <c r="J397" i="3" s="1"/>
  <c r="L396" i="3"/>
  <c r="I396" i="3"/>
  <c r="H396" i="3"/>
  <c r="J396" i="3" s="1"/>
  <c r="L395" i="3"/>
  <c r="I395" i="3"/>
  <c r="H395" i="3"/>
  <c r="J395" i="3" s="1"/>
  <c r="L394" i="3"/>
  <c r="I394" i="3"/>
  <c r="H394" i="3"/>
  <c r="J394" i="3" s="1"/>
  <c r="L393" i="3"/>
  <c r="J393" i="3"/>
  <c r="I393" i="3"/>
  <c r="H393" i="3"/>
  <c r="L392" i="3"/>
  <c r="I392" i="3"/>
  <c r="H392" i="3"/>
  <c r="J392" i="3" s="1"/>
  <c r="L391" i="3"/>
  <c r="I391" i="3"/>
  <c r="H391" i="3"/>
  <c r="J391" i="3" s="1"/>
  <c r="L390" i="3"/>
  <c r="I390" i="3"/>
  <c r="H390" i="3"/>
  <c r="J390" i="3" s="1"/>
  <c r="L389" i="3"/>
  <c r="I389" i="3"/>
  <c r="H389" i="3"/>
  <c r="J389" i="3" s="1"/>
  <c r="L388" i="3"/>
  <c r="I388" i="3"/>
  <c r="H388" i="3"/>
  <c r="J388" i="3" s="1"/>
  <c r="L387" i="3"/>
  <c r="I387" i="3"/>
  <c r="H387" i="3"/>
  <c r="J387" i="3" s="1"/>
  <c r="L386" i="3"/>
  <c r="J386" i="3"/>
  <c r="I386" i="3"/>
  <c r="H386" i="3"/>
  <c r="L385" i="3"/>
  <c r="I385" i="3"/>
  <c r="H385" i="3"/>
  <c r="J385" i="3" s="1"/>
  <c r="L384" i="3"/>
  <c r="I384" i="3"/>
  <c r="H384" i="3"/>
  <c r="J384" i="3" s="1"/>
  <c r="L383" i="3"/>
  <c r="I383" i="3"/>
  <c r="H383" i="3"/>
  <c r="J383" i="3" s="1"/>
  <c r="L382" i="3"/>
  <c r="I382" i="3"/>
  <c r="H382" i="3"/>
  <c r="J382" i="3" s="1"/>
  <c r="L381" i="3"/>
  <c r="I381" i="3"/>
  <c r="H381" i="3"/>
  <c r="J381" i="3" s="1"/>
  <c r="L380" i="3"/>
  <c r="I380" i="3"/>
  <c r="H380" i="3"/>
  <c r="J380" i="3" s="1"/>
  <c r="L379" i="3"/>
  <c r="I379" i="3"/>
  <c r="H379" i="3"/>
  <c r="J379" i="3" s="1"/>
  <c r="L378" i="3"/>
  <c r="I378" i="3"/>
  <c r="H378" i="3"/>
  <c r="J378" i="3" s="1"/>
  <c r="L377" i="3"/>
  <c r="I377" i="3"/>
  <c r="H377" i="3"/>
  <c r="J377" i="3" s="1"/>
  <c r="L376" i="3"/>
  <c r="I376" i="3"/>
  <c r="H376" i="3"/>
  <c r="J376" i="3" s="1"/>
  <c r="L375" i="3"/>
  <c r="I375" i="3"/>
  <c r="H375" i="3"/>
  <c r="J375" i="3" s="1"/>
  <c r="L374" i="3"/>
  <c r="I374" i="3"/>
  <c r="H374" i="3"/>
  <c r="J374" i="3" s="1"/>
  <c r="L373" i="3"/>
  <c r="I373" i="3"/>
  <c r="H373" i="3"/>
  <c r="J373" i="3" s="1"/>
  <c r="L372" i="3"/>
  <c r="I372" i="3"/>
  <c r="H372" i="3"/>
  <c r="J372" i="3" s="1"/>
  <c r="L371" i="3"/>
  <c r="J371" i="3"/>
  <c r="I371" i="3"/>
  <c r="H371" i="3"/>
  <c r="L370" i="3"/>
  <c r="I370" i="3"/>
  <c r="H370" i="3"/>
  <c r="J370" i="3" s="1"/>
  <c r="L369" i="3"/>
  <c r="J369" i="3"/>
  <c r="I369" i="3"/>
  <c r="H369" i="3"/>
  <c r="L368" i="3"/>
  <c r="I368" i="3"/>
  <c r="H368" i="3"/>
  <c r="J368" i="3" s="1"/>
  <c r="L367" i="3"/>
  <c r="I367" i="3"/>
  <c r="H367" i="3"/>
  <c r="J367" i="3" s="1"/>
  <c r="L366" i="3"/>
  <c r="I366" i="3"/>
  <c r="H366" i="3"/>
  <c r="J366" i="3" s="1"/>
  <c r="L365" i="3"/>
  <c r="K29" i="4" s="1"/>
  <c r="I365" i="3"/>
  <c r="H365" i="3"/>
  <c r="J365" i="3" s="1"/>
  <c r="L364" i="3"/>
  <c r="I364" i="3"/>
  <c r="H364" i="3"/>
  <c r="J364" i="3" s="1"/>
  <c r="L363" i="3"/>
  <c r="I363" i="3"/>
  <c r="H363" i="3"/>
  <c r="J363" i="3" s="1"/>
  <c r="L362" i="3"/>
  <c r="I362" i="3"/>
  <c r="H362" i="3"/>
  <c r="J362" i="3" s="1"/>
  <c r="L361" i="3"/>
  <c r="I361" i="3"/>
  <c r="H361" i="3"/>
  <c r="J361" i="3" s="1"/>
  <c r="L360" i="3"/>
  <c r="I360" i="3"/>
  <c r="H360" i="3"/>
  <c r="J360" i="3" s="1"/>
  <c r="L359" i="3"/>
  <c r="I359" i="3"/>
  <c r="H359" i="3"/>
  <c r="J359" i="3" s="1"/>
  <c r="L358" i="3"/>
  <c r="I358" i="3"/>
  <c r="H358" i="3"/>
  <c r="J358" i="3" s="1"/>
  <c r="L357" i="3"/>
  <c r="I357" i="3"/>
  <c r="H357" i="3"/>
  <c r="J357" i="3" s="1"/>
  <c r="L356" i="3"/>
  <c r="I356" i="3"/>
  <c r="H356" i="3"/>
  <c r="J356" i="3" s="1"/>
  <c r="L355" i="3"/>
  <c r="I355" i="3"/>
  <c r="H355" i="3"/>
  <c r="J355" i="3" s="1"/>
  <c r="L354" i="3"/>
  <c r="I354" i="3"/>
  <c r="H354" i="3"/>
  <c r="J354" i="3" s="1"/>
  <c r="L353" i="3"/>
  <c r="I353" i="3"/>
  <c r="H353" i="3"/>
  <c r="J353" i="3" s="1"/>
  <c r="L352" i="3"/>
  <c r="I352" i="3"/>
  <c r="H352" i="3"/>
  <c r="J352" i="3" s="1"/>
  <c r="L351" i="3"/>
  <c r="I351" i="3"/>
  <c r="H351" i="3"/>
  <c r="J351" i="3" s="1"/>
  <c r="L350" i="3"/>
  <c r="I350" i="3"/>
  <c r="H350" i="3"/>
  <c r="J350" i="3" s="1"/>
  <c r="L349" i="3"/>
  <c r="I349" i="3"/>
  <c r="H349" i="3"/>
  <c r="J349" i="3" s="1"/>
  <c r="L348" i="3"/>
  <c r="I348" i="3"/>
  <c r="H348" i="3"/>
  <c r="J348" i="3" s="1"/>
  <c r="L347" i="3"/>
  <c r="I347" i="3"/>
  <c r="H347" i="3"/>
  <c r="J347" i="3" s="1"/>
  <c r="L346" i="3"/>
  <c r="I346" i="3"/>
  <c r="H346" i="3"/>
  <c r="J346" i="3" s="1"/>
  <c r="L345" i="3"/>
  <c r="I345" i="3"/>
  <c r="H345" i="3"/>
  <c r="J345" i="3" s="1"/>
  <c r="L344" i="3"/>
  <c r="I344" i="3"/>
  <c r="H344" i="3"/>
  <c r="J344" i="3" s="1"/>
  <c r="L343" i="3"/>
  <c r="I343" i="3"/>
  <c r="H343" i="3"/>
  <c r="J343" i="3" s="1"/>
  <c r="L342" i="3"/>
  <c r="I342" i="3"/>
  <c r="H342" i="3"/>
  <c r="J342" i="3" s="1"/>
  <c r="L341" i="3"/>
  <c r="I341" i="3"/>
  <c r="H341" i="3"/>
  <c r="J341" i="3" s="1"/>
  <c r="L340" i="3"/>
  <c r="I340" i="3"/>
  <c r="H340" i="3"/>
  <c r="J340" i="3" s="1"/>
  <c r="L339" i="3"/>
  <c r="I339" i="3"/>
  <c r="H339" i="3"/>
  <c r="J339" i="3" s="1"/>
  <c r="L338" i="3"/>
  <c r="I338" i="3"/>
  <c r="H338" i="3"/>
  <c r="J338" i="3" s="1"/>
  <c r="L337" i="3"/>
  <c r="I337" i="3"/>
  <c r="H337" i="3"/>
  <c r="J337" i="3" s="1"/>
  <c r="L336" i="3"/>
  <c r="I336" i="3"/>
  <c r="H336" i="3"/>
  <c r="J336" i="3" s="1"/>
  <c r="L335" i="3"/>
  <c r="I335" i="3"/>
  <c r="H335" i="3"/>
  <c r="J335" i="3" s="1"/>
  <c r="L334" i="3"/>
  <c r="I334" i="3"/>
  <c r="H334" i="3"/>
  <c r="J334" i="3" s="1"/>
  <c r="L333" i="3"/>
  <c r="I333" i="3"/>
  <c r="H333" i="3"/>
  <c r="J333" i="3" s="1"/>
  <c r="L332" i="3"/>
  <c r="I332" i="3"/>
  <c r="H332" i="3"/>
  <c r="J332" i="3" s="1"/>
  <c r="L331" i="3"/>
  <c r="I331" i="3"/>
  <c r="H331" i="3"/>
  <c r="J331" i="3" s="1"/>
  <c r="L330" i="3"/>
  <c r="I330" i="3"/>
  <c r="H330" i="3"/>
  <c r="J330" i="3" s="1"/>
  <c r="L329" i="3"/>
  <c r="I329" i="3"/>
  <c r="H329" i="3"/>
  <c r="J329" i="3" s="1"/>
  <c r="L328" i="3"/>
  <c r="I328" i="3"/>
  <c r="H328" i="3"/>
  <c r="J328" i="3" s="1"/>
  <c r="L327" i="3"/>
  <c r="I327" i="3"/>
  <c r="H327" i="3"/>
  <c r="J327" i="3" s="1"/>
  <c r="L326" i="3"/>
  <c r="I326" i="3"/>
  <c r="H326" i="3"/>
  <c r="J326" i="3" s="1"/>
  <c r="L325" i="3"/>
  <c r="I325" i="3"/>
  <c r="H325" i="3"/>
  <c r="J325" i="3" s="1"/>
  <c r="L324" i="3"/>
  <c r="I324" i="3"/>
  <c r="H324" i="3"/>
  <c r="J324" i="3" s="1"/>
  <c r="L323" i="3"/>
  <c r="I323" i="3"/>
  <c r="H323" i="3"/>
  <c r="J323" i="3" s="1"/>
  <c r="L322" i="3"/>
  <c r="I322" i="3"/>
  <c r="H322" i="3"/>
  <c r="J322" i="3" s="1"/>
  <c r="L321" i="3"/>
  <c r="I321" i="3"/>
  <c r="H321" i="3"/>
  <c r="J321" i="3" s="1"/>
  <c r="L320" i="3"/>
  <c r="J320" i="3"/>
  <c r="I320" i="3"/>
  <c r="H320" i="3"/>
  <c r="L319" i="3"/>
  <c r="I319" i="3"/>
  <c r="H319" i="3"/>
  <c r="J319" i="3" s="1"/>
  <c r="L318" i="3"/>
  <c r="J318" i="3"/>
  <c r="I318" i="3"/>
  <c r="H318" i="3"/>
  <c r="L317" i="3"/>
  <c r="I317" i="3"/>
  <c r="H317" i="3"/>
  <c r="J317" i="3" s="1"/>
  <c r="L316" i="3"/>
  <c r="I316" i="3"/>
  <c r="H316" i="3"/>
  <c r="J316" i="3" s="1"/>
  <c r="L315" i="3"/>
  <c r="I315" i="3"/>
  <c r="H315" i="3"/>
  <c r="J315" i="3" s="1"/>
  <c r="L314" i="3"/>
  <c r="J314" i="3"/>
  <c r="I314" i="3"/>
  <c r="H314" i="3"/>
  <c r="L313" i="3"/>
  <c r="I313" i="3"/>
  <c r="H313" i="3"/>
  <c r="J313" i="3" s="1"/>
  <c r="L312" i="3"/>
  <c r="I312" i="3"/>
  <c r="H312" i="3"/>
  <c r="J312" i="3" s="1"/>
  <c r="L311" i="3"/>
  <c r="I311" i="3"/>
  <c r="H311" i="3"/>
  <c r="J311" i="3" s="1"/>
  <c r="L310" i="3"/>
  <c r="I310" i="3"/>
  <c r="H310" i="3"/>
  <c r="J310" i="3" s="1"/>
  <c r="L309" i="3"/>
  <c r="I309" i="3"/>
  <c r="H309" i="3"/>
  <c r="J309" i="3" s="1"/>
  <c r="L308" i="3"/>
  <c r="I308" i="3"/>
  <c r="H308" i="3"/>
  <c r="J308" i="3" s="1"/>
  <c r="L307" i="3"/>
  <c r="I307" i="3"/>
  <c r="H307" i="3"/>
  <c r="J307" i="3" s="1"/>
  <c r="L306" i="3"/>
  <c r="I306" i="3"/>
  <c r="H306" i="3"/>
  <c r="J306" i="3" s="1"/>
  <c r="L305" i="3"/>
  <c r="I305" i="3"/>
  <c r="H305" i="3"/>
  <c r="J305" i="3" s="1"/>
  <c r="L304" i="3"/>
  <c r="I304" i="3"/>
  <c r="H304" i="3"/>
  <c r="J304" i="3" s="1"/>
  <c r="L303" i="3"/>
  <c r="I303" i="3"/>
  <c r="H303" i="3"/>
  <c r="J303" i="3" s="1"/>
  <c r="L302" i="3"/>
  <c r="I302" i="3"/>
  <c r="H302" i="3"/>
  <c r="J302" i="3" s="1"/>
  <c r="L301" i="3"/>
  <c r="I301" i="3"/>
  <c r="H301" i="3"/>
  <c r="J301" i="3" s="1"/>
  <c r="L300" i="3"/>
  <c r="I300" i="3"/>
  <c r="H300" i="3"/>
  <c r="J300" i="3" s="1"/>
  <c r="L299" i="3"/>
  <c r="I299" i="3"/>
  <c r="H299" i="3"/>
  <c r="J299" i="3" s="1"/>
  <c r="L298" i="3"/>
  <c r="I298" i="3"/>
  <c r="H298" i="3"/>
  <c r="J298" i="3" s="1"/>
  <c r="L297" i="3"/>
  <c r="I297" i="3"/>
  <c r="H297" i="3"/>
  <c r="J297" i="3" s="1"/>
  <c r="L296" i="3"/>
  <c r="I296" i="3"/>
  <c r="H296" i="3"/>
  <c r="J296" i="3" s="1"/>
  <c r="L295" i="3"/>
  <c r="I295" i="3"/>
  <c r="H295" i="3"/>
  <c r="J295" i="3" s="1"/>
  <c r="L294" i="3"/>
  <c r="I294" i="3"/>
  <c r="H294" i="3"/>
  <c r="J294" i="3" s="1"/>
  <c r="L293" i="3"/>
  <c r="I293" i="3"/>
  <c r="H293" i="3"/>
  <c r="J293" i="3" s="1"/>
  <c r="L292" i="3"/>
  <c r="I292" i="3"/>
  <c r="H292" i="3"/>
  <c r="J292" i="3" s="1"/>
  <c r="L291" i="3"/>
  <c r="I291" i="3"/>
  <c r="H291" i="3"/>
  <c r="J291" i="3" s="1"/>
  <c r="L290" i="3"/>
  <c r="I290" i="3"/>
  <c r="H290" i="3"/>
  <c r="J290" i="3" s="1"/>
  <c r="L289" i="3"/>
  <c r="I289" i="3"/>
  <c r="H289" i="3"/>
  <c r="J289" i="3" s="1"/>
  <c r="L288" i="3"/>
  <c r="I288" i="3"/>
  <c r="H288" i="3"/>
  <c r="J288" i="3" s="1"/>
  <c r="L287" i="3"/>
  <c r="I287" i="3"/>
  <c r="H287" i="3"/>
  <c r="J287" i="3" s="1"/>
  <c r="L286" i="3"/>
  <c r="I286" i="3"/>
  <c r="H286" i="3"/>
  <c r="J286" i="3" s="1"/>
  <c r="L285" i="3"/>
  <c r="J285" i="3"/>
  <c r="I285" i="3"/>
  <c r="H285" i="3"/>
  <c r="L284" i="3"/>
  <c r="J284" i="3"/>
  <c r="I284" i="3"/>
  <c r="H284" i="3"/>
  <c r="L283" i="3"/>
  <c r="I283" i="3"/>
  <c r="H283" i="3"/>
  <c r="J283" i="3" s="1"/>
  <c r="L282" i="3"/>
  <c r="I282" i="3"/>
  <c r="H282" i="3"/>
  <c r="J282" i="3" s="1"/>
  <c r="L281" i="3"/>
  <c r="I281" i="3"/>
  <c r="H281" i="3"/>
  <c r="J281" i="3" s="1"/>
  <c r="L280" i="3"/>
  <c r="I280" i="3"/>
  <c r="H280" i="3"/>
  <c r="J280" i="3" s="1"/>
  <c r="L279" i="3"/>
  <c r="I279" i="3"/>
  <c r="H279" i="3"/>
  <c r="J279" i="3" s="1"/>
  <c r="L278" i="3"/>
  <c r="I278" i="3"/>
  <c r="H278" i="3"/>
  <c r="J278" i="3" s="1"/>
  <c r="L277" i="3"/>
  <c r="I277" i="3"/>
  <c r="H277" i="3"/>
  <c r="J277" i="3" s="1"/>
  <c r="L276" i="3"/>
  <c r="I276" i="3"/>
  <c r="H276" i="3"/>
  <c r="J276" i="3" s="1"/>
  <c r="L275" i="3"/>
  <c r="J275" i="3"/>
  <c r="I275" i="3"/>
  <c r="H275" i="3"/>
  <c r="L274" i="3"/>
  <c r="I274" i="3"/>
  <c r="H274" i="3"/>
  <c r="J274" i="3" s="1"/>
  <c r="L273" i="3"/>
  <c r="I273" i="3"/>
  <c r="H273" i="3"/>
  <c r="J273" i="3" s="1"/>
  <c r="L272" i="3"/>
  <c r="I272" i="3"/>
  <c r="H272" i="3"/>
  <c r="J272" i="3" s="1"/>
  <c r="L271" i="3"/>
  <c r="I271" i="3"/>
  <c r="H271" i="3"/>
  <c r="J271" i="3" s="1"/>
  <c r="L270" i="3"/>
  <c r="I270" i="3"/>
  <c r="H270" i="3"/>
  <c r="J270" i="3" s="1"/>
  <c r="L269" i="3"/>
  <c r="I269" i="3"/>
  <c r="H269" i="3"/>
  <c r="J269" i="3" s="1"/>
  <c r="L268" i="3"/>
  <c r="I268" i="3"/>
  <c r="H268" i="3"/>
  <c r="J268" i="3" s="1"/>
  <c r="L267" i="3"/>
  <c r="I267" i="3"/>
  <c r="H267" i="3"/>
  <c r="J267" i="3" s="1"/>
  <c r="L266" i="3"/>
  <c r="I266" i="3"/>
  <c r="H266" i="3"/>
  <c r="J266" i="3" s="1"/>
  <c r="L265" i="3"/>
  <c r="I265" i="3"/>
  <c r="H265" i="3"/>
  <c r="J265" i="3" s="1"/>
  <c r="L264" i="3"/>
  <c r="I264" i="3"/>
  <c r="H264" i="3"/>
  <c r="J264" i="3" s="1"/>
  <c r="L263" i="3"/>
  <c r="I263" i="3"/>
  <c r="H263" i="3"/>
  <c r="J263" i="3" s="1"/>
  <c r="L262" i="3"/>
  <c r="I262" i="3"/>
  <c r="H262" i="3"/>
  <c r="J262" i="3" s="1"/>
  <c r="L261" i="3"/>
  <c r="I261" i="3"/>
  <c r="H261" i="3"/>
  <c r="J261" i="3" s="1"/>
  <c r="L260" i="3"/>
  <c r="I260" i="3"/>
  <c r="H260" i="3"/>
  <c r="J260" i="3" s="1"/>
  <c r="L259" i="3"/>
  <c r="I259" i="3"/>
  <c r="H259" i="3"/>
  <c r="J259" i="3" s="1"/>
  <c r="L258" i="3"/>
  <c r="I258" i="3"/>
  <c r="H258" i="3"/>
  <c r="J258" i="3" s="1"/>
  <c r="L257" i="3"/>
  <c r="I257" i="3"/>
  <c r="H257" i="3"/>
  <c r="J257" i="3" s="1"/>
  <c r="L256" i="3"/>
  <c r="I256" i="3"/>
  <c r="H256" i="3"/>
  <c r="J256" i="3" s="1"/>
  <c r="L255" i="3"/>
  <c r="J255" i="3"/>
  <c r="I255" i="3"/>
  <c r="H255" i="3"/>
  <c r="L254" i="3"/>
  <c r="I254" i="3"/>
  <c r="H254" i="3"/>
  <c r="J254" i="3" s="1"/>
  <c r="L253" i="3"/>
  <c r="I253" i="3"/>
  <c r="H253" i="3"/>
  <c r="J253" i="3" s="1"/>
  <c r="L252" i="3"/>
  <c r="I252" i="3"/>
  <c r="H252" i="3"/>
  <c r="J252" i="3" s="1"/>
  <c r="L251" i="3"/>
  <c r="I251" i="3"/>
  <c r="H251" i="3"/>
  <c r="J251" i="3" s="1"/>
  <c r="L250" i="3"/>
  <c r="I250" i="3"/>
  <c r="H250" i="3"/>
  <c r="J250" i="3" s="1"/>
  <c r="L249" i="3"/>
  <c r="J249" i="3"/>
  <c r="I249" i="3"/>
  <c r="H249" i="3"/>
  <c r="L248" i="3"/>
  <c r="J248" i="3"/>
  <c r="I248" i="3"/>
  <c r="H248" i="3"/>
  <c r="L247" i="3"/>
  <c r="I247" i="3"/>
  <c r="H247" i="3"/>
  <c r="J247" i="3" s="1"/>
  <c r="L246" i="3"/>
  <c r="I246" i="3"/>
  <c r="H246" i="3"/>
  <c r="J246" i="3" s="1"/>
  <c r="L245" i="3"/>
  <c r="I245" i="3"/>
  <c r="H245" i="3"/>
  <c r="J245" i="3" s="1"/>
  <c r="L244" i="3"/>
  <c r="I244" i="3"/>
  <c r="H244" i="3"/>
  <c r="J244" i="3" s="1"/>
  <c r="L243" i="3"/>
  <c r="I243" i="3"/>
  <c r="H243" i="3"/>
  <c r="J243" i="3" s="1"/>
  <c r="L242" i="3"/>
  <c r="J242" i="3"/>
  <c r="I242" i="3"/>
  <c r="H242" i="3"/>
  <c r="L241" i="3"/>
  <c r="I241" i="3"/>
  <c r="H241" i="3"/>
  <c r="J241" i="3" s="1"/>
  <c r="L240" i="3"/>
  <c r="I240" i="3"/>
  <c r="H240" i="3"/>
  <c r="J240" i="3" s="1"/>
  <c r="L239" i="3"/>
  <c r="J239" i="3"/>
  <c r="I239" i="3"/>
  <c r="H239" i="3"/>
  <c r="L238" i="3"/>
  <c r="I238" i="3"/>
  <c r="H238" i="3"/>
  <c r="J238" i="3" s="1"/>
  <c r="L237" i="3"/>
  <c r="I237" i="3"/>
  <c r="H237" i="3"/>
  <c r="J237" i="3" s="1"/>
  <c r="L236" i="3"/>
  <c r="I236" i="3"/>
  <c r="H236" i="3"/>
  <c r="J236" i="3" s="1"/>
  <c r="L235" i="3"/>
  <c r="I235" i="3"/>
  <c r="H235" i="3"/>
  <c r="J235" i="3" s="1"/>
  <c r="L234" i="3"/>
  <c r="I234" i="3"/>
  <c r="H234" i="3"/>
  <c r="J234" i="3" s="1"/>
  <c r="L233" i="3"/>
  <c r="I233" i="3"/>
  <c r="H233" i="3"/>
  <c r="J233" i="3" s="1"/>
  <c r="L232" i="3"/>
  <c r="I232" i="3"/>
  <c r="H232" i="3"/>
  <c r="J232" i="3" s="1"/>
  <c r="L231" i="3"/>
  <c r="I231" i="3"/>
  <c r="H231" i="3"/>
  <c r="J231" i="3" s="1"/>
  <c r="L230" i="3"/>
  <c r="I230" i="3"/>
  <c r="H230" i="3"/>
  <c r="J230" i="3" s="1"/>
  <c r="L229" i="3"/>
  <c r="I229" i="3"/>
  <c r="H229" i="3"/>
  <c r="J229" i="3" s="1"/>
  <c r="L228" i="3"/>
  <c r="I228" i="3"/>
  <c r="H228" i="3"/>
  <c r="J228" i="3" s="1"/>
  <c r="L227" i="3"/>
  <c r="I227" i="3"/>
  <c r="H227" i="3"/>
  <c r="J227" i="3" s="1"/>
  <c r="L226" i="3"/>
  <c r="I226" i="3"/>
  <c r="H226" i="3"/>
  <c r="J226" i="3" s="1"/>
  <c r="L225" i="3"/>
  <c r="I225" i="3"/>
  <c r="H225" i="3"/>
  <c r="J225" i="3" s="1"/>
  <c r="L224" i="3"/>
  <c r="I224" i="3"/>
  <c r="H224" i="3"/>
  <c r="J224" i="3" s="1"/>
  <c r="L223" i="3"/>
  <c r="I223" i="3"/>
  <c r="H223" i="3"/>
  <c r="J223" i="3" s="1"/>
  <c r="L222" i="3"/>
  <c r="I222" i="3"/>
  <c r="H222" i="3"/>
  <c r="J222" i="3" s="1"/>
  <c r="L221" i="3"/>
  <c r="I221" i="3"/>
  <c r="H221" i="3"/>
  <c r="J221" i="3" s="1"/>
  <c r="L220" i="3"/>
  <c r="I220" i="3"/>
  <c r="H220" i="3"/>
  <c r="J220" i="3" s="1"/>
  <c r="L219" i="3"/>
  <c r="I219" i="3"/>
  <c r="H219" i="3"/>
  <c r="J219" i="3" s="1"/>
  <c r="L218" i="3"/>
  <c r="I218" i="3"/>
  <c r="H218" i="3"/>
  <c r="J218" i="3" s="1"/>
  <c r="L217" i="3"/>
  <c r="I217" i="3"/>
  <c r="H217" i="3"/>
  <c r="J217" i="3" s="1"/>
  <c r="L216" i="3"/>
  <c r="I216" i="3"/>
  <c r="H216" i="3"/>
  <c r="J216" i="3" s="1"/>
  <c r="L215" i="3"/>
  <c r="I215" i="3"/>
  <c r="H215" i="3"/>
  <c r="J215" i="3" s="1"/>
  <c r="L214" i="3"/>
  <c r="I214" i="3"/>
  <c r="H214" i="3"/>
  <c r="J214" i="3" s="1"/>
  <c r="L213" i="3"/>
  <c r="I213" i="3"/>
  <c r="H213" i="3"/>
  <c r="J213" i="3" s="1"/>
  <c r="L212" i="3"/>
  <c r="J212" i="3"/>
  <c r="I212" i="3"/>
  <c r="H212" i="3"/>
  <c r="L211" i="3"/>
  <c r="I211" i="3"/>
  <c r="H211" i="3"/>
  <c r="J211" i="3" s="1"/>
  <c r="L210" i="3"/>
  <c r="I210" i="3"/>
  <c r="H210" i="3"/>
  <c r="J210" i="3" s="1"/>
  <c r="L209" i="3"/>
  <c r="J209" i="3"/>
  <c r="I209" i="3"/>
  <c r="H209" i="3"/>
  <c r="L208" i="3"/>
  <c r="I208" i="3"/>
  <c r="H208" i="3"/>
  <c r="J208" i="3" s="1"/>
  <c r="L207" i="3"/>
  <c r="J207" i="3"/>
  <c r="I207" i="3"/>
  <c r="H207" i="3"/>
  <c r="L206" i="3"/>
  <c r="J206" i="3"/>
  <c r="I206" i="3"/>
  <c r="H206" i="3"/>
  <c r="L205" i="3"/>
  <c r="I205" i="3"/>
  <c r="H205" i="3"/>
  <c r="J205" i="3" s="1"/>
  <c r="L204" i="3"/>
  <c r="I204" i="3"/>
  <c r="H204" i="3"/>
  <c r="J204" i="3" s="1"/>
  <c r="L203" i="3"/>
  <c r="I203" i="3"/>
  <c r="H203" i="3"/>
  <c r="J203" i="3" s="1"/>
  <c r="L202" i="3"/>
  <c r="I202" i="3"/>
  <c r="H202" i="3"/>
  <c r="J202" i="3" s="1"/>
  <c r="L201" i="3"/>
  <c r="I201" i="3"/>
  <c r="H201" i="3"/>
  <c r="J201" i="3" s="1"/>
  <c r="L200" i="3"/>
  <c r="I200" i="3"/>
  <c r="H200" i="3"/>
  <c r="J200" i="3" s="1"/>
  <c r="L199" i="3"/>
  <c r="I199" i="3"/>
  <c r="H199" i="3"/>
  <c r="J199" i="3" s="1"/>
  <c r="L198" i="3"/>
  <c r="I198" i="3"/>
  <c r="H198" i="3"/>
  <c r="J198" i="3" s="1"/>
  <c r="L197" i="3"/>
  <c r="I197" i="3"/>
  <c r="H197" i="3"/>
  <c r="J197" i="3" s="1"/>
  <c r="L196" i="3"/>
  <c r="I196" i="3"/>
  <c r="H196" i="3"/>
  <c r="J196" i="3" s="1"/>
  <c r="L195" i="3"/>
  <c r="I195" i="3"/>
  <c r="H195" i="3"/>
  <c r="J195" i="3" s="1"/>
  <c r="L194" i="3"/>
  <c r="I194" i="3"/>
  <c r="H194" i="3"/>
  <c r="J194" i="3" s="1"/>
  <c r="L193" i="3"/>
  <c r="I193" i="3"/>
  <c r="H193" i="3"/>
  <c r="J193" i="3" s="1"/>
  <c r="L192" i="3"/>
  <c r="I192" i="3"/>
  <c r="H192" i="3"/>
  <c r="J192" i="3" s="1"/>
  <c r="L191" i="3"/>
  <c r="J191" i="3"/>
  <c r="I191" i="3"/>
  <c r="H191" i="3"/>
  <c r="L190" i="3"/>
  <c r="I190" i="3"/>
  <c r="H190" i="3"/>
  <c r="J190" i="3" s="1"/>
  <c r="L189" i="3"/>
  <c r="I189" i="3"/>
  <c r="H189" i="3"/>
  <c r="J189" i="3" s="1"/>
  <c r="L188" i="3"/>
  <c r="I188" i="3"/>
  <c r="H188" i="3"/>
  <c r="J188" i="3" s="1"/>
  <c r="L187" i="3"/>
  <c r="I187" i="3"/>
  <c r="H187" i="3"/>
  <c r="J187" i="3" s="1"/>
  <c r="L186" i="3"/>
  <c r="I186" i="3"/>
  <c r="H186" i="3"/>
  <c r="J186" i="3" s="1"/>
  <c r="L185" i="3"/>
  <c r="I185" i="3"/>
  <c r="H185" i="3"/>
  <c r="J185" i="3" s="1"/>
  <c r="L184" i="3"/>
  <c r="I184" i="3"/>
  <c r="H184" i="3"/>
  <c r="J184" i="3" s="1"/>
  <c r="L183" i="3"/>
  <c r="I183" i="3"/>
  <c r="H183" i="3"/>
  <c r="J183" i="3" s="1"/>
  <c r="L182" i="3"/>
  <c r="I182" i="3"/>
  <c r="H182" i="3"/>
  <c r="J182" i="3" s="1"/>
  <c r="L181" i="3"/>
  <c r="I181" i="3"/>
  <c r="H181" i="3"/>
  <c r="J181" i="3" s="1"/>
  <c r="L180" i="3"/>
  <c r="I180" i="3"/>
  <c r="H180" i="3"/>
  <c r="J180" i="3" s="1"/>
  <c r="L179" i="3"/>
  <c r="I179" i="3"/>
  <c r="H179" i="3"/>
  <c r="J179" i="3" s="1"/>
  <c r="L178" i="3"/>
  <c r="I178" i="3"/>
  <c r="H178" i="3"/>
  <c r="J178" i="3" s="1"/>
  <c r="L177" i="3"/>
  <c r="I177" i="3"/>
  <c r="H177" i="3"/>
  <c r="J177" i="3" s="1"/>
  <c r="L176" i="3"/>
  <c r="I176" i="3"/>
  <c r="H176" i="3"/>
  <c r="J176" i="3" s="1"/>
  <c r="L175" i="3"/>
  <c r="I175" i="3"/>
  <c r="H175" i="3"/>
  <c r="J175" i="3" s="1"/>
  <c r="L174" i="3"/>
  <c r="I174" i="3"/>
  <c r="H174" i="3"/>
  <c r="J174" i="3" s="1"/>
  <c r="L173" i="3"/>
  <c r="J173" i="3"/>
  <c r="I173" i="3"/>
  <c r="H173" i="3"/>
  <c r="L172" i="3"/>
  <c r="I172" i="3"/>
  <c r="H172" i="3"/>
  <c r="J172" i="3" s="1"/>
  <c r="L171" i="3"/>
  <c r="I171" i="3"/>
  <c r="H171" i="3"/>
  <c r="J171" i="3" s="1"/>
  <c r="L170" i="3"/>
  <c r="I170" i="3"/>
  <c r="H170" i="3"/>
  <c r="J170" i="3" s="1"/>
  <c r="L169" i="3"/>
  <c r="I169" i="3"/>
  <c r="H169" i="3"/>
  <c r="J169" i="3" s="1"/>
  <c r="L168" i="3"/>
  <c r="I168" i="3"/>
  <c r="H168" i="3"/>
  <c r="J168" i="3" s="1"/>
  <c r="L167" i="3"/>
  <c r="I167" i="3"/>
  <c r="H167" i="3"/>
  <c r="J167" i="3" s="1"/>
  <c r="L166" i="3"/>
  <c r="I166" i="3"/>
  <c r="H166" i="3"/>
  <c r="J166" i="3" s="1"/>
  <c r="L165" i="3"/>
  <c r="I165" i="3"/>
  <c r="H165" i="3"/>
  <c r="J165" i="3" s="1"/>
  <c r="L164" i="3"/>
  <c r="I164" i="3"/>
  <c r="H164" i="3"/>
  <c r="J164" i="3" s="1"/>
  <c r="L163" i="3"/>
  <c r="I163" i="3"/>
  <c r="H163" i="3"/>
  <c r="J163" i="3" s="1"/>
  <c r="L162" i="3"/>
  <c r="I162" i="3"/>
  <c r="H162" i="3"/>
  <c r="J162" i="3" s="1"/>
  <c r="L161" i="3"/>
  <c r="I161" i="3"/>
  <c r="H161" i="3"/>
  <c r="J161" i="3" s="1"/>
  <c r="L160" i="3"/>
  <c r="I160" i="3"/>
  <c r="H160" i="3"/>
  <c r="J160" i="3" s="1"/>
  <c r="L159" i="3"/>
  <c r="I159" i="3"/>
  <c r="H159" i="3"/>
  <c r="J159" i="3" s="1"/>
  <c r="L158" i="3"/>
  <c r="J158" i="3"/>
  <c r="I158" i="3"/>
  <c r="H158" i="3"/>
  <c r="L157" i="3"/>
  <c r="I157" i="3"/>
  <c r="H157" i="3"/>
  <c r="J157" i="3" s="1"/>
  <c r="L156" i="3"/>
  <c r="I156" i="3"/>
  <c r="H156" i="3"/>
  <c r="J156" i="3" s="1"/>
  <c r="L155" i="3"/>
  <c r="I155" i="3"/>
  <c r="H155" i="3"/>
  <c r="J155" i="3" s="1"/>
  <c r="L154" i="3"/>
  <c r="I154" i="3"/>
  <c r="H154" i="3"/>
  <c r="J154" i="3" s="1"/>
  <c r="L153" i="3"/>
  <c r="I153" i="3"/>
  <c r="H153" i="3"/>
  <c r="J153" i="3" s="1"/>
  <c r="L152" i="3"/>
  <c r="I152" i="3"/>
  <c r="H152" i="3"/>
  <c r="J152" i="3" s="1"/>
  <c r="L151" i="3"/>
  <c r="I151" i="3"/>
  <c r="H151" i="3"/>
  <c r="J151" i="3" s="1"/>
  <c r="L150" i="3"/>
  <c r="I150" i="3"/>
  <c r="H150" i="3"/>
  <c r="J150" i="3" s="1"/>
  <c r="L149" i="3"/>
  <c r="I149" i="3"/>
  <c r="H149" i="3"/>
  <c r="J149" i="3" s="1"/>
  <c r="L148" i="3"/>
  <c r="I148" i="3"/>
  <c r="H148" i="3"/>
  <c r="J148" i="3" s="1"/>
  <c r="L147" i="3"/>
  <c r="I147" i="3"/>
  <c r="H147" i="3"/>
  <c r="J147" i="3" s="1"/>
  <c r="L146" i="3"/>
  <c r="I146" i="3"/>
  <c r="H146" i="3"/>
  <c r="J146" i="3" s="1"/>
  <c r="L145" i="3"/>
  <c r="I145" i="3"/>
  <c r="H145" i="3"/>
  <c r="J145" i="3" s="1"/>
  <c r="L144" i="3"/>
  <c r="J144" i="3"/>
  <c r="I144" i="3"/>
  <c r="H144" i="3"/>
  <c r="L143" i="3"/>
  <c r="I143" i="3"/>
  <c r="H143" i="3"/>
  <c r="J143" i="3" s="1"/>
  <c r="L142" i="3"/>
  <c r="I142" i="3"/>
  <c r="H142" i="3"/>
  <c r="J142" i="3" s="1"/>
  <c r="L141" i="3"/>
  <c r="I141" i="3"/>
  <c r="H141" i="3"/>
  <c r="J141" i="3" s="1"/>
  <c r="L140" i="3"/>
  <c r="I140" i="3"/>
  <c r="H140" i="3"/>
  <c r="J140" i="3" s="1"/>
  <c r="L139" i="3"/>
  <c r="I139" i="3"/>
  <c r="H139" i="3"/>
  <c r="J139" i="3" s="1"/>
  <c r="L138" i="3"/>
  <c r="I138" i="3"/>
  <c r="H138" i="3"/>
  <c r="J138" i="3" s="1"/>
  <c r="L137" i="3"/>
  <c r="J137" i="3"/>
  <c r="I137" i="3"/>
  <c r="H137" i="3"/>
  <c r="L136" i="3"/>
  <c r="I136" i="3"/>
  <c r="H136" i="3"/>
  <c r="J136" i="3" s="1"/>
  <c r="L135" i="3"/>
  <c r="I135" i="3"/>
  <c r="H135" i="3"/>
  <c r="J135" i="3" s="1"/>
  <c r="L134" i="3"/>
  <c r="I134" i="3"/>
  <c r="H134" i="3"/>
  <c r="J134" i="3" s="1"/>
  <c r="L133" i="3"/>
  <c r="I133" i="3"/>
  <c r="H133" i="3"/>
  <c r="J133" i="3" s="1"/>
  <c r="L132" i="3"/>
  <c r="J132" i="3"/>
  <c r="I132" i="3"/>
  <c r="H132" i="3"/>
  <c r="L131" i="3"/>
  <c r="I131" i="3"/>
  <c r="H131" i="3"/>
  <c r="J131" i="3" s="1"/>
  <c r="L130" i="3"/>
  <c r="I130" i="3"/>
  <c r="H130" i="3"/>
  <c r="J130" i="3" s="1"/>
  <c r="L129" i="3"/>
  <c r="I129" i="3"/>
  <c r="H129" i="3"/>
  <c r="J129" i="3" s="1"/>
  <c r="L128" i="3"/>
  <c r="I128" i="3"/>
  <c r="H128" i="3"/>
  <c r="J128" i="3" s="1"/>
  <c r="L127" i="3"/>
  <c r="I127" i="3"/>
  <c r="H127" i="3"/>
  <c r="J127" i="3" s="1"/>
  <c r="L126" i="3"/>
  <c r="I126" i="3"/>
  <c r="H126" i="3"/>
  <c r="J126" i="3" s="1"/>
  <c r="L125" i="3"/>
  <c r="I125" i="3"/>
  <c r="H125" i="3"/>
  <c r="J125" i="3" s="1"/>
  <c r="L124" i="3"/>
  <c r="I124" i="3"/>
  <c r="H124" i="3"/>
  <c r="J124" i="3" s="1"/>
  <c r="L123" i="3"/>
  <c r="I123" i="3"/>
  <c r="H123" i="3"/>
  <c r="J123" i="3" s="1"/>
  <c r="L122" i="3"/>
  <c r="I122" i="3"/>
  <c r="H122" i="3"/>
  <c r="J122" i="3" s="1"/>
  <c r="L121" i="3"/>
  <c r="I121" i="3"/>
  <c r="H121" i="3"/>
  <c r="J121" i="3" s="1"/>
  <c r="L120" i="3"/>
  <c r="I120" i="3"/>
  <c r="H120" i="3"/>
  <c r="J120" i="3" s="1"/>
  <c r="L119" i="3"/>
  <c r="I119" i="3"/>
  <c r="H119" i="3"/>
  <c r="J119" i="3" s="1"/>
  <c r="L118" i="3"/>
  <c r="I118" i="3"/>
  <c r="H118" i="3"/>
  <c r="J118" i="3" s="1"/>
  <c r="L117" i="3"/>
  <c r="J117" i="3"/>
  <c r="I117" i="3"/>
  <c r="H117" i="3"/>
  <c r="L116" i="3"/>
  <c r="I116" i="3"/>
  <c r="H116" i="3"/>
  <c r="J116" i="3" s="1"/>
  <c r="L115" i="3"/>
  <c r="I115" i="3"/>
  <c r="H115" i="3"/>
  <c r="J115" i="3" s="1"/>
  <c r="L114" i="3"/>
  <c r="I114" i="3"/>
  <c r="H114" i="3"/>
  <c r="J114" i="3" s="1"/>
  <c r="L113" i="3"/>
  <c r="I113" i="3"/>
  <c r="H113" i="3"/>
  <c r="J113" i="3" s="1"/>
  <c r="L112" i="3"/>
  <c r="I112" i="3"/>
  <c r="H112" i="3"/>
  <c r="J112" i="3" s="1"/>
  <c r="L111" i="3"/>
  <c r="J111" i="3"/>
  <c r="I111" i="3"/>
  <c r="H111" i="3"/>
  <c r="L110" i="3"/>
  <c r="I110" i="3"/>
  <c r="H110" i="3"/>
  <c r="J110" i="3" s="1"/>
  <c r="L109" i="3"/>
  <c r="I109" i="3"/>
  <c r="H109" i="3"/>
  <c r="J109" i="3" s="1"/>
  <c r="L108" i="3"/>
  <c r="I108" i="3"/>
  <c r="H108" i="3"/>
  <c r="J108" i="3" s="1"/>
  <c r="L107" i="3"/>
  <c r="I107" i="3"/>
  <c r="H107" i="3"/>
  <c r="J107" i="3" s="1"/>
  <c r="L106" i="3"/>
  <c r="I106" i="3"/>
  <c r="H106" i="3"/>
  <c r="J106" i="3" s="1"/>
  <c r="L105" i="3"/>
  <c r="I105" i="3"/>
  <c r="H105" i="3"/>
  <c r="J105" i="3" s="1"/>
  <c r="L104" i="3"/>
  <c r="I104" i="3"/>
  <c r="H104" i="3"/>
  <c r="J104" i="3" s="1"/>
  <c r="L103" i="3"/>
  <c r="I103" i="3"/>
  <c r="H103" i="3"/>
  <c r="J103" i="3" s="1"/>
  <c r="L102" i="3"/>
  <c r="I102" i="3"/>
  <c r="H102" i="3"/>
  <c r="J102" i="3" s="1"/>
  <c r="L101" i="3"/>
  <c r="I101" i="3"/>
  <c r="H101" i="3"/>
  <c r="J101" i="3" s="1"/>
  <c r="L100" i="3"/>
  <c r="I100" i="3"/>
  <c r="H100" i="3"/>
  <c r="J100" i="3" s="1"/>
  <c r="L99" i="3"/>
  <c r="J99" i="3"/>
  <c r="I99" i="3"/>
  <c r="H99" i="3"/>
  <c r="L98" i="3"/>
  <c r="I98" i="3"/>
  <c r="H98" i="3"/>
  <c r="J98" i="3" s="1"/>
  <c r="L97" i="3"/>
  <c r="I97" i="3"/>
  <c r="H97" i="3"/>
  <c r="J97" i="3" s="1"/>
  <c r="L96" i="3"/>
  <c r="I96" i="3"/>
  <c r="H96" i="3"/>
  <c r="J96" i="3" s="1"/>
  <c r="L95" i="3"/>
  <c r="I95" i="3"/>
  <c r="H95" i="3"/>
  <c r="J95" i="3" s="1"/>
  <c r="L94" i="3"/>
  <c r="I94" i="3"/>
  <c r="H94" i="3"/>
  <c r="J94" i="3" s="1"/>
  <c r="L93" i="3"/>
  <c r="I93" i="3"/>
  <c r="H93" i="3"/>
  <c r="J93" i="3" s="1"/>
  <c r="L92" i="3"/>
  <c r="J92" i="3"/>
  <c r="I92" i="3"/>
  <c r="H92" i="3"/>
  <c r="L91" i="3"/>
  <c r="I91" i="3"/>
  <c r="H91" i="3"/>
  <c r="J91" i="3" s="1"/>
  <c r="L90" i="3"/>
  <c r="I90" i="3"/>
  <c r="H90" i="3"/>
  <c r="J90" i="3" s="1"/>
  <c r="L89" i="3"/>
  <c r="I89" i="3"/>
  <c r="H89" i="3"/>
  <c r="J89" i="3" s="1"/>
  <c r="L88" i="3"/>
  <c r="I88" i="3"/>
  <c r="H88" i="3"/>
  <c r="J88" i="3" s="1"/>
  <c r="L87" i="3"/>
  <c r="I87" i="3"/>
  <c r="H87" i="3"/>
  <c r="J87" i="3" s="1"/>
  <c r="L86" i="3"/>
  <c r="I86" i="3"/>
  <c r="H86" i="3"/>
  <c r="J86" i="3" s="1"/>
  <c r="L85" i="3"/>
  <c r="I85" i="3"/>
  <c r="H85" i="3"/>
  <c r="J85" i="3" s="1"/>
  <c r="L84" i="3"/>
  <c r="I84" i="3"/>
  <c r="H84" i="3"/>
  <c r="J84" i="3" s="1"/>
  <c r="L83" i="3"/>
  <c r="I83" i="3"/>
  <c r="H83" i="3"/>
  <c r="J83" i="3" s="1"/>
  <c r="L82" i="3"/>
  <c r="I82" i="3"/>
  <c r="H82" i="3"/>
  <c r="J82" i="3" s="1"/>
  <c r="L81" i="3"/>
  <c r="J81" i="3"/>
  <c r="I81" i="3"/>
  <c r="H81" i="3"/>
  <c r="L80" i="3"/>
  <c r="I80" i="3"/>
  <c r="H80" i="3"/>
  <c r="J80" i="3" s="1"/>
  <c r="L79" i="3"/>
  <c r="I79" i="3"/>
  <c r="H79" i="3"/>
  <c r="J79" i="3" s="1"/>
  <c r="L78" i="3"/>
  <c r="I78" i="3"/>
  <c r="H78" i="3"/>
  <c r="J78" i="3" s="1"/>
  <c r="L77" i="3"/>
  <c r="I77" i="3"/>
  <c r="H77" i="3"/>
  <c r="J77" i="3" s="1"/>
  <c r="L76" i="3"/>
  <c r="I76" i="3"/>
  <c r="H76" i="3"/>
  <c r="J76" i="3" s="1"/>
  <c r="L75" i="3"/>
  <c r="J75" i="3"/>
  <c r="I75" i="3"/>
  <c r="H75" i="3"/>
  <c r="L74" i="3"/>
  <c r="I74" i="3"/>
  <c r="H74" i="3"/>
  <c r="J74" i="3" s="1"/>
  <c r="L73" i="3"/>
  <c r="J73" i="3"/>
  <c r="I73" i="3"/>
  <c r="H73" i="3"/>
  <c r="L72" i="3"/>
  <c r="J72" i="3"/>
  <c r="I72" i="3"/>
  <c r="H72" i="3"/>
  <c r="L71" i="3"/>
  <c r="I71" i="3"/>
  <c r="H71" i="3"/>
  <c r="J71" i="3" s="1"/>
  <c r="L70" i="3"/>
  <c r="I70" i="3"/>
  <c r="H70" i="3"/>
  <c r="J70" i="3" s="1"/>
  <c r="L69" i="3"/>
  <c r="I69" i="3"/>
  <c r="H69" i="3"/>
  <c r="J69" i="3" s="1"/>
  <c r="L68" i="3"/>
  <c r="I68" i="3"/>
  <c r="H68" i="3"/>
  <c r="J68" i="3" s="1"/>
  <c r="L67" i="3"/>
  <c r="I67" i="3"/>
  <c r="H67" i="3"/>
  <c r="J67" i="3" s="1"/>
  <c r="L66" i="3"/>
  <c r="I66" i="3"/>
  <c r="H66" i="3"/>
  <c r="J66" i="3" s="1"/>
  <c r="L65" i="3"/>
  <c r="I65" i="3"/>
  <c r="H65" i="3"/>
  <c r="J65" i="3" s="1"/>
  <c r="L64" i="3"/>
  <c r="I64" i="3"/>
  <c r="H64" i="3"/>
  <c r="J64" i="3" s="1"/>
  <c r="L63" i="3"/>
  <c r="I63" i="3"/>
  <c r="H63" i="3"/>
  <c r="J63" i="3" s="1"/>
  <c r="L62" i="3"/>
  <c r="I62" i="3"/>
  <c r="H62" i="3"/>
  <c r="J62" i="3" s="1"/>
  <c r="L61" i="3"/>
  <c r="I61" i="3"/>
  <c r="H61" i="3"/>
  <c r="J61" i="3" s="1"/>
  <c r="L60" i="3"/>
  <c r="J60" i="3"/>
  <c r="I60" i="3"/>
  <c r="H60" i="3"/>
  <c r="L59" i="3"/>
  <c r="I59" i="3"/>
  <c r="H59" i="3"/>
  <c r="J59" i="3" s="1"/>
  <c r="L58" i="3"/>
  <c r="I58" i="3"/>
  <c r="H58" i="3"/>
  <c r="J58" i="3" s="1"/>
  <c r="L57" i="3"/>
  <c r="I57" i="3"/>
  <c r="H57" i="3"/>
  <c r="J57" i="3" s="1"/>
  <c r="L56" i="3"/>
  <c r="I56" i="3"/>
  <c r="H56" i="3"/>
  <c r="J56" i="3" s="1"/>
  <c r="L55" i="3"/>
  <c r="I55" i="3"/>
  <c r="H55" i="3"/>
  <c r="J55" i="3" s="1"/>
  <c r="L54" i="3"/>
  <c r="I54" i="3"/>
  <c r="H54" i="3"/>
  <c r="J54" i="3" s="1"/>
  <c r="L53" i="3"/>
  <c r="I53" i="3"/>
  <c r="H53" i="3"/>
  <c r="J53" i="3" s="1"/>
  <c r="L52" i="3"/>
  <c r="I52" i="3"/>
  <c r="H52" i="3"/>
  <c r="J52" i="3" s="1"/>
  <c r="L51" i="3"/>
  <c r="J51" i="3"/>
  <c r="I51" i="3"/>
  <c r="H51" i="3"/>
  <c r="L50" i="3"/>
  <c r="I50" i="3"/>
  <c r="H50" i="3"/>
  <c r="J50" i="3" s="1"/>
  <c r="L49" i="3"/>
  <c r="J49" i="3"/>
  <c r="I49" i="3"/>
  <c r="H49" i="3"/>
  <c r="L48" i="3"/>
  <c r="J48" i="3"/>
  <c r="I48" i="3"/>
  <c r="H48" i="3"/>
  <c r="L47" i="3"/>
  <c r="I47" i="3"/>
  <c r="H47" i="3"/>
  <c r="J47" i="3" s="1"/>
  <c r="L46" i="3"/>
  <c r="I46" i="3"/>
  <c r="H46" i="3"/>
  <c r="J46" i="3" s="1"/>
  <c r="L45" i="3"/>
  <c r="I45" i="3"/>
  <c r="H45" i="3"/>
  <c r="J45" i="3" s="1"/>
  <c r="L44" i="3"/>
  <c r="I44" i="3"/>
  <c r="H44" i="3"/>
  <c r="J44" i="3" s="1"/>
  <c r="L43" i="3"/>
  <c r="I43" i="3"/>
  <c r="H43" i="3"/>
  <c r="J43" i="3" s="1"/>
  <c r="L42" i="3"/>
  <c r="I42" i="3"/>
  <c r="H42" i="3"/>
  <c r="J42" i="3" s="1"/>
  <c r="L41" i="3"/>
  <c r="I41" i="3"/>
  <c r="H41" i="3"/>
  <c r="J41" i="3" s="1"/>
  <c r="L40" i="3"/>
  <c r="I40" i="3"/>
  <c r="H40" i="3"/>
  <c r="J40" i="3" s="1"/>
  <c r="L39" i="3"/>
  <c r="I39" i="3"/>
  <c r="H39" i="3"/>
  <c r="J39" i="3" s="1"/>
  <c r="L38" i="3"/>
  <c r="I38" i="3"/>
  <c r="H38" i="3"/>
  <c r="J38" i="3" s="1"/>
  <c r="L37" i="3"/>
  <c r="I37" i="3"/>
  <c r="H37" i="3"/>
  <c r="J37" i="3" s="1"/>
  <c r="L36" i="3"/>
  <c r="I36" i="3"/>
  <c r="H36" i="3"/>
  <c r="J36" i="3" s="1"/>
  <c r="L35" i="3"/>
  <c r="I35" i="3"/>
  <c r="H35" i="3"/>
  <c r="J35" i="3" s="1"/>
  <c r="L34" i="3"/>
  <c r="J34" i="3"/>
  <c r="I34" i="3"/>
  <c r="H34" i="3"/>
  <c r="L33" i="3"/>
  <c r="J33" i="3"/>
  <c r="I33" i="3"/>
  <c r="H33" i="3"/>
  <c r="L32" i="3"/>
  <c r="I32" i="3"/>
  <c r="H32" i="3"/>
  <c r="J32" i="3" s="1"/>
  <c r="L31" i="3"/>
  <c r="I31" i="3"/>
  <c r="H31" i="3"/>
  <c r="J31" i="3" s="1"/>
  <c r="L30" i="3"/>
  <c r="I30" i="3"/>
  <c r="H30" i="3"/>
  <c r="J30" i="3" s="1"/>
  <c r="L29" i="3"/>
  <c r="I29" i="3"/>
  <c r="H29" i="3"/>
  <c r="J29" i="3" s="1"/>
  <c r="L28" i="3"/>
  <c r="I28" i="3"/>
  <c r="H28" i="3"/>
  <c r="J28" i="3" s="1"/>
  <c r="L27" i="3"/>
  <c r="J27" i="3"/>
  <c r="I27" i="3"/>
  <c r="H27" i="3"/>
  <c r="L26" i="3"/>
  <c r="I26" i="3"/>
  <c r="H26" i="3"/>
  <c r="J26" i="3" s="1"/>
  <c r="L25" i="3"/>
  <c r="I25" i="3"/>
  <c r="H25" i="3"/>
  <c r="J25" i="3" s="1"/>
  <c r="L24" i="3"/>
  <c r="I24" i="3"/>
  <c r="H24" i="3"/>
  <c r="J24" i="3" s="1"/>
  <c r="L23" i="3"/>
  <c r="I23" i="3"/>
  <c r="H23" i="3"/>
  <c r="J23" i="3" s="1"/>
  <c r="L22" i="3"/>
  <c r="I22" i="3"/>
  <c r="H22" i="3"/>
  <c r="J22" i="3" s="1"/>
  <c r="L21" i="3"/>
  <c r="I21" i="3"/>
  <c r="H21" i="3"/>
  <c r="J21" i="3" s="1"/>
  <c r="L20" i="3"/>
  <c r="I20" i="3"/>
  <c r="H20" i="3"/>
  <c r="J20" i="3" s="1"/>
  <c r="L19" i="3"/>
  <c r="I19" i="3"/>
  <c r="H19" i="3"/>
  <c r="J19" i="3" s="1"/>
  <c r="L18" i="3"/>
  <c r="J18" i="3"/>
  <c r="I18" i="3"/>
  <c r="H18" i="3"/>
  <c r="L17" i="3"/>
  <c r="I17" i="3"/>
  <c r="H17" i="3"/>
  <c r="J17" i="3" s="1"/>
  <c r="L16" i="3"/>
  <c r="I16" i="3"/>
  <c r="H16" i="3"/>
  <c r="J16" i="3" s="1"/>
  <c r="L15" i="3"/>
  <c r="I15" i="3"/>
  <c r="H15" i="3"/>
  <c r="J15" i="3" s="1"/>
  <c r="L14" i="3"/>
  <c r="I14" i="3"/>
  <c r="H14" i="3"/>
  <c r="J14" i="3" s="1"/>
  <c r="L13" i="3"/>
  <c r="J13" i="3"/>
  <c r="I13" i="3"/>
  <c r="H13" i="3"/>
  <c r="L12" i="3"/>
  <c r="I12" i="3"/>
  <c r="H12" i="3"/>
  <c r="J12" i="3" s="1"/>
  <c r="L11" i="3"/>
  <c r="I11" i="3"/>
  <c r="H11" i="3"/>
  <c r="J11" i="3" s="1"/>
  <c r="L10" i="3"/>
  <c r="J10" i="3"/>
  <c r="I10" i="3"/>
  <c r="H10" i="3"/>
  <c r="L9" i="3"/>
  <c r="J9" i="3"/>
  <c r="I9" i="3"/>
  <c r="H9" i="3"/>
  <c r="I8" i="3"/>
  <c r="L8" i="3"/>
  <c r="L7" i="3"/>
  <c r="I7" i="3"/>
  <c r="L6" i="3"/>
  <c r="I6" i="3"/>
  <c r="H6" i="3"/>
  <c r="J6" i="3" s="1"/>
  <c r="L5" i="3"/>
  <c r="I5" i="3"/>
  <c r="H5" i="3"/>
  <c r="J5" i="3" s="1"/>
  <c r="AD204" i="2"/>
  <c r="AC204" i="2"/>
  <c r="AB204" i="2"/>
  <c r="AD203" i="2"/>
  <c r="AC203" i="2"/>
  <c r="AB203" i="2"/>
  <c r="AD202" i="2"/>
  <c r="AC202" i="2"/>
  <c r="AB202" i="2"/>
  <c r="AD201" i="2"/>
  <c r="AC201" i="2"/>
  <c r="AB201" i="2"/>
  <c r="AD200" i="2"/>
  <c r="AC200" i="2"/>
  <c r="AB200" i="2"/>
  <c r="AD199" i="2"/>
  <c r="AC199" i="2"/>
  <c r="AB199" i="2"/>
  <c r="AD198" i="2"/>
  <c r="AC198" i="2"/>
  <c r="AB198" i="2"/>
  <c r="AD197" i="2"/>
  <c r="AC197" i="2"/>
  <c r="AB197" i="2"/>
  <c r="AD196" i="2"/>
  <c r="AC196" i="2"/>
  <c r="AB196" i="2"/>
  <c r="AD195" i="2"/>
  <c r="AC195" i="2"/>
  <c r="AB195" i="2"/>
  <c r="AD194" i="2"/>
  <c r="AC194" i="2"/>
  <c r="AB194" i="2"/>
  <c r="AD193" i="2"/>
  <c r="AC193" i="2"/>
  <c r="AB193" i="2"/>
  <c r="AD192" i="2"/>
  <c r="AC192" i="2"/>
  <c r="AB192" i="2"/>
  <c r="AD191" i="2"/>
  <c r="AC191" i="2"/>
  <c r="AB191" i="2"/>
  <c r="AD190" i="2"/>
  <c r="AC190" i="2"/>
  <c r="AB190" i="2"/>
  <c r="AD189" i="2"/>
  <c r="AC189" i="2"/>
  <c r="AB189" i="2"/>
  <c r="AD188" i="2"/>
  <c r="AC188" i="2"/>
  <c r="AB188" i="2"/>
  <c r="AD187" i="2"/>
  <c r="AC187" i="2"/>
  <c r="AB187" i="2"/>
  <c r="AD186" i="2"/>
  <c r="AC186" i="2"/>
  <c r="AB186" i="2"/>
  <c r="AD185" i="2"/>
  <c r="AC185" i="2"/>
  <c r="AB185" i="2"/>
  <c r="AD184" i="2"/>
  <c r="AC184" i="2"/>
  <c r="AB184" i="2"/>
  <c r="AD183" i="2"/>
  <c r="AC183" i="2"/>
  <c r="AB183" i="2"/>
  <c r="AD182" i="2"/>
  <c r="AC182" i="2"/>
  <c r="AB182" i="2"/>
  <c r="AD181" i="2"/>
  <c r="AC181" i="2"/>
  <c r="AB181" i="2"/>
  <c r="AD180" i="2"/>
  <c r="AC180" i="2"/>
  <c r="AB180" i="2"/>
  <c r="AD179" i="2"/>
  <c r="AC179" i="2"/>
  <c r="AB179" i="2"/>
  <c r="AD178" i="2"/>
  <c r="AC178" i="2"/>
  <c r="AB178" i="2"/>
  <c r="AD177" i="2"/>
  <c r="AC177" i="2"/>
  <c r="AB177" i="2"/>
  <c r="AD176" i="2"/>
  <c r="AC176" i="2"/>
  <c r="AB176" i="2"/>
  <c r="AD175" i="2"/>
  <c r="AC175" i="2"/>
  <c r="AB175" i="2"/>
  <c r="AD174" i="2"/>
  <c r="AC174" i="2"/>
  <c r="AB174" i="2"/>
  <c r="AD173" i="2"/>
  <c r="AC173" i="2"/>
  <c r="AB173" i="2"/>
  <c r="AD172" i="2"/>
  <c r="AC172" i="2"/>
  <c r="AB172" i="2"/>
  <c r="AD171" i="2"/>
  <c r="AC171" i="2"/>
  <c r="AB171" i="2"/>
  <c r="AD170" i="2"/>
  <c r="AC170" i="2"/>
  <c r="AB170" i="2"/>
  <c r="AD169" i="2"/>
  <c r="AC169" i="2"/>
  <c r="AB169" i="2"/>
  <c r="AD168" i="2"/>
  <c r="AC168" i="2"/>
  <c r="AB168" i="2"/>
  <c r="AD167" i="2"/>
  <c r="AC167" i="2"/>
  <c r="AB167" i="2"/>
  <c r="AD166" i="2"/>
  <c r="AC166" i="2"/>
  <c r="AB166" i="2"/>
  <c r="AD165" i="2"/>
  <c r="AC165" i="2"/>
  <c r="AB165" i="2"/>
  <c r="AD164" i="2"/>
  <c r="AC164" i="2"/>
  <c r="AB164" i="2"/>
  <c r="AD163" i="2"/>
  <c r="AC163" i="2"/>
  <c r="AB163" i="2"/>
  <c r="AD162" i="2"/>
  <c r="AC162" i="2"/>
  <c r="AB162" i="2"/>
  <c r="AD161" i="2"/>
  <c r="AC161" i="2"/>
  <c r="AB161" i="2"/>
  <c r="AD160" i="2"/>
  <c r="AC160" i="2"/>
  <c r="AB160" i="2"/>
  <c r="AD159" i="2"/>
  <c r="AC159" i="2"/>
  <c r="AB159" i="2"/>
  <c r="AD158" i="2"/>
  <c r="AC158" i="2"/>
  <c r="AB158" i="2"/>
  <c r="AD157" i="2"/>
  <c r="AC157" i="2"/>
  <c r="AB157" i="2"/>
  <c r="AD156" i="2"/>
  <c r="AC156" i="2"/>
  <c r="AB156" i="2"/>
  <c r="AD155" i="2"/>
  <c r="AC155" i="2"/>
  <c r="AB155" i="2"/>
  <c r="AD154" i="2"/>
  <c r="AC154" i="2"/>
  <c r="AB154" i="2"/>
  <c r="AD153" i="2"/>
  <c r="AC153" i="2"/>
  <c r="AB153" i="2"/>
  <c r="AD152" i="2"/>
  <c r="AC152" i="2"/>
  <c r="AB152" i="2"/>
  <c r="AD151" i="2"/>
  <c r="AC151" i="2"/>
  <c r="AB151" i="2"/>
  <c r="AD150" i="2"/>
  <c r="AC150" i="2"/>
  <c r="AB150" i="2"/>
  <c r="AD149" i="2"/>
  <c r="AC149" i="2"/>
  <c r="AB149" i="2"/>
  <c r="AD148" i="2"/>
  <c r="AC148" i="2"/>
  <c r="AB148" i="2"/>
  <c r="AD147" i="2"/>
  <c r="AC147" i="2"/>
  <c r="AB147" i="2"/>
  <c r="AD146" i="2"/>
  <c r="AC146" i="2"/>
  <c r="AB146" i="2"/>
  <c r="AD145" i="2"/>
  <c r="AC145" i="2"/>
  <c r="AB145" i="2"/>
  <c r="AD144" i="2"/>
  <c r="AC144" i="2"/>
  <c r="AB144" i="2"/>
  <c r="AD143" i="2"/>
  <c r="AC143" i="2"/>
  <c r="AB143" i="2"/>
  <c r="AD142" i="2"/>
  <c r="AC142" i="2"/>
  <c r="AB142" i="2"/>
  <c r="AD141" i="2"/>
  <c r="AC141" i="2"/>
  <c r="AB141" i="2"/>
  <c r="AD140" i="2"/>
  <c r="AC140" i="2"/>
  <c r="AB140" i="2"/>
  <c r="AD139" i="2"/>
  <c r="AC139" i="2"/>
  <c r="AB139" i="2"/>
  <c r="AD138" i="2"/>
  <c r="AC138" i="2"/>
  <c r="AB138" i="2"/>
  <c r="AD137" i="2"/>
  <c r="AC137" i="2"/>
  <c r="AB137" i="2"/>
  <c r="AD136" i="2"/>
  <c r="AC136" i="2"/>
  <c r="AB136" i="2"/>
  <c r="AD135" i="2"/>
  <c r="AC135" i="2"/>
  <c r="AB135" i="2"/>
  <c r="AD134" i="2"/>
  <c r="AC134" i="2"/>
  <c r="AB134" i="2"/>
  <c r="AD133" i="2"/>
  <c r="AC133" i="2"/>
  <c r="AB133" i="2"/>
  <c r="AD132" i="2"/>
  <c r="AC132" i="2"/>
  <c r="AB132" i="2"/>
  <c r="AD131" i="2"/>
  <c r="AC131" i="2"/>
  <c r="AB131" i="2"/>
  <c r="AD130" i="2"/>
  <c r="AC130" i="2"/>
  <c r="AB130" i="2"/>
  <c r="AD129" i="2"/>
  <c r="AC129" i="2"/>
  <c r="AB129" i="2"/>
  <c r="AD128" i="2"/>
  <c r="AC128" i="2"/>
  <c r="AB128" i="2"/>
  <c r="AD127" i="2"/>
  <c r="AC127" i="2"/>
  <c r="AB127" i="2"/>
  <c r="AD126" i="2"/>
  <c r="AC126" i="2"/>
  <c r="AB126" i="2"/>
  <c r="AD125" i="2"/>
  <c r="AC125" i="2"/>
  <c r="AB125" i="2"/>
  <c r="AD124" i="2"/>
  <c r="AC124" i="2"/>
  <c r="AB124" i="2"/>
  <c r="AD123" i="2"/>
  <c r="AC123" i="2"/>
  <c r="AB123" i="2"/>
  <c r="AD122" i="2"/>
  <c r="AC122" i="2"/>
  <c r="AB122" i="2"/>
  <c r="AD121" i="2"/>
  <c r="AC121" i="2"/>
  <c r="AB121" i="2"/>
  <c r="AD120" i="2"/>
  <c r="AC120" i="2"/>
  <c r="AB120" i="2"/>
  <c r="AD119" i="2"/>
  <c r="AC119" i="2"/>
  <c r="AB119" i="2"/>
  <c r="AD118" i="2"/>
  <c r="AC118" i="2"/>
  <c r="AB118" i="2"/>
  <c r="AD117" i="2"/>
  <c r="AC117" i="2"/>
  <c r="AB117" i="2"/>
  <c r="AD116" i="2"/>
  <c r="AC116" i="2"/>
  <c r="AB116" i="2"/>
  <c r="AD115" i="2"/>
  <c r="AC115" i="2"/>
  <c r="AB115" i="2"/>
  <c r="AD114" i="2"/>
  <c r="AC114" i="2"/>
  <c r="AB114" i="2"/>
  <c r="AD113" i="2"/>
  <c r="AC113" i="2"/>
  <c r="AB113" i="2"/>
  <c r="AD112" i="2"/>
  <c r="AC112" i="2"/>
  <c r="AB112" i="2"/>
  <c r="AD111" i="2"/>
  <c r="AC111" i="2"/>
  <c r="AB111" i="2"/>
  <c r="AD110" i="2"/>
  <c r="AC110" i="2"/>
  <c r="AB110" i="2"/>
  <c r="AD109" i="2"/>
  <c r="AC109" i="2"/>
  <c r="AB109" i="2"/>
  <c r="AD108" i="2"/>
  <c r="AC108" i="2"/>
  <c r="AB108" i="2"/>
  <c r="AD107" i="2"/>
  <c r="AC107" i="2"/>
  <c r="AB107" i="2"/>
  <c r="AD106" i="2"/>
  <c r="AC106" i="2"/>
  <c r="AB106" i="2"/>
  <c r="AD105" i="2"/>
  <c r="AC105" i="2"/>
  <c r="AB105" i="2"/>
  <c r="AD104" i="2"/>
  <c r="AC104" i="2"/>
  <c r="AB104" i="2"/>
  <c r="AD103" i="2"/>
  <c r="AC103" i="2"/>
  <c r="AB103" i="2"/>
  <c r="AD102" i="2"/>
  <c r="AC102" i="2"/>
  <c r="AB102" i="2"/>
  <c r="AD101" i="2"/>
  <c r="AC101" i="2"/>
  <c r="AB101" i="2"/>
  <c r="AD100" i="2"/>
  <c r="AC100" i="2"/>
  <c r="AB100" i="2"/>
  <c r="AD99" i="2"/>
  <c r="AC99" i="2"/>
  <c r="AB99" i="2"/>
  <c r="AD98" i="2"/>
  <c r="AC98" i="2"/>
  <c r="AB98" i="2"/>
  <c r="AD97" i="2"/>
  <c r="AC97" i="2"/>
  <c r="AB97" i="2"/>
  <c r="AD96" i="2"/>
  <c r="AC96" i="2"/>
  <c r="AB96" i="2"/>
  <c r="AD95" i="2"/>
  <c r="AC95" i="2"/>
  <c r="AB95" i="2"/>
  <c r="AD94" i="2"/>
  <c r="AC94" i="2"/>
  <c r="AB94" i="2"/>
  <c r="AD93" i="2"/>
  <c r="AC93" i="2"/>
  <c r="AB93" i="2"/>
  <c r="AD92" i="2"/>
  <c r="AC92" i="2"/>
  <c r="AB92" i="2"/>
  <c r="AD91" i="2"/>
  <c r="AC91" i="2"/>
  <c r="AB91" i="2"/>
  <c r="AD90" i="2"/>
  <c r="AC90" i="2"/>
  <c r="AB90" i="2"/>
  <c r="AD89" i="2"/>
  <c r="AC89" i="2"/>
  <c r="AB89" i="2"/>
  <c r="AD88" i="2"/>
  <c r="AC88" i="2"/>
  <c r="AB88" i="2"/>
  <c r="AD87" i="2"/>
  <c r="AC87" i="2"/>
  <c r="AB87" i="2"/>
  <c r="AD86" i="2"/>
  <c r="AC86" i="2"/>
  <c r="AB86" i="2"/>
  <c r="AD85" i="2"/>
  <c r="AC85" i="2"/>
  <c r="AB85" i="2"/>
  <c r="AD84" i="2"/>
  <c r="AC84" i="2"/>
  <c r="AB84" i="2"/>
  <c r="AD83" i="2"/>
  <c r="AC83" i="2"/>
  <c r="AB83" i="2"/>
  <c r="AD82" i="2"/>
  <c r="AC82" i="2"/>
  <c r="AB82" i="2"/>
  <c r="AD81" i="2"/>
  <c r="AC81" i="2"/>
  <c r="AB81" i="2"/>
  <c r="AD80" i="2"/>
  <c r="AC80" i="2"/>
  <c r="AB80" i="2"/>
  <c r="AD79" i="2"/>
  <c r="AC79" i="2"/>
  <c r="AB79" i="2"/>
  <c r="AD78" i="2"/>
  <c r="AC78" i="2"/>
  <c r="AB78" i="2"/>
  <c r="AD77" i="2"/>
  <c r="AC77" i="2"/>
  <c r="AB77" i="2"/>
  <c r="AD76" i="2"/>
  <c r="AC76" i="2"/>
  <c r="AB76" i="2"/>
  <c r="AD75" i="2"/>
  <c r="AC75" i="2"/>
  <c r="AB75" i="2"/>
  <c r="AD74" i="2"/>
  <c r="AC74" i="2"/>
  <c r="AB74" i="2"/>
  <c r="AD73" i="2"/>
  <c r="AC73" i="2"/>
  <c r="AB73" i="2"/>
  <c r="AD72" i="2"/>
  <c r="AC72" i="2"/>
  <c r="AB72" i="2"/>
  <c r="AD71" i="2"/>
  <c r="AC71" i="2"/>
  <c r="AB71" i="2"/>
  <c r="AD70" i="2"/>
  <c r="AC70" i="2"/>
  <c r="AB70" i="2"/>
  <c r="AD69" i="2"/>
  <c r="AC69" i="2"/>
  <c r="AB69" i="2"/>
  <c r="AD68" i="2"/>
  <c r="AC68" i="2"/>
  <c r="AB68" i="2"/>
  <c r="AD67" i="2"/>
  <c r="AC67" i="2"/>
  <c r="AB67" i="2"/>
  <c r="AD66" i="2"/>
  <c r="AC66" i="2"/>
  <c r="AB66" i="2"/>
  <c r="AD65" i="2"/>
  <c r="AC65" i="2"/>
  <c r="AB65" i="2"/>
  <c r="AD64" i="2"/>
  <c r="AC64" i="2"/>
  <c r="AB64" i="2"/>
  <c r="AD63" i="2"/>
  <c r="AC63" i="2"/>
  <c r="AB63" i="2"/>
  <c r="AD62" i="2"/>
  <c r="AC62" i="2"/>
  <c r="AB62" i="2"/>
  <c r="AD61" i="2"/>
  <c r="AC61" i="2"/>
  <c r="AB61" i="2"/>
  <c r="AD60" i="2"/>
  <c r="AC60" i="2"/>
  <c r="AB60" i="2"/>
  <c r="AD59" i="2"/>
  <c r="AC59" i="2"/>
  <c r="AB59" i="2"/>
  <c r="AD58" i="2"/>
  <c r="AC58" i="2"/>
  <c r="AB58" i="2"/>
  <c r="AD57" i="2"/>
  <c r="AC57" i="2"/>
  <c r="AB57" i="2"/>
  <c r="AD56" i="2"/>
  <c r="AC56" i="2"/>
  <c r="AB56" i="2"/>
  <c r="AD55" i="2"/>
  <c r="AC55" i="2"/>
  <c r="AB55" i="2"/>
  <c r="AD54" i="2"/>
  <c r="AC54" i="2"/>
  <c r="AB54" i="2"/>
  <c r="AD53" i="2"/>
  <c r="AC53" i="2"/>
  <c r="AB53" i="2"/>
  <c r="AD52" i="2"/>
  <c r="AC52" i="2"/>
  <c r="AB52" i="2"/>
  <c r="AD51" i="2"/>
  <c r="AC51" i="2"/>
  <c r="AB51" i="2"/>
  <c r="AD50" i="2"/>
  <c r="AC50" i="2"/>
  <c r="AB50" i="2"/>
  <c r="AD49" i="2"/>
  <c r="AC49" i="2"/>
  <c r="AB49" i="2"/>
  <c r="AD48" i="2"/>
  <c r="AC48" i="2"/>
  <c r="AB48" i="2"/>
  <c r="AD47" i="2"/>
  <c r="AC47" i="2"/>
  <c r="AB47" i="2"/>
  <c r="AD46" i="2"/>
  <c r="AC46" i="2"/>
  <c r="AB46" i="2"/>
  <c r="AD45" i="2"/>
  <c r="AC45" i="2"/>
  <c r="AB45" i="2"/>
  <c r="AD44" i="2"/>
  <c r="AC44" i="2"/>
  <c r="AB44" i="2"/>
  <c r="AD43" i="2"/>
  <c r="AC43" i="2"/>
  <c r="AB43" i="2"/>
  <c r="AD42" i="2"/>
  <c r="AC42" i="2"/>
  <c r="AB42" i="2"/>
  <c r="AD41" i="2"/>
  <c r="AC41" i="2"/>
  <c r="AB41" i="2"/>
  <c r="AD40" i="2"/>
  <c r="AC40" i="2"/>
  <c r="AB40" i="2"/>
  <c r="AD39" i="2"/>
  <c r="AC39" i="2"/>
  <c r="AB39" i="2"/>
  <c r="AD38" i="2"/>
  <c r="AC38" i="2"/>
  <c r="AB38" i="2"/>
  <c r="AD37" i="2"/>
  <c r="AC37" i="2"/>
  <c r="AB37" i="2"/>
  <c r="AD36" i="2"/>
  <c r="AC36" i="2"/>
  <c r="AB36" i="2"/>
  <c r="AD35" i="2"/>
  <c r="AC35" i="2"/>
  <c r="AB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B13" i="2"/>
  <c r="AD12" i="2"/>
  <c r="AD11" i="2"/>
  <c r="AD10" i="2"/>
  <c r="AD9" i="2"/>
  <c r="AD8" i="2"/>
  <c r="AD7" i="2"/>
  <c r="AD6" i="2"/>
  <c r="AD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AB34" i="2" s="1"/>
  <c r="M33" i="2"/>
  <c r="AC33" i="2" s="1"/>
  <c r="Q33" i="2" s="1"/>
  <c r="M32" i="2"/>
  <c r="AC32" i="2" s="1"/>
  <c r="Q32" i="2" s="1"/>
  <c r="M31" i="2"/>
  <c r="AB31" i="2" s="1"/>
  <c r="M30" i="2"/>
  <c r="AB30" i="2" s="1"/>
  <c r="M29" i="2"/>
  <c r="AC29" i="2" s="1"/>
  <c r="Q29" i="2" s="1"/>
  <c r="M28" i="2"/>
  <c r="AC28" i="2" s="1"/>
  <c r="Q28" i="2" s="1"/>
  <c r="M27" i="2"/>
  <c r="AB27" i="2" s="1"/>
  <c r="M26" i="2"/>
  <c r="AB26" i="2" s="1"/>
  <c r="M25" i="2"/>
  <c r="AC25" i="2" s="1"/>
  <c r="Q25" i="2" s="1"/>
  <c r="M24" i="2"/>
  <c r="AB24" i="2" s="1"/>
  <c r="M23" i="2"/>
  <c r="AC23" i="2" s="1"/>
  <c r="Q23" i="2" s="1"/>
  <c r="M22" i="2"/>
  <c r="AB22" i="2" s="1"/>
  <c r="M21" i="2"/>
  <c r="AC21" i="2" s="1"/>
  <c r="Q21" i="2" s="1"/>
  <c r="M20" i="2"/>
  <c r="AC20" i="2" s="1"/>
  <c r="Q20" i="2" s="1"/>
  <c r="M19" i="2"/>
  <c r="AB19" i="2" s="1"/>
  <c r="M18" i="2"/>
  <c r="AB18" i="2" s="1"/>
  <c r="M17" i="2"/>
  <c r="AC17" i="2" s="1"/>
  <c r="Q17" i="2" s="1"/>
  <c r="M16" i="2"/>
  <c r="AC16" i="2" s="1"/>
  <c r="Q16" i="2" s="1"/>
  <c r="M15" i="2"/>
  <c r="AC15" i="2" s="1"/>
  <c r="Q15" i="2" s="1"/>
  <c r="M14" i="2"/>
  <c r="AB14" i="2" s="1"/>
  <c r="M13" i="2"/>
  <c r="AC13" i="2" s="1"/>
  <c r="Q13" i="2" s="1"/>
  <c r="M12" i="2"/>
  <c r="AB12" i="2" s="1"/>
  <c r="M11" i="2"/>
  <c r="AC11" i="2" s="1"/>
  <c r="Q11" i="2" s="1"/>
  <c r="M10" i="2"/>
  <c r="AB10" i="2" s="1"/>
  <c r="M9" i="2"/>
  <c r="AB9" i="2" s="1"/>
  <c r="M8" i="2"/>
  <c r="AC8" i="2" s="1"/>
  <c r="Q8" i="2" s="1"/>
  <c r="M7" i="2"/>
  <c r="AC7" i="2" s="1"/>
  <c r="Q7" i="2" s="1"/>
  <c r="M6" i="2"/>
  <c r="AC6" i="2" s="1"/>
  <c r="Q6" i="2" s="1"/>
  <c r="M5" i="2"/>
  <c r="AC5" i="2" s="1"/>
  <c r="Q5" i="2" s="1"/>
  <c r="B9" i="10"/>
  <c r="B6" i="10"/>
  <c r="E198" i="4" s="1"/>
  <c r="C23" i="9"/>
  <c r="G23" i="9" s="1"/>
  <c r="C22" i="9"/>
  <c r="G22" i="9" s="1"/>
  <c r="C21" i="9"/>
  <c r="G21" i="9" s="1"/>
  <c r="C20" i="9"/>
  <c r="G20" i="9" s="1"/>
  <c r="C19" i="9"/>
  <c r="G19" i="9" s="1"/>
  <c r="C18" i="9"/>
  <c r="G18" i="9" s="1"/>
  <c r="C17" i="9"/>
  <c r="G17" i="9" s="1"/>
  <c r="C16" i="9"/>
  <c r="G16" i="9" s="1"/>
  <c r="E11" i="9"/>
  <c r="E10" i="9"/>
  <c r="E9" i="9"/>
  <c r="E8" i="9"/>
  <c r="E6" i="9"/>
  <c r="E5" i="9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K304" i="7"/>
  <c r="N304" i="7" s="1"/>
  <c r="D304" i="7"/>
  <c r="C304" i="7"/>
  <c r="A304" i="7"/>
  <c r="L303" i="7"/>
  <c r="K303" i="7"/>
  <c r="N303" i="7" s="1"/>
  <c r="D303" i="7"/>
  <c r="C303" i="7"/>
  <c r="A303" i="7"/>
  <c r="L302" i="7"/>
  <c r="K302" i="7"/>
  <c r="N302" i="7" s="1"/>
  <c r="D302" i="7"/>
  <c r="C302" i="7"/>
  <c r="A302" i="7"/>
  <c r="L301" i="7"/>
  <c r="K301" i="7"/>
  <c r="N301" i="7" s="1"/>
  <c r="D301" i="7"/>
  <c r="C301" i="7"/>
  <c r="A301" i="7"/>
  <c r="K300" i="7"/>
  <c r="D300" i="7"/>
  <c r="C300" i="7"/>
  <c r="A300" i="7"/>
  <c r="N299" i="7"/>
  <c r="M299" i="7"/>
  <c r="L299" i="7"/>
  <c r="K299" i="7"/>
  <c r="D299" i="7"/>
  <c r="C299" i="7"/>
  <c r="A299" i="7"/>
  <c r="M298" i="7"/>
  <c r="L298" i="7"/>
  <c r="K298" i="7"/>
  <c r="N298" i="7" s="1"/>
  <c r="D298" i="7"/>
  <c r="C298" i="7"/>
  <c r="A298" i="7"/>
  <c r="N297" i="7"/>
  <c r="L297" i="7"/>
  <c r="K297" i="7"/>
  <c r="M297" i="7" s="1"/>
  <c r="D297" i="7"/>
  <c r="C297" i="7"/>
  <c r="A297" i="7"/>
  <c r="N296" i="7"/>
  <c r="M296" i="7"/>
  <c r="L296" i="7"/>
  <c r="K296" i="7"/>
  <c r="D296" i="7"/>
  <c r="C296" i="7"/>
  <c r="A296" i="7"/>
  <c r="N295" i="7"/>
  <c r="M295" i="7"/>
  <c r="L295" i="7"/>
  <c r="K295" i="7"/>
  <c r="D295" i="7"/>
  <c r="C295" i="7"/>
  <c r="A295" i="7"/>
  <c r="N294" i="7"/>
  <c r="K294" i="7"/>
  <c r="D294" i="7"/>
  <c r="C294" i="7"/>
  <c r="A294" i="7"/>
  <c r="N293" i="7"/>
  <c r="L293" i="7"/>
  <c r="K293" i="7"/>
  <c r="M293" i="7" s="1"/>
  <c r="D293" i="7"/>
  <c r="C293" i="7"/>
  <c r="A293" i="7"/>
  <c r="M292" i="7"/>
  <c r="K292" i="7"/>
  <c r="N292" i="7" s="1"/>
  <c r="D292" i="7"/>
  <c r="C292" i="7"/>
  <c r="A292" i="7"/>
  <c r="K291" i="7"/>
  <c r="D291" i="7"/>
  <c r="C291" i="7"/>
  <c r="A291" i="7"/>
  <c r="K290" i="7"/>
  <c r="D290" i="7"/>
  <c r="C290" i="7"/>
  <c r="A290" i="7"/>
  <c r="N289" i="7"/>
  <c r="M289" i="7"/>
  <c r="L289" i="7"/>
  <c r="K289" i="7"/>
  <c r="D289" i="7"/>
  <c r="C289" i="7"/>
  <c r="A289" i="7"/>
  <c r="K288" i="7"/>
  <c r="D288" i="7"/>
  <c r="C288" i="7"/>
  <c r="A288" i="7"/>
  <c r="N287" i="7"/>
  <c r="M287" i="7"/>
  <c r="L287" i="7"/>
  <c r="K287" i="7"/>
  <c r="D287" i="7"/>
  <c r="C287" i="7"/>
  <c r="A287" i="7"/>
  <c r="M286" i="7"/>
  <c r="L286" i="7"/>
  <c r="K286" i="7"/>
  <c r="N286" i="7" s="1"/>
  <c r="D286" i="7"/>
  <c r="C286" i="7"/>
  <c r="A286" i="7"/>
  <c r="N285" i="7"/>
  <c r="L285" i="7"/>
  <c r="K285" i="7"/>
  <c r="M285" i="7" s="1"/>
  <c r="D285" i="7"/>
  <c r="C285" i="7"/>
  <c r="A285" i="7"/>
  <c r="N284" i="7"/>
  <c r="M284" i="7"/>
  <c r="L284" i="7"/>
  <c r="K284" i="7"/>
  <c r="D284" i="7"/>
  <c r="C284" i="7"/>
  <c r="A284" i="7"/>
  <c r="N283" i="7"/>
  <c r="M283" i="7"/>
  <c r="L283" i="7"/>
  <c r="K283" i="7"/>
  <c r="D283" i="7"/>
  <c r="C283" i="7"/>
  <c r="A283" i="7"/>
  <c r="N282" i="7"/>
  <c r="K282" i="7"/>
  <c r="D282" i="7"/>
  <c r="C282" i="7"/>
  <c r="A282" i="7"/>
  <c r="N281" i="7"/>
  <c r="L281" i="7"/>
  <c r="K281" i="7"/>
  <c r="M281" i="7" s="1"/>
  <c r="D281" i="7"/>
  <c r="C281" i="7"/>
  <c r="A281" i="7"/>
  <c r="M280" i="7"/>
  <c r="K280" i="7"/>
  <c r="N280" i="7" s="1"/>
  <c r="D280" i="7"/>
  <c r="C280" i="7"/>
  <c r="A280" i="7"/>
  <c r="N279" i="7"/>
  <c r="K279" i="7"/>
  <c r="D279" i="7"/>
  <c r="C279" i="7"/>
  <c r="A279" i="7"/>
  <c r="K278" i="7"/>
  <c r="D278" i="7"/>
  <c r="C278" i="7"/>
  <c r="A278" i="7"/>
  <c r="N277" i="7"/>
  <c r="M277" i="7"/>
  <c r="L277" i="7"/>
  <c r="K277" i="7"/>
  <c r="D277" i="7"/>
  <c r="C277" i="7"/>
  <c r="A277" i="7"/>
  <c r="K276" i="7"/>
  <c r="D276" i="7"/>
  <c r="C276" i="7"/>
  <c r="A276" i="7"/>
  <c r="N275" i="7"/>
  <c r="M275" i="7"/>
  <c r="L275" i="7"/>
  <c r="K275" i="7"/>
  <c r="D275" i="7"/>
  <c r="C275" i="7"/>
  <c r="A275" i="7"/>
  <c r="M274" i="7"/>
  <c r="L274" i="7"/>
  <c r="K274" i="7"/>
  <c r="N274" i="7" s="1"/>
  <c r="D274" i="7"/>
  <c r="C274" i="7"/>
  <c r="A274" i="7"/>
  <c r="N273" i="7"/>
  <c r="L273" i="7"/>
  <c r="K273" i="7"/>
  <c r="M273" i="7" s="1"/>
  <c r="D273" i="7"/>
  <c r="C273" i="7"/>
  <c r="A273" i="7"/>
  <c r="N272" i="7"/>
  <c r="M272" i="7"/>
  <c r="L272" i="7"/>
  <c r="K272" i="7"/>
  <c r="D272" i="7"/>
  <c r="C272" i="7"/>
  <c r="A272" i="7"/>
  <c r="N271" i="7"/>
  <c r="M271" i="7"/>
  <c r="L271" i="7"/>
  <c r="K271" i="7"/>
  <c r="D271" i="7"/>
  <c r="C271" i="7"/>
  <c r="A271" i="7"/>
  <c r="K270" i="7"/>
  <c r="D270" i="7"/>
  <c r="C270" i="7"/>
  <c r="A270" i="7"/>
  <c r="N269" i="7"/>
  <c r="L269" i="7"/>
  <c r="K269" i="7"/>
  <c r="M269" i="7" s="1"/>
  <c r="D269" i="7"/>
  <c r="C269" i="7"/>
  <c r="A269" i="7"/>
  <c r="M268" i="7"/>
  <c r="K268" i="7"/>
  <c r="N268" i="7" s="1"/>
  <c r="D268" i="7"/>
  <c r="C268" i="7"/>
  <c r="A268" i="7"/>
  <c r="N267" i="7"/>
  <c r="K267" i="7"/>
  <c r="D267" i="7"/>
  <c r="C267" i="7"/>
  <c r="A267" i="7"/>
  <c r="K266" i="7"/>
  <c r="D266" i="7"/>
  <c r="C266" i="7"/>
  <c r="A266" i="7"/>
  <c r="N265" i="7"/>
  <c r="M265" i="7"/>
  <c r="L265" i="7"/>
  <c r="K265" i="7"/>
  <c r="D265" i="7"/>
  <c r="C265" i="7"/>
  <c r="A265" i="7"/>
  <c r="K264" i="7"/>
  <c r="D264" i="7"/>
  <c r="C264" i="7"/>
  <c r="A264" i="7"/>
  <c r="N263" i="7"/>
  <c r="M263" i="7"/>
  <c r="L263" i="7"/>
  <c r="K263" i="7"/>
  <c r="D263" i="7"/>
  <c r="C263" i="7"/>
  <c r="A263" i="7"/>
  <c r="M262" i="7"/>
  <c r="L262" i="7"/>
  <c r="K262" i="7"/>
  <c r="N262" i="7" s="1"/>
  <c r="D262" i="7"/>
  <c r="C262" i="7"/>
  <c r="A262" i="7"/>
  <c r="N261" i="7"/>
  <c r="L261" i="7"/>
  <c r="K261" i="7"/>
  <c r="M261" i="7" s="1"/>
  <c r="D261" i="7"/>
  <c r="C261" i="7"/>
  <c r="A261" i="7"/>
  <c r="N260" i="7"/>
  <c r="M260" i="7"/>
  <c r="L260" i="7"/>
  <c r="K260" i="7"/>
  <c r="D260" i="7"/>
  <c r="C260" i="7"/>
  <c r="A260" i="7"/>
  <c r="N259" i="7"/>
  <c r="L259" i="7"/>
  <c r="K259" i="7"/>
  <c r="M259" i="7" s="1"/>
  <c r="D259" i="7"/>
  <c r="C259" i="7"/>
  <c r="A259" i="7"/>
  <c r="K258" i="7"/>
  <c r="D258" i="7"/>
  <c r="C258" i="7"/>
  <c r="A258" i="7"/>
  <c r="N257" i="7"/>
  <c r="L257" i="7"/>
  <c r="K257" i="7"/>
  <c r="M257" i="7" s="1"/>
  <c r="D257" i="7"/>
  <c r="C257" i="7"/>
  <c r="A257" i="7"/>
  <c r="M256" i="7"/>
  <c r="K256" i="7"/>
  <c r="N256" i="7" s="1"/>
  <c r="D256" i="7"/>
  <c r="C256" i="7"/>
  <c r="A256" i="7"/>
  <c r="N255" i="7"/>
  <c r="K255" i="7"/>
  <c r="D255" i="7"/>
  <c r="C255" i="7"/>
  <c r="A255" i="7"/>
  <c r="K254" i="7"/>
  <c r="D254" i="7"/>
  <c r="C254" i="7"/>
  <c r="A254" i="7"/>
  <c r="N253" i="7"/>
  <c r="M253" i="7"/>
  <c r="L253" i="7"/>
  <c r="K253" i="7"/>
  <c r="D253" i="7"/>
  <c r="C253" i="7"/>
  <c r="A253" i="7"/>
  <c r="K252" i="7"/>
  <c r="D252" i="7"/>
  <c r="C252" i="7"/>
  <c r="A252" i="7"/>
  <c r="N251" i="7"/>
  <c r="M251" i="7"/>
  <c r="L251" i="7"/>
  <c r="K251" i="7"/>
  <c r="D251" i="7"/>
  <c r="C251" i="7"/>
  <c r="A251" i="7"/>
  <c r="M250" i="7"/>
  <c r="L250" i="7"/>
  <c r="K250" i="7"/>
  <c r="N250" i="7" s="1"/>
  <c r="D250" i="7"/>
  <c r="C250" i="7"/>
  <c r="A250" i="7"/>
  <c r="N249" i="7"/>
  <c r="L249" i="7"/>
  <c r="K249" i="7"/>
  <c r="M249" i="7" s="1"/>
  <c r="D249" i="7"/>
  <c r="C249" i="7"/>
  <c r="A249" i="7"/>
  <c r="N248" i="7"/>
  <c r="M248" i="7"/>
  <c r="L248" i="7"/>
  <c r="K248" i="7"/>
  <c r="D248" i="7"/>
  <c r="C248" i="7"/>
  <c r="A248" i="7"/>
  <c r="N247" i="7"/>
  <c r="L247" i="7"/>
  <c r="K247" i="7"/>
  <c r="M247" i="7" s="1"/>
  <c r="D247" i="7"/>
  <c r="C247" i="7"/>
  <c r="A247" i="7"/>
  <c r="N246" i="7"/>
  <c r="K246" i="7"/>
  <c r="D246" i="7"/>
  <c r="C246" i="7"/>
  <c r="A246" i="7"/>
  <c r="N245" i="7"/>
  <c r="L245" i="7"/>
  <c r="K245" i="7"/>
  <c r="M245" i="7" s="1"/>
  <c r="D245" i="7"/>
  <c r="C245" i="7"/>
  <c r="A245" i="7"/>
  <c r="M244" i="7"/>
  <c r="K244" i="7"/>
  <c r="N244" i="7" s="1"/>
  <c r="D244" i="7"/>
  <c r="C244" i="7"/>
  <c r="A244" i="7"/>
  <c r="K243" i="7"/>
  <c r="D243" i="7"/>
  <c r="C243" i="7"/>
  <c r="A243" i="7"/>
  <c r="K242" i="7"/>
  <c r="D242" i="7"/>
  <c r="C242" i="7"/>
  <c r="A242" i="7"/>
  <c r="N241" i="7"/>
  <c r="M241" i="7"/>
  <c r="L241" i="7"/>
  <c r="K241" i="7"/>
  <c r="D241" i="7"/>
  <c r="C241" i="7"/>
  <c r="A241" i="7"/>
  <c r="M240" i="7"/>
  <c r="K240" i="7"/>
  <c r="D240" i="7"/>
  <c r="C240" i="7"/>
  <c r="A240" i="7"/>
  <c r="N239" i="7"/>
  <c r="M239" i="7"/>
  <c r="L239" i="7"/>
  <c r="K239" i="7"/>
  <c r="D239" i="7"/>
  <c r="C239" i="7"/>
  <c r="A239" i="7"/>
  <c r="M238" i="7"/>
  <c r="L238" i="7"/>
  <c r="K238" i="7"/>
  <c r="N238" i="7" s="1"/>
  <c r="D238" i="7"/>
  <c r="C238" i="7"/>
  <c r="A238" i="7"/>
  <c r="N237" i="7"/>
  <c r="L237" i="7"/>
  <c r="K237" i="7"/>
  <c r="M237" i="7" s="1"/>
  <c r="D237" i="7"/>
  <c r="C237" i="7"/>
  <c r="A237" i="7"/>
  <c r="N236" i="7"/>
  <c r="M236" i="7"/>
  <c r="L236" i="7"/>
  <c r="K236" i="7"/>
  <c r="D236" i="7"/>
  <c r="C236" i="7"/>
  <c r="A236" i="7"/>
  <c r="N235" i="7"/>
  <c r="L235" i="7"/>
  <c r="K235" i="7"/>
  <c r="M235" i="7" s="1"/>
  <c r="D235" i="7"/>
  <c r="C235" i="7"/>
  <c r="A235" i="7"/>
  <c r="K234" i="7"/>
  <c r="D234" i="7"/>
  <c r="C234" i="7"/>
  <c r="A234" i="7"/>
  <c r="N233" i="7"/>
  <c r="L233" i="7"/>
  <c r="K233" i="7"/>
  <c r="M233" i="7" s="1"/>
  <c r="D233" i="7"/>
  <c r="C233" i="7"/>
  <c r="A233" i="7"/>
  <c r="M232" i="7"/>
  <c r="K232" i="7"/>
  <c r="N232" i="7" s="1"/>
  <c r="D232" i="7"/>
  <c r="C232" i="7"/>
  <c r="A232" i="7"/>
  <c r="K231" i="7"/>
  <c r="D231" i="7"/>
  <c r="C231" i="7"/>
  <c r="A231" i="7"/>
  <c r="K230" i="7"/>
  <c r="D230" i="7"/>
  <c r="C230" i="7"/>
  <c r="A230" i="7"/>
  <c r="N229" i="7"/>
  <c r="M229" i="7"/>
  <c r="L229" i="7"/>
  <c r="K229" i="7"/>
  <c r="D229" i="7"/>
  <c r="C229" i="7"/>
  <c r="A229" i="7"/>
  <c r="K228" i="7"/>
  <c r="D228" i="7"/>
  <c r="C228" i="7"/>
  <c r="A228" i="7"/>
  <c r="N227" i="7"/>
  <c r="M227" i="7"/>
  <c r="L227" i="7"/>
  <c r="K227" i="7"/>
  <c r="D227" i="7"/>
  <c r="C227" i="7"/>
  <c r="A227" i="7"/>
  <c r="M226" i="7"/>
  <c r="L226" i="7"/>
  <c r="K226" i="7"/>
  <c r="N226" i="7" s="1"/>
  <c r="D226" i="7"/>
  <c r="C226" i="7"/>
  <c r="A226" i="7"/>
  <c r="N225" i="7"/>
  <c r="L225" i="7"/>
  <c r="K225" i="7"/>
  <c r="M225" i="7" s="1"/>
  <c r="D225" i="7"/>
  <c r="C225" i="7"/>
  <c r="A225" i="7"/>
  <c r="N224" i="7"/>
  <c r="M224" i="7"/>
  <c r="L224" i="7"/>
  <c r="K224" i="7"/>
  <c r="D224" i="7"/>
  <c r="C224" i="7"/>
  <c r="A224" i="7"/>
  <c r="N223" i="7"/>
  <c r="L223" i="7"/>
  <c r="K223" i="7"/>
  <c r="M223" i="7" s="1"/>
  <c r="D223" i="7"/>
  <c r="C223" i="7"/>
  <c r="A223" i="7"/>
  <c r="K222" i="7"/>
  <c r="D222" i="7"/>
  <c r="C222" i="7"/>
  <c r="A222" i="7"/>
  <c r="N221" i="7"/>
  <c r="L221" i="7"/>
  <c r="K221" i="7"/>
  <c r="M221" i="7" s="1"/>
  <c r="D221" i="7"/>
  <c r="C221" i="7"/>
  <c r="A221" i="7"/>
  <c r="M220" i="7"/>
  <c r="K220" i="7"/>
  <c r="N220" i="7" s="1"/>
  <c r="D220" i="7"/>
  <c r="C220" i="7"/>
  <c r="A220" i="7"/>
  <c r="N219" i="7"/>
  <c r="K219" i="7"/>
  <c r="D219" i="7"/>
  <c r="C219" i="7"/>
  <c r="A219" i="7"/>
  <c r="K218" i="7"/>
  <c r="D218" i="7"/>
  <c r="C218" i="7"/>
  <c r="A218" i="7"/>
  <c r="N217" i="7"/>
  <c r="M217" i="7"/>
  <c r="L217" i="7"/>
  <c r="K217" i="7"/>
  <c r="D217" i="7"/>
  <c r="C217" i="7"/>
  <c r="A217" i="7"/>
  <c r="K216" i="7"/>
  <c r="D216" i="7"/>
  <c r="C216" i="7"/>
  <c r="A216" i="7"/>
  <c r="N215" i="7"/>
  <c r="M215" i="7"/>
  <c r="L215" i="7"/>
  <c r="K215" i="7"/>
  <c r="D215" i="7"/>
  <c r="C215" i="7"/>
  <c r="A215" i="7"/>
  <c r="M214" i="7"/>
  <c r="L214" i="7"/>
  <c r="K214" i="7"/>
  <c r="N214" i="7" s="1"/>
  <c r="D214" i="7"/>
  <c r="C214" i="7"/>
  <c r="A214" i="7"/>
  <c r="N213" i="7"/>
  <c r="K213" i="7"/>
  <c r="D213" i="7"/>
  <c r="C213" i="7"/>
  <c r="A213" i="7"/>
  <c r="K212" i="7"/>
  <c r="D212" i="7"/>
  <c r="C212" i="7"/>
  <c r="A212" i="7"/>
  <c r="M211" i="7"/>
  <c r="L211" i="7"/>
  <c r="K211" i="7"/>
  <c r="N211" i="7" s="1"/>
  <c r="D211" i="7"/>
  <c r="C211" i="7"/>
  <c r="A211" i="7"/>
  <c r="K210" i="7"/>
  <c r="N210" i="7" s="1"/>
  <c r="D210" i="7"/>
  <c r="C210" i="7"/>
  <c r="A210" i="7"/>
  <c r="N209" i="7"/>
  <c r="L209" i="7"/>
  <c r="K209" i="7"/>
  <c r="M209" i="7" s="1"/>
  <c r="D209" i="7"/>
  <c r="C209" i="7"/>
  <c r="A209" i="7"/>
  <c r="K208" i="7"/>
  <c r="N208" i="7" s="1"/>
  <c r="D208" i="7"/>
  <c r="C208" i="7"/>
  <c r="A208" i="7"/>
  <c r="N207" i="7"/>
  <c r="M207" i="7"/>
  <c r="L207" i="7"/>
  <c r="K207" i="7"/>
  <c r="D207" i="7"/>
  <c r="C207" i="7"/>
  <c r="A207" i="7"/>
  <c r="K206" i="7"/>
  <c r="N206" i="7" s="1"/>
  <c r="D206" i="7"/>
  <c r="C206" i="7"/>
  <c r="A206" i="7"/>
  <c r="K205" i="7"/>
  <c r="N205" i="7" s="1"/>
  <c r="D205" i="7"/>
  <c r="C205" i="7"/>
  <c r="A205" i="7"/>
  <c r="K204" i="7"/>
  <c r="D204" i="7"/>
  <c r="C204" i="7"/>
  <c r="A204" i="7"/>
  <c r="K203" i="7"/>
  <c r="N203" i="7" s="1"/>
  <c r="D203" i="7"/>
  <c r="C203" i="7"/>
  <c r="A203" i="7"/>
  <c r="L202" i="7"/>
  <c r="K202" i="7"/>
  <c r="D202" i="7"/>
  <c r="C202" i="7"/>
  <c r="A202" i="7"/>
  <c r="K201" i="7"/>
  <c r="N201" i="7" s="1"/>
  <c r="D201" i="7"/>
  <c r="C201" i="7"/>
  <c r="A201" i="7"/>
  <c r="N200" i="7"/>
  <c r="M200" i="7"/>
  <c r="K200" i="7"/>
  <c r="L200" i="7" s="1"/>
  <c r="D200" i="7"/>
  <c r="C200" i="7"/>
  <c r="A200" i="7"/>
  <c r="N199" i="7"/>
  <c r="M199" i="7"/>
  <c r="L199" i="7"/>
  <c r="K199" i="7"/>
  <c r="D199" i="7"/>
  <c r="C199" i="7"/>
  <c r="A199" i="7"/>
  <c r="M198" i="7"/>
  <c r="K198" i="7"/>
  <c r="N198" i="7" s="1"/>
  <c r="D198" i="7"/>
  <c r="C198" i="7"/>
  <c r="A198" i="7"/>
  <c r="K197" i="7"/>
  <c r="M197" i="7" s="1"/>
  <c r="D197" i="7"/>
  <c r="C197" i="7"/>
  <c r="A197" i="7"/>
  <c r="N196" i="7"/>
  <c r="K196" i="7"/>
  <c r="M196" i="7" s="1"/>
  <c r="D196" i="7"/>
  <c r="C196" i="7"/>
  <c r="A196" i="7"/>
  <c r="L195" i="7"/>
  <c r="K195" i="7"/>
  <c r="D195" i="7"/>
  <c r="C195" i="7"/>
  <c r="A195" i="7"/>
  <c r="K194" i="7"/>
  <c r="N194" i="7" s="1"/>
  <c r="D194" i="7"/>
  <c r="C194" i="7"/>
  <c r="A194" i="7"/>
  <c r="N193" i="7"/>
  <c r="M193" i="7"/>
  <c r="K193" i="7"/>
  <c r="L193" i="7" s="1"/>
  <c r="D193" i="7"/>
  <c r="C193" i="7"/>
  <c r="A193" i="7"/>
  <c r="K192" i="7"/>
  <c r="L192" i="7" s="1"/>
  <c r="D192" i="7"/>
  <c r="C192" i="7"/>
  <c r="A192" i="7"/>
  <c r="N191" i="7"/>
  <c r="M191" i="7"/>
  <c r="L191" i="7"/>
  <c r="K191" i="7"/>
  <c r="D191" i="7"/>
  <c r="C191" i="7"/>
  <c r="A191" i="7"/>
  <c r="K190" i="7"/>
  <c r="N190" i="7" s="1"/>
  <c r="D190" i="7"/>
  <c r="C190" i="7"/>
  <c r="A190" i="7"/>
  <c r="K189" i="7"/>
  <c r="N189" i="7" s="1"/>
  <c r="D189" i="7"/>
  <c r="C189" i="7"/>
  <c r="A189" i="7"/>
  <c r="K188" i="7"/>
  <c r="D188" i="7"/>
  <c r="C188" i="7"/>
  <c r="A188" i="7"/>
  <c r="N187" i="7"/>
  <c r="M187" i="7"/>
  <c r="L187" i="7"/>
  <c r="K187" i="7"/>
  <c r="D187" i="7"/>
  <c r="C187" i="7"/>
  <c r="A187" i="7"/>
  <c r="N186" i="7"/>
  <c r="M186" i="7"/>
  <c r="L186" i="7"/>
  <c r="K186" i="7"/>
  <c r="D186" i="7"/>
  <c r="C186" i="7"/>
  <c r="A186" i="7"/>
  <c r="K185" i="7"/>
  <c r="M185" i="7" s="1"/>
  <c r="D185" i="7"/>
  <c r="C185" i="7"/>
  <c r="A185" i="7"/>
  <c r="N184" i="7"/>
  <c r="M184" i="7"/>
  <c r="K184" i="7"/>
  <c r="L184" i="7" s="1"/>
  <c r="D184" i="7"/>
  <c r="C184" i="7"/>
  <c r="A184" i="7"/>
  <c r="K183" i="7"/>
  <c r="N183" i="7" s="1"/>
  <c r="D183" i="7"/>
  <c r="C183" i="7"/>
  <c r="A183" i="7"/>
  <c r="K182" i="7"/>
  <c r="N182" i="7" s="1"/>
  <c r="D182" i="7"/>
  <c r="C182" i="7"/>
  <c r="A182" i="7"/>
  <c r="K181" i="7"/>
  <c r="D181" i="7"/>
  <c r="C181" i="7"/>
  <c r="A181" i="7"/>
  <c r="M180" i="7"/>
  <c r="K180" i="7"/>
  <c r="L180" i="7" s="1"/>
  <c r="D180" i="7"/>
  <c r="C180" i="7"/>
  <c r="A180" i="7"/>
  <c r="L179" i="7"/>
  <c r="K179" i="7"/>
  <c r="D179" i="7"/>
  <c r="C179" i="7"/>
  <c r="A179" i="7"/>
  <c r="K178" i="7"/>
  <c r="N178" i="7" s="1"/>
  <c r="D178" i="7"/>
  <c r="C178" i="7"/>
  <c r="A178" i="7"/>
  <c r="N177" i="7"/>
  <c r="M177" i="7"/>
  <c r="L177" i="7"/>
  <c r="K177" i="7"/>
  <c r="D177" i="7"/>
  <c r="C177" i="7"/>
  <c r="A177" i="7"/>
  <c r="K176" i="7"/>
  <c r="N176" i="7" s="1"/>
  <c r="D176" i="7"/>
  <c r="C176" i="7"/>
  <c r="A176" i="7"/>
  <c r="N175" i="7"/>
  <c r="M175" i="7"/>
  <c r="L175" i="7"/>
  <c r="K175" i="7"/>
  <c r="D175" i="7"/>
  <c r="C175" i="7"/>
  <c r="A175" i="7"/>
  <c r="K174" i="7"/>
  <c r="N174" i="7" s="1"/>
  <c r="D174" i="7"/>
  <c r="C174" i="7"/>
  <c r="A174" i="7"/>
  <c r="K173" i="7"/>
  <c r="M173" i="7" s="1"/>
  <c r="D173" i="7"/>
  <c r="C173" i="7"/>
  <c r="A173" i="7"/>
  <c r="K172" i="7"/>
  <c r="D172" i="7"/>
  <c r="C172" i="7"/>
  <c r="A172" i="7"/>
  <c r="K171" i="7"/>
  <c r="N171" i="7" s="1"/>
  <c r="D171" i="7"/>
  <c r="C171" i="7"/>
  <c r="A171" i="7"/>
  <c r="N170" i="7"/>
  <c r="M170" i="7"/>
  <c r="L170" i="7"/>
  <c r="K170" i="7"/>
  <c r="D170" i="7"/>
  <c r="C170" i="7"/>
  <c r="A170" i="7"/>
  <c r="L169" i="7"/>
  <c r="K169" i="7"/>
  <c r="N169" i="7" s="1"/>
  <c r="D169" i="7"/>
  <c r="C169" i="7"/>
  <c r="A169" i="7"/>
  <c r="N168" i="7"/>
  <c r="K168" i="7"/>
  <c r="L168" i="7" s="1"/>
  <c r="D168" i="7"/>
  <c r="C168" i="7"/>
  <c r="A168" i="7"/>
  <c r="M167" i="7"/>
  <c r="K167" i="7"/>
  <c r="N167" i="7" s="1"/>
  <c r="D167" i="7"/>
  <c r="C167" i="7"/>
  <c r="A167" i="7"/>
  <c r="M166" i="7"/>
  <c r="L166" i="7"/>
  <c r="K166" i="7"/>
  <c r="N166" i="7" s="1"/>
  <c r="D166" i="7"/>
  <c r="C166" i="7"/>
  <c r="A166" i="7"/>
  <c r="N165" i="7"/>
  <c r="K165" i="7"/>
  <c r="M165" i="7" s="1"/>
  <c r="D165" i="7"/>
  <c r="C165" i="7"/>
  <c r="A165" i="7"/>
  <c r="N164" i="7"/>
  <c r="L164" i="7"/>
  <c r="K164" i="7"/>
  <c r="M164" i="7" s="1"/>
  <c r="D164" i="7"/>
  <c r="C164" i="7"/>
  <c r="A164" i="7"/>
  <c r="N163" i="7"/>
  <c r="M163" i="7"/>
  <c r="L163" i="7"/>
  <c r="K163" i="7"/>
  <c r="D163" i="7"/>
  <c r="C163" i="7"/>
  <c r="A163" i="7"/>
  <c r="K162" i="7"/>
  <c r="D162" i="7"/>
  <c r="C162" i="7"/>
  <c r="A162" i="7"/>
  <c r="N161" i="7"/>
  <c r="L161" i="7"/>
  <c r="K161" i="7"/>
  <c r="M161" i="7" s="1"/>
  <c r="D161" i="7"/>
  <c r="C161" i="7"/>
  <c r="A161" i="7"/>
  <c r="L160" i="7"/>
  <c r="K160" i="7"/>
  <c r="N160" i="7" s="1"/>
  <c r="D160" i="7"/>
  <c r="C160" i="7"/>
  <c r="A160" i="7"/>
  <c r="N159" i="7"/>
  <c r="M159" i="7"/>
  <c r="L159" i="7"/>
  <c r="K159" i="7"/>
  <c r="D159" i="7"/>
  <c r="C159" i="7"/>
  <c r="A159" i="7"/>
  <c r="N158" i="7"/>
  <c r="K158" i="7"/>
  <c r="M158" i="7" s="1"/>
  <c r="D158" i="7"/>
  <c r="C158" i="7"/>
  <c r="A158" i="7"/>
  <c r="N157" i="7"/>
  <c r="L157" i="7"/>
  <c r="K157" i="7"/>
  <c r="M157" i="7" s="1"/>
  <c r="D157" i="7"/>
  <c r="C157" i="7"/>
  <c r="A157" i="7"/>
  <c r="K156" i="7"/>
  <c r="D156" i="7"/>
  <c r="C156" i="7"/>
  <c r="A156" i="7"/>
  <c r="M155" i="7"/>
  <c r="K155" i="7"/>
  <c r="N155" i="7" s="1"/>
  <c r="D155" i="7"/>
  <c r="C155" i="7"/>
  <c r="A155" i="7"/>
  <c r="K154" i="7"/>
  <c r="D154" i="7"/>
  <c r="C154" i="7"/>
  <c r="A154" i="7"/>
  <c r="K153" i="7"/>
  <c r="D153" i="7"/>
  <c r="C153" i="7"/>
  <c r="A153" i="7"/>
  <c r="N152" i="7"/>
  <c r="M152" i="7"/>
  <c r="K152" i="7"/>
  <c r="L152" i="7" s="1"/>
  <c r="D152" i="7"/>
  <c r="C152" i="7"/>
  <c r="A152" i="7"/>
  <c r="N151" i="7"/>
  <c r="M151" i="7"/>
  <c r="L151" i="7"/>
  <c r="K151" i="7"/>
  <c r="D151" i="7"/>
  <c r="C151" i="7"/>
  <c r="A151" i="7"/>
  <c r="K150" i="7"/>
  <c r="N150" i="7" s="1"/>
  <c r="D150" i="7"/>
  <c r="C150" i="7"/>
  <c r="A150" i="7"/>
  <c r="K149" i="7"/>
  <c r="M149" i="7" s="1"/>
  <c r="D149" i="7"/>
  <c r="C149" i="7"/>
  <c r="A149" i="7"/>
  <c r="N148" i="7"/>
  <c r="L148" i="7"/>
  <c r="K148" i="7"/>
  <c r="M148" i="7" s="1"/>
  <c r="D148" i="7"/>
  <c r="C148" i="7"/>
  <c r="A148" i="7"/>
  <c r="K147" i="7"/>
  <c r="D147" i="7"/>
  <c r="C147" i="7"/>
  <c r="A147" i="7"/>
  <c r="K146" i="7"/>
  <c r="D146" i="7"/>
  <c r="C146" i="7"/>
  <c r="A146" i="7"/>
  <c r="N145" i="7"/>
  <c r="M145" i="7"/>
  <c r="K145" i="7"/>
  <c r="L145" i="7" s="1"/>
  <c r="D145" i="7"/>
  <c r="C145" i="7"/>
  <c r="A145" i="7"/>
  <c r="M144" i="7"/>
  <c r="K144" i="7"/>
  <c r="L144" i="7" s="1"/>
  <c r="D144" i="7"/>
  <c r="C144" i="7"/>
  <c r="A144" i="7"/>
  <c r="N143" i="7"/>
  <c r="M143" i="7"/>
  <c r="L143" i="7"/>
  <c r="K143" i="7"/>
  <c r="D143" i="7"/>
  <c r="C143" i="7"/>
  <c r="A143" i="7"/>
  <c r="M142" i="7"/>
  <c r="K142" i="7"/>
  <c r="N142" i="7" s="1"/>
  <c r="D142" i="7"/>
  <c r="C142" i="7"/>
  <c r="A142" i="7"/>
  <c r="K141" i="7"/>
  <c r="D141" i="7"/>
  <c r="C141" i="7"/>
  <c r="A141" i="7"/>
  <c r="K140" i="7"/>
  <c r="D140" i="7"/>
  <c r="C140" i="7"/>
  <c r="A140" i="7"/>
  <c r="N139" i="7"/>
  <c r="M139" i="7"/>
  <c r="L139" i="7"/>
  <c r="K139" i="7"/>
  <c r="D139" i="7"/>
  <c r="C139" i="7"/>
  <c r="A139" i="7"/>
  <c r="N138" i="7"/>
  <c r="M138" i="7"/>
  <c r="L138" i="7"/>
  <c r="K138" i="7"/>
  <c r="D138" i="7"/>
  <c r="C138" i="7"/>
  <c r="A138" i="7"/>
  <c r="K137" i="7"/>
  <c r="D137" i="7"/>
  <c r="C137" i="7"/>
  <c r="A137" i="7"/>
  <c r="N136" i="7"/>
  <c r="M136" i="7"/>
  <c r="K136" i="7"/>
  <c r="L136" i="7" s="1"/>
  <c r="D136" i="7"/>
  <c r="C136" i="7"/>
  <c r="A136" i="7"/>
  <c r="M135" i="7"/>
  <c r="K135" i="7"/>
  <c r="N135" i="7" s="1"/>
  <c r="D135" i="7"/>
  <c r="C135" i="7"/>
  <c r="A135" i="7"/>
  <c r="K134" i="7"/>
  <c r="D134" i="7"/>
  <c r="C134" i="7"/>
  <c r="A134" i="7"/>
  <c r="K133" i="7"/>
  <c r="D133" i="7"/>
  <c r="C133" i="7"/>
  <c r="A133" i="7"/>
  <c r="M132" i="7"/>
  <c r="K132" i="7"/>
  <c r="L132" i="7" s="1"/>
  <c r="D132" i="7"/>
  <c r="C132" i="7"/>
  <c r="A132" i="7"/>
  <c r="K131" i="7"/>
  <c r="D131" i="7"/>
  <c r="C131" i="7"/>
  <c r="A131" i="7"/>
  <c r="M130" i="7"/>
  <c r="K130" i="7"/>
  <c r="N130" i="7" s="1"/>
  <c r="D130" i="7"/>
  <c r="C130" i="7"/>
  <c r="A130" i="7"/>
  <c r="N129" i="7"/>
  <c r="M129" i="7"/>
  <c r="L129" i="7"/>
  <c r="K129" i="7"/>
  <c r="D129" i="7"/>
  <c r="C129" i="7"/>
  <c r="A129" i="7"/>
  <c r="L128" i="7"/>
  <c r="K128" i="7"/>
  <c r="N128" i="7" s="1"/>
  <c r="D128" i="7"/>
  <c r="C128" i="7"/>
  <c r="A128" i="7"/>
  <c r="N127" i="7"/>
  <c r="M127" i="7"/>
  <c r="L127" i="7"/>
  <c r="K127" i="7"/>
  <c r="D127" i="7"/>
  <c r="C127" i="7"/>
  <c r="A127" i="7"/>
  <c r="K126" i="7"/>
  <c r="D126" i="7"/>
  <c r="C126" i="7"/>
  <c r="A126" i="7"/>
  <c r="N125" i="7"/>
  <c r="K125" i="7"/>
  <c r="D125" i="7"/>
  <c r="C125" i="7"/>
  <c r="A125" i="7"/>
  <c r="L124" i="7"/>
  <c r="K124" i="7"/>
  <c r="D124" i="7"/>
  <c r="C124" i="7"/>
  <c r="A124" i="7"/>
  <c r="M123" i="7"/>
  <c r="K123" i="7"/>
  <c r="N123" i="7" s="1"/>
  <c r="D123" i="7"/>
  <c r="C123" i="7"/>
  <c r="A123" i="7"/>
  <c r="N122" i="7"/>
  <c r="M122" i="7"/>
  <c r="L122" i="7"/>
  <c r="K122" i="7"/>
  <c r="D122" i="7"/>
  <c r="C122" i="7"/>
  <c r="A122" i="7"/>
  <c r="L121" i="7"/>
  <c r="K121" i="7"/>
  <c r="N121" i="7" s="1"/>
  <c r="D121" i="7"/>
  <c r="C121" i="7"/>
  <c r="A121" i="7"/>
  <c r="N120" i="7"/>
  <c r="K120" i="7"/>
  <c r="D120" i="7"/>
  <c r="C120" i="7"/>
  <c r="A120" i="7"/>
  <c r="M119" i="7"/>
  <c r="K119" i="7"/>
  <c r="N119" i="7" s="1"/>
  <c r="D119" i="7"/>
  <c r="C119" i="7"/>
  <c r="A119" i="7"/>
  <c r="M118" i="7"/>
  <c r="L118" i="7"/>
  <c r="K118" i="7"/>
  <c r="N118" i="7" s="1"/>
  <c r="D118" i="7"/>
  <c r="C118" i="7"/>
  <c r="A118" i="7"/>
  <c r="N117" i="7"/>
  <c r="K117" i="7"/>
  <c r="D117" i="7"/>
  <c r="C117" i="7"/>
  <c r="A117" i="7"/>
  <c r="N116" i="7"/>
  <c r="L116" i="7"/>
  <c r="K116" i="7"/>
  <c r="M116" i="7" s="1"/>
  <c r="D116" i="7"/>
  <c r="C116" i="7"/>
  <c r="A116" i="7"/>
  <c r="N115" i="7"/>
  <c r="M115" i="7"/>
  <c r="L115" i="7"/>
  <c r="K115" i="7"/>
  <c r="D115" i="7"/>
  <c r="C115" i="7"/>
  <c r="A115" i="7"/>
  <c r="K114" i="7"/>
  <c r="D114" i="7"/>
  <c r="C114" i="7"/>
  <c r="A114" i="7"/>
  <c r="N113" i="7"/>
  <c r="L113" i="7"/>
  <c r="K113" i="7"/>
  <c r="M113" i="7" s="1"/>
  <c r="D113" i="7"/>
  <c r="C113" i="7"/>
  <c r="A113" i="7"/>
  <c r="L112" i="7"/>
  <c r="K112" i="7"/>
  <c r="N112" i="7" s="1"/>
  <c r="D112" i="7"/>
  <c r="C112" i="7"/>
  <c r="A112" i="7"/>
  <c r="N111" i="7"/>
  <c r="M111" i="7"/>
  <c r="L111" i="7"/>
  <c r="K111" i="7"/>
  <c r="D111" i="7"/>
  <c r="C111" i="7"/>
  <c r="A111" i="7"/>
  <c r="N110" i="7"/>
  <c r="K110" i="7"/>
  <c r="D110" i="7"/>
  <c r="C110" i="7"/>
  <c r="A110" i="7"/>
  <c r="N109" i="7"/>
  <c r="L109" i="7"/>
  <c r="K109" i="7"/>
  <c r="M109" i="7" s="1"/>
  <c r="D109" i="7"/>
  <c r="C109" i="7"/>
  <c r="A109" i="7"/>
  <c r="K108" i="7"/>
  <c r="D108" i="7"/>
  <c r="C108" i="7"/>
  <c r="A108" i="7"/>
  <c r="M107" i="7"/>
  <c r="K107" i="7"/>
  <c r="N107" i="7" s="1"/>
  <c r="D107" i="7"/>
  <c r="C107" i="7"/>
  <c r="A107" i="7"/>
  <c r="L106" i="7"/>
  <c r="K106" i="7"/>
  <c r="N106" i="7" s="1"/>
  <c r="D106" i="7"/>
  <c r="C106" i="7"/>
  <c r="A106" i="7"/>
  <c r="K105" i="7"/>
  <c r="D105" i="7"/>
  <c r="C105" i="7"/>
  <c r="A105" i="7"/>
  <c r="K104" i="7"/>
  <c r="D104" i="7"/>
  <c r="C104" i="7"/>
  <c r="A104" i="7"/>
  <c r="N103" i="7"/>
  <c r="M103" i="7"/>
  <c r="L103" i="7"/>
  <c r="K103" i="7"/>
  <c r="D103" i="7"/>
  <c r="C103" i="7"/>
  <c r="A103" i="7"/>
  <c r="K102" i="7"/>
  <c r="D102" i="7"/>
  <c r="C102" i="7"/>
  <c r="A102" i="7"/>
  <c r="K101" i="7"/>
  <c r="D101" i="7"/>
  <c r="C101" i="7"/>
  <c r="A101" i="7"/>
  <c r="N100" i="7"/>
  <c r="L100" i="7"/>
  <c r="K100" i="7"/>
  <c r="M100" i="7" s="1"/>
  <c r="D100" i="7"/>
  <c r="C100" i="7"/>
  <c r="A100" i="7"/>
  <c r="M99" i="7"/>
  <c r="L99" i="7"/>
  <c r="K99" i="7"/>
  <c r="N99" i="7" s="1"/>
  <c r="D99" i="7"/>
  <c r="C99" i="7"/>
  <c r="A99" i="7"/>
  <c r="K98" i="7"/>
  <c r="D98" i="7"/>
  <c r="C98" i="7"/>
  <c r="A98" i="7"/>
  <c r="M97" i="7"/>
  <c r="K97" i="7"/>
  <c r="L97" i="7" s="1"/>
  <c r="D97" i="7"/>
  <c r="C97" i="7"/>
  <c r="A97" i="7"/>
  <c r="M96" i="7"/>
  <c r="K96" i="7"/>
  <c r="L96" i="7" s="1"/>
  <c r="D96" i="7"/>
  <c r="C96" i="7"/>
  <c r="A96" i="7"/>
  <c r="N95" i="7"/>
  <c r="M95" i="7"/>
  <c r="L95" i="7"/>
  <c r="K95" i="7"/>
  <c r="D95" i="7"/>
  <c r="C95" i="7"/>
  <c r="A95" i="7"/>
  <c r="M94" i="7"/>
  <c r="K94" i="7"/>
  <c r="N94" i="7" s="1"/>
  <c r="D94" i="7"/>
  <c r="C94" i="7"/>
  <c r="A94" i="7"/>
  <c r="M93" i="7"/>
  <c r="K93" i="7"/>
  <c r="D93" i="7"/>
  <c r="C93" i="7"/>
  <c r="A93" i="7"/>
  <c r="K92" i="7"/>
  <c r="D92" i="7"/>
  <c r="C92" i="7"/>
  <c r="A92" i="7"/>
  <c r="N91" i="7"/>
  <c r="M91" i="7"/>
  <c r="L91" i="7"/>
  <c r="K91" i="7"/>
  <c r="D91" i="7"/>
  <c r="C91" i="7"/>
  <c r="A91" i="7"/>
  <c r="N90" i="7"/>
  <c r="M90" i="7"/>
  <c r="L90" i="7"/>
  <c r="K90" i="7"/>
  <c r="D90" i="7"/>
  <c r="C90" i="7"/>
  <c r="A90" i="7"/>
  <c r="K89" i="7"/>
  <c r="D89" i="7"/>
  <c r="C89" i="7"/>
  <c r="A89" i="7"/>
  <c r="K88" i="7"/>
  <c r="D88" i="7"/>
  <c r="C88" i="7"/>
  <c r="A88" i="7"/>
  <c r="M87" i="7"/>
  <c r="L87" i="7"/>
  <c r="K87" i="7"/>
  <c r="N87" i="7" s="1"/>
  <c r="D87" i="7"/>
  <c r="C87" i="7"/>
  <c r="A87" i="7"/>
  <c r="K86" i="7"/>
  <c r="D86" i="7"/>
  <c r="C86" i="7"/>
  <c r="A86" i="7"/>
  <c r="L85" i="7"/>
  <c r="K85" i="7"/>
  <c r="D85" i="7"/>
  <c r="C85" i="7"/>
  <c r="A85" i="7"/>
  <c r="M84" i="7"/>
  <c r="K84" i="7"/>
  <c r="L84" i="7" s="1"/>
  <c r="D84" i="7"/>
  <c r="C84" i="7"/>
  <c r="A84" i="7"/>
  <c r="M83" i="7"/>
  <c r="L83" i="7"/>
  <c r="K83" i="7"/>
  <c r="N83" i="7" s="1"/>
  <c r="D83" i="7"/>
  <c r="C83" i="7"/>
  <c r="A83" i="7"/>
  <c r="M82" i="7"/>
  <c r="K82" i="7"/>
  <c r="N82" i="7" s="1"/>
  <c r="D82" i="7"/>
  <c r="C82" i="7"/>
  <c r="A82" i="7"/>
  <c r="N81" i="7"/>
  <c r="M81" i="7"/>
  <c r="L81" i="7"/>
  <c r="K81" i="7"/>
  <c r="D81" i="7"/>
  <c r="C81" i="7"/>
  <c r="A81" i="7"/>
  <c r="L80" i="7"/>
  <c r="K80" i="7"/>
  <c r="N80" i="7" s="1"/>
  <c r="D80" i="7"/>
  <c r="C80" i="7"/>
  <c r="A80" i="7"/>
  <c r="N79" i="7"/>
  <c r="M79" i="7"/>
  <c r="L79" i="7"/>
  <c r="K79" i="7"/>
  <c r="D79" i="7"/>
  <c r="C79" i="7"/>
  <c r="A79" i="7"/>
  <c r="K78" i="7"/>
  <c r="D78" i="7"/>
  <c r="C78" i="7"/>
  <c r="A78" i="7"/>
  <c r="K77" i="7"/>
  <c r="D77" i="7"/>
  <c r="C77" i="7"/>
  <c r="A77" i="7"/>
  <c r="K76" i="7"/>
  <c r="D76" i="7"/>
  <c r="C76" i="7"/>
  <c r="A76" i="7"/>
  <c r="M75" i="7"/>
  <c r="K75" i="7"/>
  <c r="N75" i="7" s="1"/>
  <c r="D75" i="7"/>
  <c r="C75" i="7"/>
  <c r="A75" i="7"/>
  <c r="N74" i="7"/>
  <c r="M74" i="7"/>
  <c r="L74" i="7"/>
  <c r="K74" i="7"/>
  <c r="D74" i="7"/>
  <c r="C74" i="7"/>
  <c r="A74" i="7"/>
  <c r="L73" i="7"/>
  <c r="K73" i="7"/>
  <c r="N73" i="7" s="1"/>
  <c r="D73" i="7"/>
  <c r="C73" i="7"/>
  <c r="A73" i="7"/>
  <c r="N72" i="7"/>
  <c r="K72" i="7"/>
  <c r="D72" i="7"/>
  <c r="C72" i="7"/>
  <c r="A72" i="7"/>
  <c r="M71" i="7"/>
  <c r="L71" i="7"/>
  <c r="K71" i="7"/>
  <c r="N71" i="7" s="1"/>
  <c r="D71" i="7"/>
  <c r="C71" i="7"/>
  <c r="A71" i="7"/>
  <c r="M70" i="7"/>
  <c r="L70" i="7"/>
  <c r="K70" i="7"/>
  <c r="N70" i="7" s="1"/>
  <c r="D70" i="7"/>
  <c r="C70" i="7"/>
  <c r="A70" i="7"/>
  <c r="N69" i="7"/>
  <c r="K69" i="7"/>
  <c r="D69" i="7"/>
  <c r="C69" i="7"/>
  <c r="A69" i="7"/>
  <c r="N68" i="7"/>
  <c r="L68" i="7"/>
  <c r="K68" i="7"/>
  <c r="M68" i="7" s="1"/>
  <c r="D68" i="7"/>
  <c r="C68" i="7"/>
  <c r="A68" i="7"/>
  <c r="N67" i="7"/>
  <c r="M67" i="7"/>
  <c r="L67" i="7"/>
  <c r="K67" i="7"/>
  <c r="D67" i="7"/>
  <c r="C67" i="7"/>
  <c r="A67" i="7"/>
  <c r="N66" i="7"/>
  <c r="K66" i="7"/>
  <c r="D66" i="7"/>
  <c r="C66" i="7"/>
  <c r="A66" i="7"/>
  <c r="N65" i="7"/>
  <c r="L65" i="7"/>
  <c r="K65" i="7"/>
  <c r="M65" i="7" s="1"/>
  <c r="D65" i="7"/>
  <c r="C65" i="7"/>
  <c r="A65" i="7"/>
  <c r="L64" i="7"/>
  <c r="K64" i="7"/>
  <c r="N64" i="7" s="1"/>
  <c r="D64" i="7"/>
  <c r="C64" i="7"/>
  <c r="A64" i="7"/>
  <c r="N63" i="7"/>
  <c r="M63" i="7"/>
  <c r="L63" i="7"/>
  <c r="K63" i="7"/>
  <c r="D63" i="7"/>
  <c r="C63" i="7"/>
  <c r="A63" i="7"/>
  <c r="N62" i="7"/>
  <c r="K62" i="7"/>
  <c r="D62" i="7"/>
  <c r="C62" i="7"/>
  <c r="A62" i="7"/>
  <c r="N61" i="7"/>
  <c r="L61" i="7"/>
  <c r="K61" i="7"/>
  <c r="M61" i="7" s="1"/>
  <c r="D61" i="7"/>
  <c r="C61" i="7"/>
  <c r="A61" i="7"/>
  <c r="K60" i="7"/>
  <c r="D60" i="7"/>
  <c r="C60" i="7"/>
  <c r="A60" i="7"/>
  <c r="M59" i="7"/>
  <c r="K59" i="7"/>
  <c r="N59" i="7" s="1"/>
  <c r="D59" i="7"/>
  <c r="C59" i="7"/>
  <c r="A59" i="7"/>
  <c r="K58" i="7"/>
  <c r="D58" i="7"/>
  <c r="C58" i="7"/>
  <c r="A58" i="7"/>
  <c r="N57" i="7"/>
  <c r="K57" i="7"/>
  <c r="D57" i="7"/>
  <c r="C57" i="7"/>
  <c r="A57" i="7"/>
  <c r="K56" i="7"/>
  <c r="D56" i="7"/>
  <c r="C56" i="7"/>
  <c r="A56" i="7"/>
  <c r="N55" i="7"/>
  <c r="M55" i="7"/>
  <c r="L55" i="7"/>
  <c r="K55" i="7"/>
  <c r="D55" i="7"/>
  <c r="C55" i="7"/>
  <c r="A55" i="7"/>
  <c r="K54" i="7"/>
  <c r="D54" i="7"/>
  <c r="C54" i="7"/>
  <c r="A54" i="7"/>
  <c r="K53" i="7"/>
  <c r="D53" i="7"/>
  <c r="C53" i="7"/>
  <c r="A53" i="7"/>
  <c r="N52" i="7"/>
  <c r="M52" i="7"/>
  <c r="L52" i="7"/>
  <c r="K52" i="7"/>
  <c r="D52" i="7"/>
  <c r="C52" i="7"/>
  <c r="A52" i="7"/>
  <c r="M51" i="7"/>
  <c r="K51" i="7"/>
  <c r="N51" i="7" s="1"/>
  <c r="D51" i="7"/>
  <c r="C51" i="7"/>
  <c r="A51" i="7"/>
  <c r="N50" i="7"/>
  <c r="K50" i="7"/>
  <c r="D50" i="7"/>
  <c r="C50" i="7"/>
  <c r="A50" i="7"/>
  <c r="N49" i="7"/>
  <c r="M49" i="7"/>
  <c r="K49" i="7"/>
  <c r="L49" i="7" s="1"/>
  <c r="D49" i="7"/>
  <c r="C49" i="7"/>
  <c r="A49" i="7"/>
  <c r="M48" i="7"/>
  <c r="K48" i="7"/>
  <c r="L48" i="7" s="1"/>
  <c r="D48" i="7"/>
  <c r="C48" i="7"/>
  <c r="A48" i="7"/>
  <c r="N47" i="7"/>
  <c r="M47" i="7"/>
  <c r="L47" i="7"/>
  <c r="K47" i="7"/>
  <c r="D47" i="7"/>
  <c r="C47" i="7"/>
  <c r="A47" i="7"/>
  <c r="M46" i="7"/>
  <c r="L46" i="7"/>
  <c r="K46" i="7"/>
  <c r="N46" i="7" s="1"/>
  <c r="D46" i="7"/>
  <c r="C46" i="7"/>
  <c r="A46" i="7"/>
  <c r="M45" i="7"/>
  <c r="K45" i="7"/>
  <c r="D45" i="7"/>
  <c r="C45" i="7"/>
  <c r="A45" i="7"/>
  <c r="L44" i="7"/>
  <c r="K44" i="7"/>
  <c r="D44" i="7"/>
  <c r="C44" i="7"/>
  <c r="A44" i="7"/>
  <c r="N43" i="7"/>
  <c r="M43" i="7"/>
  <c r="L43" i="7"/>
  <c r="K43" i="7"/>
  <c r="D43" i="7"/>
  <c r="C43" i="7"/>
  <c r="A43" i="7"/>
  <c r="N42" i="7"/>
  <c r="M42" i="7"/>
  <c r="L42" i="7"/>
  <c r="K42" i="7"/>
  <c r="D42" i="7"/>
  <c r="C42" i="7"/>
  <c r="A42" i="7"/>
  <c r="K41" i="7"/>
  <c r="D41" i="7"/>
  <c r="C41" i="7"/>
  <c r="A41" i="7"/>
  <c r="M40" i="7"/>
  <c r="K40" i="7"/>
  <c r="L40" i="7" s="1"/>
  <c r="D40" i="7"/>
  <c r="C40" i="7"/>
  <c r="A40" i="7"/>
  <c r="M39" i="7"/>
  <c r="L39" i="7"/>
  <c r="K39" i="7"/>
  <c r="N39" i="7" s="1"/>
  <c r="D39" i="7"/>
  <c r="W30" i="1" s="1"/>
  <c r="C39" i="7"/>
  <c r="A39" i="7"/>
  <c r="K38" i="7"/>
  <c r="D38" i="7"/>
  <c r="C38" i="7"/>
  <c r="A38" i="7"/>
  <c r="K37" i="7"/>
  <c r="D37" i="7"/>
  <c r="W31" i="1" s="1"/>
  <c r="C37" i="7"/>
  <c r="A37" i="7"/>
  <c r="N36" i="7"/>
  <c r="M36" i="7"/>
  <c r="K36" i="7"/>
  <c r="L36" i="7" s="1"/>
  <c r="D36" i="7"/>
  <c r="C36" i="7"/>
  <c r="A36" i="7"/>
  <c r="K35" i="7"/>
  <c r="D35" i="7"/>
  <c r="W33" i="1" s="1"/>
  <c r="C35" i="7"/>
  <c r="A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504" i="6"/>
  <c r="A504" i="6"/>
  <c r="C503" i="6"/>
  <c r="A503" i="6"/>
  <c r="C502" i="6"/>
  <c r="A502" i="6"/>
  <c r="C501" i="6"/>
  <c r="A501" i="6"/>
  <c r="C500" i="6"/>
  <c r="A500" i="6"/>
  <c r="C499" i="6"/>
  <c r="A499" i="6"/>
  <c r="C498" i="6"/>
  <c r="A498" i="6"/>
  <c r="C497" i="6"/>
  <c r="A497" i="6"/>
  <c r="C496" i="6"/>
  <c r="A496" i="6"/>
  <c r="C495" i="6"/>
  <c r="A495" i="6"/>
  <c r="C494" i="6"/>
  <c r="A494" i="6"/>
  <c r="C493" i="6"/>
  <c r="A493" i="6"/>
  <c r="C492" i="6"/>
  <c r="A492" i="6"/>
  <c r="C491" i="6"/>
  <c r="A491" i="6"/>
  <c r="C490" i="6"/>
  <c r="A490" i="6"/>
  <c r="C489" i="6"/>
  <c r="A489" i="6"/>
  <c r="C488" i="6"/>
  <c r="A488" i="6"/>
  <c r="C487" i="6"/>
  <c r="A487" i="6"/>
  <c r="C486" i="6"/>
  <c r="A486" i="6"/>
  <c r="C485" i="6"/>
  <c r="A485" i="6"/>
  <c r="C484" i="6"/>
  <c r="A484" i="6"/>
  <c r="C483" i="6"/>
  <c r="A483" i="6"/>
  <c r="C482" i="6"/>
  <c r="A482" i="6"/>
  <c r="C481" i="6"/>
  <c r="A481" i="6"/>
  <c r="C480" i="6"/>
  <c r="A480" i="6"/>
  <c r="C479" i="6"/>
  <c r="A479" i="6"/>
  <c r="C478" i="6"/>
  <c r="A478" i="6"/>
  <c r="C477" i="6"/>
  <c r="A477" i="6"/>
  <c r="C476" i="6"/>
  <c r="A476" i="6"/>
  <c r="C475" i="6"/>
  <c r="A475" i="6"/>
  <c r="C474" i="6"/>
  <c r="A474" i="6"/>
  <c r="C473" i="6"/>
  <c r="A473" i="6"/>
  <c r="C472" i="6"/>
  <c r="A472" i="6"/>
  <c r="C471" i="6"/>
  <c r="A471" i="6"/>
  <c r="C470" i="6"/>
  <c r="A470" i="6"/>
  <c r="C469" i="6"/>
  <c r="A469" i="6"/>
  <c r="C468" i="6"/>
  <c r="A468" i="6"/>
  <c r="C467" i="6"/>
  <c r="A467" i="6"/>
  <c r="C466" i="6"/>
  <c r="A466" i="6"/>
  <c r="C465" i="6"/>
  <c r="A465" i="6"/>
  <c r="C464" i="6"/>
  <c r="A464" i="6"/>
  <c r="C463" i="6"/>
  <c r="A463" i="6"/>
  <c r="C462" i="6"/>
  <c r="A462" i="6"/>
  <c r="C461" i="6"/>
  <c r="A461" i="6"/>
  <c r="C460" i="6"/>
  <c r="A460" i="6"/>
  <c r="C459" i="6"/>
  <c r="A459" i="6"/>
  <c r="C458" i="6"/>
  <c r="A458" i="6"/>
  <c r="C457" i="6"/>
  <c r="A457" i="6"/>
  <c r="C456" i="6"/>
  <c r="A456" i="6"/>
  <c r="C455" i="6"/>
  <c r="A455" i="6"/>
  <c r="C454" i="6"/>
  <c r="A454" i="6"/>
  <c r="C453" i="6"/>
  <c r="A453" i="6"/>
  <c r="C452" i="6"/>
  <c r="A452" i="6"/>
  <c r="C451" i="6"/>
  <c r="A451" i="6"/>
  <c r="C450" i="6"/>
  <c r="A450" i="6"/>
  <c r="C449" i="6"/>
  <c r="A449" i="6"/>
  <c r="C448" i="6"/>
  <c r="A448" i="6"/>
  <c r="C447" i="6"/>
  <c r="A447" i="6"/>
  <c r="C446" i="6"/>
  <c r="A446" i="6"/>
  <c r="C445" i="6"/>
  <c r="A445" i="6"/>
  <c r="C444" i="6"/>
  <c r="A444" i="6"/>
  <c r="C443" i="6"/>
  <c r="A443" i="6"/>
  <c r="C442" i="6"/>
  <c r="A442" i="6"/>
  <c r="C441" i="6"/>
  <c r="A441" i="6"/>
  <c r="C440" i="6"/>
  <c r="A440" i="6"/>
  <c r="C439" i="6"/>
  <c r="A439" i="6"/>
  <c r="C438" i="6"/>
  <c r="A438" i="6"/>
  <c r="C437" i="6"/>
  <c r="A437" i="6"/>
  <c r="C436" i="6"/>
  <c r="A436" i="6"/>
  <c r="C435" i="6"/>
  <c r="A435" i="6"/>
  <c r="C434" i="6"/>
  <c r="A434" i="6"/>
  <c r="C433" i="6"/>
  <c r="A433" i="6"/>
  <c r="C432" i="6"/>
  <c r="A432" i="6"/>
  <c r="C431" i="6"/>
  <c r="A431" i="6"/>
  <c r="C430" i="6"/>
  <c r="A430" i="6"/>
  <c r="C429" i="6"/>
  <c r="A429" i="6"/>
  <c r="C428" i="6"/>
  <c r="A428" i="6"/>
  <c r="C427" i="6"/>
  <c r="A427" i="6"/>
  <c r="C426" i="6"/>
  <c r="A426" i="6"/>
  <c r="C425" i="6"/>
  <c r="A425" i="6"/>
  <c r="C424" i="6"/>
  <c r="A424" i="6"/>
  <c r="C423" i="6"/>
  <c r="A423" i="6"/>
  <c r="C422" i="6"/>
  <c r="A422" i="6"/>
  <c r="C421" i="6"/>
  <c r="A421" i="6"/>
  <c r="C420" i="6"/>
  <c r="A420" i="6"/>
  <c r="C419" i="6"/>
  <c r="A419" i="6"/>
  <c r="C418" i="6"/>
  <c r="A418" i="6"/>
  <c r="C417" i="6"/>
  <c r="A417" i="6"/>
  <c r="C416" i="6"/>
  <c r="A416" i="6"/>
  <c r="C415" i="6"/>
  <c r="A415" i="6"/>
  <c r="C414" i="6"/>
  <c r="A414" i="6"/>
  <c r="C413" i="6"/>
  <c r="A413" i="6"/>
  <c r="C412" i="6"/>
  <c r="A412" i="6"/>
  <c r="C411" i="6"/>
  <c r="A411" i="6"/>
  <c r="C410" i="6"/>
  <c r="A410" i="6"/>
  <c r="C409" i="6"/>
  <c r="A409" i="6"/>
  <c r="C408" i="6"/>
  <c r="A408" i="6"/>
  <c r="C407" i="6"/>
  <c r="A407" i="6"/>
  <c r="C406" i="6"/>
  <c r="A406" i="6"/>
  <c r="C405" i="6"/>
  <c r="A405" i="6"/>
  <c r="C404" i="6"/>
  <c r="A404" i="6"/>
  <c r="C403" i="6"/>
  <c r="A403" i="6"/>
  <c r="C402" i="6"/>
  <c r="A402" i="6"/>
  <c r="C401" i="6"/>
  <c r="A401" i="6"/>
  <c r="C400" i="6"/>
  <c r="A400" i="6"/>
  <c r="C399" i="6"/>
  <c r="A399" i="6"/>
  <c r="C398" i="6"/>
  <c r="A398" i="6"/>
  <c r="C397" i="6"/>
  <c r="A397" i="6"/>
  <c r="C396" i="6"/>
  <c r="A396" i="6"/>
  <c r="C395" i="6"/>
  <c r="A395" i="6"/>
  <c r="C394" i="6"/>
  <c r="A394" i="6"/>
  <c r="C393" i="6"/>
  <c r="A393" i="6"/>
  <c r="C392" i="6"/>
  <c r="A392" i="6"/>
  <c r="C391" i="6"/>
  <c r="A391" i="6"/>
  <c r="C390" i="6"/>
  <c r="A390" i="6"/>
  <c r="C389" i="6"/>
  <c r="A389" i="6"/>
  <c r="C388" i="6"/>
  <c r="A388" i="6"/>
  <c r="C387" i="6"/>
  <c r="A387" i="6"/>
  <c r="C386" i="6"/>
  <c r="A386" i="6"/>
  <c r="C385" i="6"/>
  <c r="A385" i="6"/>
  <c r="C384" i="6"/>
  <c r="A384" i="6"/>
  <c r="C383" i="6"/>
  <c r="A383" i="6"/>
  <c r="C382" i="6"/>
  <c r="A382" i="6"/>
  <c r="C381" i="6"/>
  <c r="A381" i="6"/>
  <c r="C380" i="6"/>
  <c r="A380" i="6"/>
  <c r="C379" i="6"/>
  <c r="A379" i="6"/>
  <c r="C378" i="6"/>
  <c r="A378" i="6"/>
  <c r="C377" i="6"/>
  <c r="A377" i="6"/>
  <c r="C376" i="6"/>
  <c r="A376" i="6"/>
  <c r="C375" i="6"/>
  <c r="A375" i="6"/>
  <c r="C374" i="6"/>
  <c r="A374" i="6"/>
  <c r="C373" i="6"/>
  <c r="A373" i="6"/>
  <c r="C372" i="6"/>
  <c r="A372" i="6"/>
  <c r="C371" i="6"/>
  <c r="A371" i="6"/>
  <c r="C370" i="6"/>
  <c r="A370" i="6"/>
  <c r="C369" i="6"/>
  <c r="A369" i="6"/>
  <c r="C368" i="6"/>
  <c r="A368" i="6"/>
  <c r="C367" i="6"/>
  <c r="A367" i="6"/>
  <c r="C366" i="6"/>
  <c r="A366" i="6"/>
  <c r="C365" i="6"/>
  <c r="A365" i="6"/>
  <c r="C364" i="6"/>
  <c r="A364" i="6"/>
  <c r="C363" i="6"/>
  <c r="A363" i="6"/>
  <c r="C362" i="6"/>
  <c r="A362" i="6"/>
  <c r="C361" i="6"/>
  <c r="A361" i="6"/>
  <c r="C360" i="6"/>
  <c r="A360" i="6"/>
  <c r="C359" i="6"/>
  <c r="A359" i="6"/>
  <c r="C358" i="6"/>
  <c r="A358" i="6"/>
  <c r="C357" i="6"/>
  <c r="A357" i="6"/>
  <c r="C356" i="6"/>
  <c r="A356" i="6"/>
  <c r="C355" i="6"/>
  <c r="A355" i="6"/>
  <c r="C354" i="6"/>
  <c r="A354" i="6"/>
  <c r="C353" i="6"/>
  <c r="A353" i="6"/>
  <c r="C352" i="6"/>
  <c r="A352" i="6"/>
  <c r="C351" i="6"/>
  <c r="A351" i="6"/>
  <c r="C350" i="6"/>
  <c r="A350" i="6"/>
  <c r="C349" i="6"/>
  <c r="A349" i="6"/>
  <c r="C348" i="6"/>
  <c r="A348" i="6"/>
  <c r="C347" i="6"/>
  <c r="A347" i="6"/>
  <c r="C346" i="6"/>
  <c r="A346" i="6"/>
  <c r="C345" i="6"/>
  <c r="A345" i="6"/>
  <c r="C344" i="6"/>
  <c r="A344" i="6"/>
  <c r="C343" i="6"/>
  <c r="A343" i="6"/>
  <c r="C342" i="6"/>
  <c r="A342" i="6"/>
  <c r="C341" i="6"/>
  <c r="A341" i="6"/>
  <c r="C340" i="6"/>
  <c r="A340" i="6"/>
  <c r="C339" i="6"/>
  <c r="A339" i="6"/>
  <c r="C338" i="6"/>
  <c r="A338" i="6"/>
  <c r="C337" i="6"/>
  <c r="A337" i="6"/>
  <c r="C336" i="6"/>
  <c r="A336" i="6"/>
  <c r="C335" i="6"/>
  <c r="A335" i="6"/>
  <c r="C334" i="6"/>
  <c r="A334" i="6"/>
  <c r="C333" i="6"/>
  <c r="A333" i="6"/>
  <c r="C332" i="6"/>
  <c r="A332" i="6"/>
  <c r="C331" i="6"/>
  <c r="A331" i="6"/>
  <c r="C330" i="6"/>
  <c r="A330" i="6"/>
  <c r="C329" i="6"/>
  <c r="A329" i="6"/>
  <c r="C328" i="6"/>
  <c r="A328" i="6"/>
  <c r="C327" i="6"/>
  <c r="A327" i="6"/>
  <c r="C326" i="6"/>
  <c r="A326" i="6"/>
  <c r="C325" i="6"/>
  <c r="A325" i="6"/>
  <c r="C324" i="6"/>
  <c r="A324" i="6"/>
  <c r="C323" i="6"/>
  <c r="A323" i="6"/>
  <c r="C322" i="6"/>
  <c r="A322" i="6"/>
  <c r="C321" i="6"/>
  <c r="A321" i="6"/>
  <c r="C320" i="6"/>
  <c r="A320" i="6"/>
  <c r="C319" i="6"/>
  <c r="A319" i="6"/>
  <c r="C318" i="6"/>
  <c r="A318" i="6"/>
  <c r="C317" i="6"/>
  <c r="A317" i="6"/>
  <c r="C316" i="6"/>
  <c r="A316" i="6"/>
  <c r="C315" i="6"/>
  <c r="A315" i="6"/>
  <c r="C314" i="6"/>
  <c r="A314" i="6"/>
  <c r="C313" i="6"/>
  <c r="A313" i="6"/>
  <c r="C312" i="6"/>
  <c r="A312" i="6"/>
  <c r="C311" i="6"/>
  <c r="A311" i="6"/>
  <c r="C310" i="6"/>
  <c r="A310" i="6"/>
  <c r="C309" i="6"/>
  <c r="A309" i="6"/>
  <c r="C308" i="6"/>
  <c r="A308" i="6"/>
  <c r="C307" i="6"/>
  <c r="A307" i="6"/>
  <c r="C306" i="6"/>
  <c r="A306" i="6"/>
  <c r="C305" i="6"/>
  <c r="A305" i="6"/>
  <c r="C304" i="6"/>
  <c r="A304" i="6"/>
  <c r="C303" i="6"/>
  <c r="A303" i="6"/>
  <c r="C302" i="6"/>
  <c r="A302" i="6"/>
  <c r="C301" i="6"/>
  <c r="A301" i="6"/>
  <c r="C300" i="6"/>
  <c r="A300" i="6"/>
  <c r="C299" i="6"/>
  <c r="A299" i="6"/>
  <c r="C298" i="6"/>
  <c r="A298" i="6"/>
  <c r="C297" i="6"/>
  <c r="A297" i="6"/>
  <c r="C296" i="6"/>
  <c r="A296" i="6"/>
  <c r="C295" i="6"/>
  <c r="A295" i="6"/>
  <c r="C294" i="6"/>
  <c r="A294" i="6"/>
  <c r="C293" i="6"/>
  <c r="A293" i="6"/>
  <c r="C292" i="6"/>
  <c r="A292" i="6"/>
  <c r="C291" i="6"/>
  <c r="A291" i="6"/>
  <c r="C290" i="6"/>
  <c r="A290" i="6"/>
  <c r="C289" i="6"/>
  <c r="A289" i="6"/>
  <c r="C288" i="6"/>
  <c r="A288" i="6"/>
  <c r="C287" i="6"/>
  <c r="A287" i="6"/>
  <c r="C286" i="6"/>
  <c r="A286" i="6"/>
  <c r="C285" i="6"/>
  <c r="A285" i="6"/>
  <c r="C284" i="6"/>
  <c r="A284" i="6"/>
  <c r="C283" i="6"/>
  <c r="A283" i="6"/>
  <c r="C282" i="6"/>
  <c r="A282" i="6"/>
  <c r="C281" i="6"/>
  <c r="A281" i="6"/>
  <c r="C280" i="6"/>
  <c r="A280" i="6"/>
  <c r="C279" i="6"/>
  <c r="A279" i="6"/>
  <c r="C278" i="6"/>
  <c r="A278" i="6"/>
  <c r="C277" i="6"/>
  <c r="A277" i="6"/>
  <c r="C276" i="6"/>
  <c r="A276" i="6"/>
  <c r="C275" i="6"/>
  <c r="A275" i="6"/>
  <c r="C274" i="6"/>
  <c r="A274" i="6"/>
  <c r="C273" i="6"/>
  <c r="A273" i="6"/>
  <c r="C272" i="6"/>
  <c r="A272" i="6"/>
  <c r="C271" i="6"/>
  <c r="A271" i="6"/>
  <c r="C270" i="6"/>
  <c r="A270" i="6"/>
  <c r="C269" i="6"/>
  <c r="A269" i="6"/>
  <c r="C268" i="6"/>
  <c r="A268" i="6"/>
  <c r="C267" i="6"/>
  <c r="A267" i="6"/>
  <c r="C266" i="6"/>
  <c r="A266" i="6"/>
  <c r="C265" i="6"/>
  <c r="A265" i="6"/>
  <c r="C264" i="6"/>
  <c r="A264" i="6"/>
  <c r="C263" i="6"/>
  <c r="A263" i="6"/>
  <c r="C262" i="6"/>
  <c r="A262" i="6"/>
  <c r="C261" i="6"/>
  <c r="A261" i="6"/>
  <c r="C260" i="6"/>
  <c r="A260" i="6"/>
  <c r="C259" i="6"/>
  <c r="A259" i="6"/>
  <c r="C258" i="6"/>
  <c r="A258" i="6"/>
  <c r="C257" i="6"/>
  <c r="A257" i="6"/>
  <c r="C256" i="6"/>
  <c r="A256" i="6"/>
  <c r="C255" i="6"/>
  <c r="A255" i="6"/>
  <c r="C254" i="6"/>
  <c r="A254" i="6"/>
  <c r="C253" i="6"/>
  <c r="A253" i="6"/>
  <c r="C252" i="6"/>
  <c r="A252" i="6"/>
  <c r="C251" i="6"/>
  <c r="A251" i="6"/>
  <c r="C250" i="6"/>
  <c r="A250" i="6"/>
  <c r="C249" i="6"/>
  <c r="A249" i="6"/>
  <c r="C248" i="6"/>
  <c r="A248" i="6"/>
  <c r="C247" i="6"/>
  <c r="A247" i="6"/>
  <c r="C246" i="6"/>
  <c r="A246" i="6"/>
  <c r="C245" i="6"/>
  <c r="A245" i="6"/>
  <c r="C244" i="6"/>
  <c r="A244" i="6"/>
  <c r="C243" i="6"/>
  <c r="A243" i="6"/>
  <c r="C242" i="6"/>
  <c r="A242" i="6"/>
  <c r="C241" i="6"/>
  <c r="A241" i="6"/>
  <c r="C240" i="6"/>
  <c r="A240" i="6"/>
  <c r="C239" i="6"/>
  <c r="A239" i="6"/>
  <c r="C238" i="6"/>
  <c r="A238" i="6"/>
  <c r="C237" i="6"/>
  <c r="A237" i="6"/>
  <c r="C236" i="6"/>
  <c r="A236" i="6"/>
  <c r="C235" i="6"/>
  <c r="A235" i="6"/>
  <c r="C234" i="6"/>
  <c r="A234" i="6"/>
  <c r="C233" i="6"/>
  <c r="A233" i="6"/>
  <c r="C232" i="6"/>
  <c r="A232" i="6"/>
  <c r="C231" i="6"/>
  <c r="A231" i="6"/>
  <c r="C230" i="6"/>
  <c r="A230" i="6"/>
  <c r="C229" i="6"/>
  <c r="A229" i="6"/>
  <c r="C228" i="6"/>
  <c r="A228" i="6"/>
  <c r="C227" i="6"/>
  <c r="A227" i="6"/>
  <c r="C226" i="6"/>
  <c r="A226" i="6"/>
  <c r="C225" i="6"/>
  <c r="A225" i="6"/>
  <c r="C224" i="6"/>
  <c r="A224" i="6"/>
  <c r="C223" i="6"/>
  <c r="A223" i="6"/>
  <c r="C222" i="6"/>
  <c r="A222" i="6"/>
  <c r="C221" i="6"/>
  <c r="A221" i="6"/>
  <c r="C220" i="6"/>
  <c r="A220" i="6"/>
  <c r="C219" i="6"/>
  <c r="A219" i="6"/>
  <c r="C218" i="6"/>
  <c r="A218" i="6"/>
  <c r="C217" i="6"/>
  <c r="A217" i="6"/>
  <c r="C216" i="6"/>
  <c r="A216" i="6"/>
  <c r="C215" i="6"/>
  <c r="A215" i="6"/>
  <c r="C214" i="6"/>
  <c r="A214" i="6"/>
  <c r="C213" i="6"/>
  <c r="A213" i="6"/>
  <c r="C212" i="6"/>
  <c r="A212" i="6"/>
  <c r="C211" i="6"/>
  <c r="A211" i="6"/>
  <c r="C210" i="6"/>
  <c r="A210" i="6"/>
  <c r="C209" i="6"/>
  <c r="A209" i="6"/>
  <c r="C208" i="6"/>
  <c r="A208" i="6"/>
  <c r="C207" i="6"/>
  <c r="A207" i="6"/>
  <c r="C206" i="6"/>
  <c r="A206" i="6"/>
  <c r="C205" i="6"/>
  <c r="A205" i="6"/>
  <c r="C204" i="6"/>
  <c r="A204" i="6"/>
  <c r="C203" i="6"/>
  <c r="A203" i="6"/>
  <c r="C202" i="6"/>
  <c r="A202" i="6"/>
  <c r="C201" i="6"/>
  <c r="A201" i="6"/>
  <c r="C200" i="6"/>
  <c r="A200" i="6"/>
  <c r="C199" i="6"/>
  <c r="A199" i="6"/>
  <c r="C198" i="6"/>
  <c r="A198" i="6"/>
  <c r="C197" i="6"/>
  <c r="A197" i="6"/>
  <c r="C196" i="6"/>
  <c r="A196" i="6"/>
  <c r="C195" i="6"/>
  <c r="A195" i="6"/>
  <c r="C194" i="6"/>
  <c r="A194" i="6"/>
  <c r="C193" i="6"/>
  <c r="A193" i="6"/>
  <c r="C192" i="6"/>
  <c r="A192" i="6"/>
  <c r="C191" i="6"/>
  <c r="A191" i="6"/>
  <c r="C190" i="6"/>
  <c r="A190" i="6"/>
  <c r="C189" i="6"/>
  <c r="A189" i="6"/>
  <c r="C188" i="6"/>
  <c r="A188" i="6"/>
  <c r="C187" i="6"/>
  <c r="A187" i="6"/>
  <c r="C186" i="6"/>
  <c r="A186" i="6"/>
  <c r="C185" i="6"/>
  <c r="A185" i="6"/>
  <c r="C184" i="6"/>
  <c r="A184" i="6"/>
  <c r="C183" i="6"/>
  <c r="A183" i="6"/>
  <c r="C182" i="6"/>
  <c r="A182" i="6"/>
  <c r="C181" i="6"/>
  <c r="A181" i="6"/>
  <c r="C180" i="6"/>
  <c r="A180" i="6"/>
  <c r="C179" i="6"/>
  <c r="A179" i="6"/>
  <c r="C178" i="6"/>
  <c r="A178" i="6"/>
  <c r="C177" i="6"/>
  <c r="A177" i="6"/>
  <c r="C176" i="6"/>
  <c r="A176" i="6"/>
  <c r="C175" i="6"/>
  <c r="A175" i="6"/>
  <c r="C174" i="6"/>
  <c r="A174" i="6"/>
  <c r="C173" i="6"/>
  <c r="A173" i="6"/>
  <c r="C172" i="6"/>
  <c r="A172" i="6"/>
  <c r="C171" i="6"/>
  <c r="A171" i="6"/>
  <c r="C170" i="6"/>
  <c r="A170" i="6"/>
  <c r="C169" i="6"/>
  <c r="A169" i="6"/>
  <c r="C168" i="6"/>
  <c r="A168" i="6"/>
  <c r="C167" i="6"/>
  <c r="A167" i="6"/>
  <c r="C166" i="6"/>
  <c r="A166" i="6"/>
  <c r="C165" i="6"/>
  <c r="A165" i="6"/>
  <c r="C164" i="6"/>
  <c r="A164" i="6"/>
  <c r="C163" i="6"/>
  <c r="A163" i="6"/>
  <c r="C162" i="6"/>
  <c r="A162" i="6"/>
  <c r="C161" i="6"/>
  <c r="A161" i="6"/>
  <c r="C160" i="6"/>
  <c r="A160" i="6"/>
  <c r="C159" i="6"/>
  <c r="A159" i="6"/>
  <c r="C158" i="6"/>
  <c r="A158" i="6"/>
  <c r="C157" i="6"/>
  <c r="A157" i="6"/>
  <c r="C156" i="6"/>
  <c r="A156" i="6"/>
  <c r="C155" i="6"/>
  <c r="A155" i="6"/>
  <c r="C154" i="6"/>
  <c r="A154" i="6"/>
  <c r="C153" i="6"/>
  <c r="A153" i="6"/>
  <c r="C152" i="6"/>
  <c r="A152" i="6"/>
  <c r="C151" i="6"/>
  <c r="A151" i="6"/>
  <c r="C150" i="6"/>
  <c r="A150" i="6"/>
  <c r="C149" i="6"/>
  <c r="A149" i="6"/>
  <c r="C148" i="6"/>
  <c r="A148" i="6"/>
  <c r="C147" i="6"/>
  <c r="A147" i="6"/>
  <c r="C146" i="6"/>
  <c r="A146" i="6"/>
  <c r="C145" i="6"/>
  <c r="A145" i="6"/>
  <c r="C144" i="6"/>
  <c r="A144" i="6"/>
  <c r="C143" i="6"/>
  <c r="A143" i="6"/>
  <c r="C142" i="6"/>
  <c r="A142" i="6"/>
  <c r="C141" i="6"/>
  <c r="A141" i="6"/>
  <c r="C140" i="6"/>
  <c r="A140" i="6"/>
  <c r="C139" i="6"/>
  <c r="A139" i="6"/>
  <c r="C138" i="6"/>
  <c r="A138" i="6"/>
  <c r="C137" i="6"/>
  <c r="A137" i="6"/>
  <c r="C136" i="6"/>
  <c r="A136" i="6"/>
  <c r="C135" i="6"/>
  <c r="A135" i="6"/>
  <c r="C134" i="6"/>
  <c r="A134" i="6"/>
  <c r="C133" i="6"/>
  <c r="A133" i="6"/>
  <c r="C132" i="6"/>
  <c r="A132" i="6"/>
  <c r="C131" i="6"/>
  <c r="A131" i="6"/>
  <c r="C130" i="6"/>
  <c r="A130" i="6"/>
  <c r="C129" i="6"/>
  <c r="A129" i="6"/>
  <c r="C128" i="6"/>
  <c r="A128" i="6"/>
  <c r="C127" i="6"/>
  <c r="A127" i="6"/>
  <c r="C126" i="6"/>
  <c r="A126" i="6"/>
  <c r="C125" i="6"/>
  <c r="A125" i="6"/>
  <c r="C124" i="6"/>
  <c r="A124" i="6"/>
  <c r="C123" i="6"/>
  <c r="A123" i="6"/>
  <c r="C122" i="6"/>
  <c r="A122" i="6"/>
  <c r="C121" i="6"/>
  <c r="A121" i="6"/>
  <c r="C120" i="6"/>
  <c r="A120" i="6"/>
  <c r="C119" i="6"/>
  <c r="A119" i="6"/>
  <c r="C118" i="6"/>
  <c r="A118" i="6"/>
  <c r="C117" i="6"/>
  <c r="A117" i="6"/>
  <c r="C116" i="6"/>
  <c r="A116" i="6"/>
  <c r="C115" i="6"/>
  <c r="A115" i="6"/>
  <c r="C114" i="6"/>
  <c r="A114" i="6"/>
  <c r="C113" i="6"/>
  <c r="A113" i="6"/>
  <c r="C112" i="6"/>
  <c r="A112" i="6"/>
  <c r="C111" i="6"/>
  <c r="A111" i="6"/>
  <c r="C110" i="6"/>
  <c r="A110" i="6"/>
  <c r="C109" i="6"/>
  <c r="A109" i="6"/>
  <c r="C108" i="6"/>
  <c r="A108" i="6"/>
  <c r="C107" i="6"/>
  <c r="A107" i="6"/>
  <c r="C106" i="6"/>
  <c r="A106" i="6"/>
  <c r="C105" i="6"/>
  <c r="A105" i="6"/>
  <c r="C104" i="6"/>
  <c r="A104" i="6"/>
  <c r="C103" i="6"/>
  <c r="A103" i="6"/>
  <c r="C102" i="6"/>
  <c r="A102" i="6"/>
  <c r="C101" i="6"/>
  <c r="A101" i="6"/>
  <c r="C100" i="6"/>
  <c r="A100" i="6"/>
  <c r="C99" i="6"/>
  <c r="A99" i="6"/>
  <c r="C98" i="6"/>
  <c r="A98" i="6"/>
  <c r="C97" i="6"/>
  <c r="A97" i="6"/>
  <c r="C96" i="6"/>
  <c r="A96" i="6"/>
  <c r="C95" i="6"/>
  <c r="A95" i="6"/>
  <c r="C94" i="6"/>
  <c r="A94" i="6"/>
  <c r="C93" i="6"/>
  <c r="A93" i="6"/>
  <c r="C92" i="6"/>
  <c r="A92" i="6"/>
  <c r="C91" i="6"/>
  <c r="A91" i="6"/>
  <c r="C90" i="6"/>
  <c r="A90" i="6"/>
  <c r="C89" i="6"/>
  <c r="A89" i="6"/>
  <c r="C88" i="6"/>
  <c r="A88" i="6"/>
  <c r="C87" i="6"/>
  <c r="A87" i="6"/>
  <c r="C86" i="6"/>
  <c r="A86" i="6"/>
  <c r="C85" i="6"/>
  <c r="A85" i="6"/>
  <c r="C84" i="6"/>
  <c r="A84" i="6"/>
  <c r="C83" i="6"/>
  <c r="A83" i="6"/>
  <c r="C82" i="6"/>
  <c r="A82" i="6"/>
  <c r="C81" i="6"/>
  <c r="A81" i="6"/>
  <c r="C80" i="6"/>
  <c r="A80" i="6"/>
  <c r="C79" i="6"/>
  <c r="A79" i="6"/>
  <c r="C78" i="6"/>
  <c r="A78" i="6"/>
  <c r="C77" i="6"/>
  <c r="A77" i="6"/>
  <c r="C76" i="6"/>
  <c r="A76" i="6"/>
  <c r="C75" i="6"/>
  <c r="A75" i="6"/>
  <c r="C74" i="6"/>
  <c r="A74" i="6"/>
  <c r="C73" i="6"/>
  <c r="A73" i="6"/>
  <c r="C72" i="6"/>
  <c r="A72" i="6"/>
  <c r="C71" i="6"/>
  <c r="A71" i="6"/>
  <c r="C70" i="6"/>
  <c r="A70" i="6"/>
  <c r="C69" i="6"/>
  <c r="A69" i="6"/>
  <c r="C68" i="6"/>
  <c r="A68" i="6"/>
  <c r="C67" i="6"/>
  <c r="A67" i="6"/>
  <c r="C66" i="6"/>
  <c r="A66" i="6"/>
  <c r="C65" i="6"/>
  <c r="A65" i="6"/>
  <c r="C64" i="6"/>
  <c r="A64" i="6"/>
  <c r="C63" i="6"/>
  <c r="A63" i="6"/>
  <c r="C62" i="6"/>
  <c r="A62" i="6"/>
  <c r="C61" i="6"/>
  <c r="A61" i="6"/>
  <c r="C60" i="6"/>
  <c r="A60" i="6"/>
  <c r="C59" i="6"/>
  <c r="A59" i="6"/>
  <c r="C58" i="6"/>
  <c r="A58" i="6"/>
  <c r="C57" i="6"/>
  <c r="A57" i="6"/>
  <c r="C56" i="6"/>
  <c r="A56" i="6"/>
  <c r="C55" i="6"/>
  <c r="A55" i="6"/>
  <c r="C54" i="6"/>
  <c r="A54" i="6"/>
  <c r="C53" i="6"/>
  <c r="A53" i="6"/>
  <c r="C52" i="6"/>
  <c r="A52" i="6"/>
  <c r="C51" i="6"/>
  <c r="A51" i="6"/>
  <c r="C50" i="6"/>
  <c r="A50" i="6"/>
  <c r="C49" i="6"/>
  <c r="A49" i="6"/>
  <c r="C48" i="6"/>
  <c r="A48" i="6"/>
  <c r="C47" i="6"/>
  <c r="A47" i="6"/>
  <c r="C46" i="6"/>
  <c r="A46" i="6"/>
  <c r="C45" i="6"/>
  <c r="A45" i="6"/>
  <c r="C44" i="6"/>
  <c r="A44" i="6"/>
  <c r="C43" i="6"/>
  <c r="A43" i="6"/>
  <c r="C42" i="6"/>
  <c r="A42" i="6"/>
  <c r="C41" i="6"/>
  <c r="A41" i="6"/>
  <c r="C40" i="6"/>
  <c r="A40" i="6"/>
  <c r="C39" i="6"/>
  <c r="A39" i="6"/>
  <c r="C38" i="6"/>
  <c r="A38" i="6"/>
  <c r="C37" i="6"/>
  <c r="A37" i="6"/>
  <c r="C36" i="6"/>
  <c r="A36" i="6"/>
  <c r="C35" i="6"/>
  <c r="A35" i="6"/>
  <c r="C34" i="6"/>
  <c r="A34" i="6"/>
  <c r="C33" i="6"/>
  <c r="A33" i="6"/>
  <c r="C32" i="6"/>
  <c r="A32" i="6"/>
  <c r="I504" i="5"/>
  <c r="H504" i="5"/>
  <c r="C504" i="5"/>
  <c r="A504" i="5"/>
  <c r="I503" i="5"/>
  <c r="H503" i="5"/>
  <c r="C503" i="5"/>
  <c r="A503" i="5"/>
  <c r="I502" i="5"/>
  <c r="H502" i="5"/>
  <c r="C502" i="5"/>
  <c r="A502" i="5"/>
  <c r="I501" i="5"/>
  <c r="H501" i="5"/>
  <c r="C501" i="5"/>
  <c r="A501" i="5"/>
  <c r="I500" i="5"/>
  <c r="H500" i="5"/>
  <c r="C500" i="5"/>
  <c r="A500" i="5"/>
  <c r="I499" i="5"/>
  <c r="H499" i="5"/>
  <c r="C499" i="5"/>
  <c r="A499" i="5"/>
  <c r="I498" i="5"/>
  <c r="H498" i="5"/>
  <c r="C498" i="5"/>
  <c r="A498" i="5"/>
  <c r="I497" i="5"/>
  <c r="H497" i="5"/>
  <c r="C497" i="5"/>
  <c r="A497" i="5"/>
  <c r="I496" i="5"/>
  <c r="H496" i="5"/>
  <c r="C496" i="5"/>
  <c r="A496" i="5"/>
  <c r="I495" i="5"/>
  <c r="H495" i="5"/>
  <c r="C495" i="5"/>
  <c r="A495" i="5"/>
  <c r="I494" i="5"/>
  <c r="H494" i="5"/>
  <c r="C494" i="5"/>
  <c r="A494" i="5"/>
  <c r="I493" i="5"/>
  <c r="H493" i="5"/>
  <c r="C493" i="5"/>
  <c r="A493" i="5"/>
  <c r="I492" i="5"/>
  <c r="H492" i="5"/>
  <c r="C492" i="5"/>
  <c r="A492" i="5"/>
  <c r="I491" i="5"/>
  <c r="H491" i="5"/>
  <c r="C491" i="5"/>
  <c r="A491" i="5"/>
  <c r="I490" i="5"/>
  <c r="H490" i="5"/>
  <c r="C490" i="5"/>
  <c r="A490" i="5"/>
  <c r="I489" i="5"/>
  <c r="H489" i="5"/>
  <c r="C489" i="5"/>
  <c r="A489" i="5"/>
  <c r="I488" i="5"/>
  <c r="H488" i="5"/>
  <c r="C488" i="5"/>
  <c r="A488" i="5"/>
  <c r="I487" i="5"/>
  <c r="H487" i="5"/>
  <c r="C487" i="5"/>
  <c r="A487" i="5"/>
  <c r="I486" i="5"/>
  <c r="H486" i="5"/>
  <c r="C486" i="5"/>
  <c r="A486" i="5"/>
  <c r="I485" i="5"/>
  <c r="H485" i="5"/>
  <c r="C485" i="5"/>
  <c r="A485" i="5"/>
  <c r="I484" i="5"/>
  <c r="H484" i="5"/>
  <c r="C484" i="5"/>
  <c r="A484" i="5"/>
  <c r="I483" i="5"/>
  <c r="H483" i="5"/>
  <c r="C483" i="5"/>
  <c r="A483" i="5"/>
  <c r="I482" i="5"/>
  <c r="H482" i="5"/>
  <c r="C482" i="5"/>
  <c r="A482" i="5"/>
  <c r="I481" i="5"/>
  <c r="H481" i="5"/>
  <c r="C481" i="5"/>
  <c r="A481" i="5"/>
  <c r="I480" i="5"/>
  <c r="H480" i="5"/>
  <c r="C480" i="5"/>
  <c r="A480" i="5"/>
  <c r="I479" i="5"/>
  <c r="H479" i="5"/>
  <c r="C479" i="5"/>
  <c r="A479" i="5"/>
  <c r="I478" i="5"/>
  <c r="H478" i="5"/>
  <c r="C478" i="5"/>
  <c r="A478" i="5"/>
  <c r="I477" i="5"/>
  <c r="H477" i="5"/>
  <c r="C477" i="5"/>
  <c r="A477" i="5"/>
  <c r="I476" i="5"/>
  <c r="H476" i="5"/>
  <c r="C476" i="5"/>
  <c r="A476" i="5"/>
  <c r="I475" i="5"/>
  <c r="H475" i="5"/>
  <c r="C475" i="5"/>
  <c r="A475" i="5"/>
  <c r="I474" i="5"/>
  <c r="H474" i="5"/>
  <c r="C474" i="5"/>
  <c r="A474" i="5"/>
  <c r="I473" i="5"/>
  <c r="H473" i="5"/>
  <c r="C473" i="5"/>
  <c r="A473" i="5"/>
  <c r="I472" i="5"/>
  <c r="H472" i="5"/>
  <c r="C472" i="5"/>
  <c r="A472" i="5"/>
  <c r="I471" i="5"/>
  <c r="H471" i="5"/>
  <c r="C471" i="5"/>
  <c r="A471" i="5"/>
  <c r="I470" i="5"/>
  <c r="H470" i="5"/>
  <c r="C470" i="5"/>
  <c r="A470" i="5"/>
  <c r="I469" i="5"/>
  <c r="H469" i="5"/>
  <c r="C469" i="5"/>
  <c r="A469" i="5"/>
  <c r="I468" i="5"/>
  <c r="H468" i="5"/>
  <c r="C468" i="5"/>
  <c r="A468" i="5"/>
  <c r="I467" i="5"/>
  <c r="H467" i="5"/>
  <c r="C467" i="5"/>
  <c r="A467" i="5"/>
  <c r="I466" i="5"/>
  <c r="H466" i="5"/>
  <c r="C466" i="5"/>
  <c r="A466" i="5"/>
  <c r="I465" i="5"/>
  <c r="H465" i="5"/>
  <c r="C465" i="5"/>
  <c r="A465" i="5"/>
  <c r="I464" i="5"/>
  <c r="H464" i="5"/>
  <c r="C464" i="5"/>
  <c r="A464" i="5"/>
  <c r="I463" i="5"/>
  <c r="H463" i="5"/>
  <c r="C463" i="5"/>
  <c r="A463" i="5"/>
  <c r="I462" i="5"/>
  <c r="H462" i="5"/>
  <c r="C462" i="5"/>
  <c r="A462" i="5"/>
  <c r="I461" i="5"/>
  <c r="H461" i="5"/>
  <c r="C461" i="5"/>
  <c r="A461" i="5"/>
  <c r="I460" i="5"/>
  <c r="H460" i="5"/>
  <c r="C460" i="5"/>
  <c r="A460" i="5"/>
  <c r="I459" i="5"/>
  <c r="H459" i="5"/>
  <c r="C459" i="5"/>
  <c r="A459" i="5"/>
  <c r="I458" i="5"/>
  <c r="H458" i="5"/>
  <c r="C458" i="5"/>
  <c r="A458" i="5"/>
  <c r="I457" i="5"/>
  <c r="H457" i="5"/>
  <c r="C457" i="5"/>
  <c r="A457" i="5"/>
  <c r="I456" i="5"/>
  <c r="H456" i="5"/>
  <c r="C456" i="5"/>
  <c r="A456" i="5"/>
  <c r="I455" i="5"/>
  <c r="H455" i="5"/>
  <c r="C455" i="5"/>
  <c r="A455" i="5"/>
  <c r="I454" i="5"/>
  <c r="H454" i="5"/>
  <c r="C454" i="5"/>
  <c r="A454" i="5"/>
  <c r="I453" i="5"/>
  <c r="H453" i="5"/>
  <c r="C453" i="5"/>
  <c r="A453" i="5"/>
  <c r="I452" i="5"/>
  <c r="H452" i="5"/>
  <c r="C452" i="5"/>
  <c r="A452" i="5"/>
  <c r="I451" i="5"/>
  <c r="H451" i="5"/>
  <c r="C451" i="5"/>
  <c r="A451" i="5"/>
  <c r="I450" i="5"/>
  <c r="H450" i="5"/>
  <c r="C450" i="5"/>
  <c r="A450" i="5"/>
  <c r="I449" i="5"/>
  <c r="H449" i="5"/>
  <c r="C449" i="5"/>
  <c r="A449" i="5"/>
  <c r="I448" i="5"/>
  <c r="H448" i="5"/>
  <c r="C448" i="5"/>
  <c r="A448" i="5"/>
  <c r="I447" i="5"/>
  <c r="H447" i="5"/>
  <c r="C447" i="5"/>
  <c r="A447" i="5"/>
  <c r="I446" i="5"/>
  <c r="H446" i="5"/>
  <c r="C446" i="5"/>
  <c r="A446" i="5"/>
  <c r="I445" i="5"/>
  <c r="H445" i="5"/>
  <c r="C445" i="5"/>
  <c r="A445" i="5"/>
  <c r="I444" i="5"/>
  <c r="H444" i="5"/>
  <c r="C444" i="5"/>
  <c r="A444" i="5"/>
  <c r="I443" i="5"/>
  <c r="H443" i="5"/>
  <c r="C443" i="5"/>
  <c r="A443" i="5"/>
  <c r="I442" i="5"/>
  <c r="H442" i="5"/>
  <c r="C442" i="5"/>
  <c r="A442" i="5"/>
  <c r="I441" i="5"/>
  <c r="H441" i="5"/>
  <c r="C441" i="5"/>
  <c r="A441" i="5"/>
  <c r="I440" i="5"/>
  <c r="H440" i="5"/>
  <c r="C440" i="5"/>
  <c r="A440" i="5"/>
  <c r="I439" i="5"/>
  <c r="H439" i="5"/>
  <c r="C439" i="5"/>
  <c r="A439" i="5"/>
  <c r="I438" i="5"/>
  <c r="H438" i="5"/>
  <c r="C438" i="5"/>
  <c r="A438" i="5"/>
  <c r="I437" i="5"/>
  <c r="H437" i="5"/>
  <c r="C437" i="5"/>
  <c r="A437" i="5"/>
  <c r="I436" i="5"/>
  <c r="H436" i="5"/>
  <c r="C436" i="5"/>
  <c r="A436" i="5"/>
  <c r="I435" i="5"/>
  <c r="H435" i="5"/>
  <c r="C435" i="5"/>
  <c r="A435" i="5"/>
  <c r="I434" i="5"/>
  <c r="H434" i="5"/>
  <c r="C434" i="5"/>
  <c r="A434" i="5"/>
  <c r="I433" i="5"/>
  <c r="H433" i="5"/>
  <c r="C433" i="5"/>
  <c r="A433" i="5"/>
  <c r="I432" i="5"/>
  <c r="H432" i="5"/>
  <c r="C432" i="5"/>
  <c r="A432" i="5"/>
  <c r="I431" i="5"/>
  <c r="H431" i="5"/>
  <c r="C431" i="5"/>
  <c r="A431" i="5"/>
  <c r="I430" i="5"/>
  <c r="H430" i="5"/>
  <c r="C430" i="5"/>
  <c r="A430" i="5"/>
  <c r="I429" i="5"/>
  <c r="H429" i="5"/>
  <c r="C429" i="5"/>
  <c r="A429" i="5"/>
  <c r="I428" i="5"/>
  <c r="H428" i="5"/>
  <c r="C428" i="5"/>
  <c r="A428" i="5"/>
  <c r="I427" i="5"/>
  <c r="H427" i="5"/>
  <c r="C427" i="5"/>
  <c r="A427" i="5"/>
  <c r="I426" i="5"/>
  <c r="H426" i="5"/>
  <c r="C426" i="5"/>
  <c r="A426" i="5"/>
  <c r="I425" i="5"/>
  <c r="H425" i="5"/>
  <c r="C425" i="5"/>
  <c r="A425" i="5"/>
  <c r="I424" i="5"/>
  <c r="H424" i="5"/>
  <c r="C424" i="5"/>
  <c r="A424" i="5"/>
  <c r="I423" i="5"/>
  <c r="H423" i="5"/>
  <c r="C423" i="5"/>
  <c r="A423" i="5"/>
  <c r="I422" i="5"/>
  <c r="H422" i="5"/>
  <c r="C422" i="5"/>
  <c r="A422" i="5"/>
  <c r="I421" i="5"/>
  <c r="H421" i="5"/>
  <c r="C421" i="5"/>
  <c r="A421" i="5"/>
  <c r="I420" i="5"/>
  <c r="H420" i="5"/>
  <c r="C420" i="5"/>
  <c r="A420" i="5"/>
  <c r="I419" i="5"/>
  <c r="H419" i="5"/>
  <c r="C419" i="5"/>
  <c r="A419" i="5"/>
  <c r="I418" i="5"/>
  <c r="H418" i="5"/>
  <c r="C418" i="5"/>
  <c r="A418" i="5"/>
  <c r="I417" i="5"/>
  <c r="H417" i="5"/>
  <c r="C417" i="5"/>
  <c r="A417" i="5"/>
  <c r="I416" i="5"/>
  <c r="H416" i="5"/>
  <c r="C416" i="5"/>
  <c r="A416" i="5"/>
  <c r="I415" i="5"/>
  <c r="H415" i="5"/>
  <c r="C415" i="5"/>
  <c r="A415" i="5"/>
  <c r="I414" i="5"/>
  <c r="H414" i="5"/>
  <c r="C414" i="5"/>
  <c r="A414" i="5"/>
  <c r="I413" i="5"/>
  <c r="H413" i="5"/>
  <c r="C413" i="5"/>
  <c r="A413" i="5"/>
  <c r="I412" i="5"/>
  <c r="H412" i="5"/>
  <c r="C412" i="5"/>
  <c r="A412" i="5"/>
  <c r="I411" i="5"/>
  <c r="H411" i="5"/>
  <c r="C411" i="5"/>
  <c r="A411" i="5"/>
  <c r="I410" i="5"/>
  <c r="H410" i="5"/>
  <c r="C410" i="5"/>
  <c r="A410" i="5"/>
  <c r="I409" i="5"/>
  <c r="H409" i="5"/>
  <c r="C409" i="5"/>
  <c r="A409" i="5"/>
  <c r="I408" i="5"/>
  <c r="H408" i="5"/>
  <c r="C408" i="5"/>
  <c r="A408" i="5"/>
  <c r="I407" i="5"/>
  <c r="H407" i="5"/>
  <c r="C407" i="5"/>
  <c r="A407" i="5"/>
  <c r="I406" i="5"/>
  <c r="H406" i="5"/>
  <c r="C406" i="5"/>
  <c r="A406" i="5"/>
  <c r="I405" i="5"/>
  <c r="H405" i="5"/>
  <c r="C405" i="5"/>
  <c r="A405" i="5"/>
  <c r="I404" i="5"/>
  <c r="H404" i="5"/>
  <c r="C404" i="5"/>
  <c r="A404" i="5"/>
  <c r="I403" i="5"/>
  <c r="H403" i="5"/>
  <c r="C403" i="5"/>
  <c r="A403" i="5"/>
  <c r="I402" i="5"/>
  <c r="H402" i="5"/>
  <c r="C402" i="5"/>
  <c r="A402" i="5"/>
  <c r="I401" i="5"/>
  <c r="H401" i="5"/>
  <c r="C401" i="5"/>
  <c r="A401" i="5"/>
  <c r="I400" i="5"/>
  <c r="H400" i="5"/>
  <c r="C400" i="5"/>
  <c r="A400" i="5"/>
  <c r="I399" i="5"/>
  <c r="H399" i="5"/>
  <c r="C399" i="5"/>
  <c r="A399" i="5"/>
  <c r="I398" i="5"/>
  <c r="H398" i="5"/>
  <c r="C398" i="5"/>
  <c r="A398" i="5"/>
  <c r="I397" i="5"/>
  <c r="H397" i="5"/>
  <c r="C397" i="5"/>
  <c r="A397" i="5"/>
  <c r="I396" i="5"/>
  <c r="H396" i="5"/>
  <c r="C396" i="5"/>
  <c r="A396" i="5"/>
  <c r="I395" i="5"/>
  <c r="H395" i="5"/>
  <c r="C395" i="5"/>
  <c r="A395" i="5"/>
  <c r="I394" i="5"/>
  <c r="H394" i="5"/>
  <c r="C394" i="5"/>
  <c r="A394" i="5"/>
  <c r="I393" i="5"/>
  <c r="H393" i="5"/>
  <c r="C393" i="5"/>
  <c r="A393" i="5"/>
  <c r="I392" i="5"/>
  <c r="H392" i="5"/>
  <c r="C392" i="5"/>
  <c r="A392" i="5"/>
  <c r="I391" i="5"/>
  <c r="H391" i="5"/>
  <c r="C391" i="5"/>
  <c r="A391" i="5"/>
  <c r="I390" i="5"/>
  <c r="H390" i="5"/>
  <c r="C390" i="5"/>
  <c r="A390" i="5"/>
  <c r="I389" i="5"/>
  <c r="H389" i="5"/>
  <c r="C389" i="5"/>
  <c r="A389" i="5"/>
  <c r="I388" i="5"/>
  <c r="H388" i="5"/>
  <c r="C388" i="5"/>
  <c r="A388" i="5"/>
  <c r="I387" i="5"/>
  <c r="H387" i="5"/>
  <c r="C387" i="5"/>
  <c r="A387" i="5"/>
  <c r="I386" i="5"/>
  <c r="H386" i="5"/>
  <c r="C386" i="5"/>
  <c r="A386" i="5"/>
  <c r="I385" i="5"/>
  <c r="H385" i="5"/>
  <c r="C385" i="5"/>
  <c r="A385" i="5"/>
  <c r="I384" i="5"/>
  <c r="H384" i="5"/>
  <c r="C384" i="5"/>
  <c r="A384" i="5"/>
  <c r="I383" i="5"/>
  <c r="H383" i="5"/>
  <c r="C383" i="5"/>
  <c r="A383" i="5"/>
  <c r="I382" i="5"/>
  <c r="H382" i="5"/>
  <c r="C382" i="5"/>
  <c r="A382" i="5"/>
  <c r="I381" i="5"/>
  <c r="H381" i="5"/>
  <c r="C381" i="5"/>
  <c r="A381" i="5"/>
  <c r="I380" i="5"/>
  <c r="H380" i="5"/>
  <c r="C380" i="5"/>
  <c r="A380" i="5"/>
  <c r="I379" i="5"/>
  <c r="H379" i="5"/>
  <c r="C379" i="5"/>
  <c r="A379" i="5"/>
  <c r="I378" i="5"/>
  <c r="H378" i="5"/>
  <c r="C378" i="5"/>
  <c r="A378" i="5"/>
  <c r="I377" i="5"/>
  <c r="H377" i="5"/>
  <c r="C377" i="5"/>
  <c r="A377" i="5"/>
  <c r="I376" i="5"/>
  <c r="H376" i="5"/>
  <c r="C376" i="5"/>
  <c r="A376" i="5"/>
  <c r="I375" i="5"/>
  <c r="H375" i="5"/>
  <c r="C375" i="5"/>
  <c r="A375" i="5"/>
  <c r="I374" i="5"/>
  <c r="H374" i="5"/>
  <c r="C374" i="5"/>
  <c r="A374" i="5"/>
  <c r="I373" i="5"/>
  <c r="H373" i="5"/>
  <c r="C373" i="5"/>
  <c r="A373" i="5"/>
  <c r="I372" i="5"/>
  <c r="H372" i="5"/>
  <c r="C372" i="5"/>
  <c r="A372" i="5"/>
  <c r="I371" i="5"/>
  <c r="H371" i="5"/>
  <c r="C371" i="5"/>
  <c r="A371" i="5"/>
  <c r="I370" i="5"/>
  <c r="H370" i="5"/>
  <c r="C370" i="5"/>
  <c r="A370" i="5"/>
  <c r="I369" i="5"/>
  <c r="H369" i="5"/>
  <c r="C369" i="5"/>
  <c r="A369" i="5"/>
  <c r="I368" i="5"/>
  <c r="H368" i="5"/>
  <c r="C368" i="5"/>
  <c r="A368" i="5"/>
  <c r="I367" i="5"/>
  <c r="H367" i="5"/>
  <c r="C367" i="5"/>
  <c r="A367" i="5"/>
  <c r="I366" i="5"/>
  <c r="H366" i="5"/>
  <c r="C366" i="5"/>
  <c r="A366" i="5"/>
  <c r="I365" i="5"/>
  <c r="H365" i="5"/>
  <c r="C365" i="5"/>
  <c r="A365" i="5"/>
  <c r="I364" i="5"/>
  <c r="H364" i="5"/>
  <c r="C364" i="5"/>
  <c r="A364" i="5"/>
  <c r="I363" i="5"/>
  <c r="H363" i="5"/>
  <c r="C363" i="5"/>
  <c r="A363" i="5"/>
  <c r="I362" i="5"/>
  <c r="H362" i="5"/>
  <c r="C362" i="5"/>
  <c r="A362" i="5"/>
  <c r="I361" i="5"/>
  <c r="H361" i="5"/>
  <c r="C361" i="5"/>
  <c r="A361" i="5"/>
  <c r="I360" i="5"/>
  <c r="H360" i="5"/>
  <c r="C360" i="5"/>
  <c r="A360" i="5"/>
  <c r="I359" i="5"/>
  <c r="H359" i="5"/>
  <c r="C359" i="5"/>
  <c r="A359" i="5"/>
  <c r="I358" i="5"/>
  <c r="H358" i="5"/>
  <c r="C358" i="5"/>
  <c r="A358" i="5"/>
  <c r="I357" i="5"/>
  <c r="H357" i="5"/>
  <c r="C357" i="5"/>
  <c r="A357" i="5"/>
  <c r="I356" i="5"/>
  <c r="H356" i="5"/>
  <c r="C356" i="5"/>
  <c r="A356" i="5"/>
  <c r="I355" i="5"/>
  <c r="H355" i="5"/>
  <c r="C355" i="5"/>
  <c r="A355" i="5"/>
  <c r="I354" i="5"/>
  <c r="H354" i="5"/>
  <c r="C354" i="5"/>
  <c r="A354" i="5"/>
  <c r="I353" i="5"/>
  <c r="H353" i="5"/>
  <c r="C353" i="5"/>
  <c r="A353" i="5"/>
  <c r="I352" i="5"/>
  <c r="H352" i="5"/>
  <c r="C352" i="5"/>
  <c r="A352" i="5"/>
  <c r="I351" i="5"/>
  <c r="H351" i="5"/>
  <c r="C351" i="5"/>
  <c r="A351" i="5"/>
  <c r="I350" i="5"/>
  <c r="H350" i="5"/>
  <c r="C350" i="5"/>
  <c r="A350" i="5"/>
  <c r="I349" i="5"/>
  <c r="H349" i="5"/>
  <c r="C349" i="5"/>
  <c r="A349" i="5"/>
  <c r="I348" i="5"/>
  <c r="H348" i="5"/>
  <c r="C348" i="5"/>
  <c r="A348" i="5"/>
  <c r="I347" i="5"/>
  <c r="H347" i="5"/>
  <c r="C347" i="5"/>
  <c r="A347" i="5"/>
  <c r="I346" i="5"/>
  <c r="H346" i="5"/>
  <c r="C346" i="5"/>
  <c r="A346" i="5"/>
  <c r="I345" i="5"/>
  <c r="H345" i="5"/>
  <c r="C345" i="5"/>
  <c r="A345" i="5"/>
  <c r="I344" i="5"/>
  <c r="H344" i="5"/>
  <c r="C344" i="5"/>
  <c r="A344" i="5"/>
  <c r="I343" i="5"/>
  <c r="H343" i="5"/>
  <c r="C343" i="5"/>
  <c r="A343" i="5"/>
  <c r="I342" i="5"/>
  <c r="H342" i="5"/>
  <c r="C342" i="5"/>
  <c r="A342" i="5"/>
  <c r="I341" i="5"/>
  <c r="H341" i="5"/>
  <c r="C341" i="5"/>
  <c r="A341" i="5"/>
  <c r="I340" i="5"/>
  <c r="H340" i="5"/>
  <c r="C340" i="5"/>
  <c r="A340" i="5"/>
  <c r="I339" i="5"/>
  <c r="H339" i="5"/>
  <c r="C339" i="5"/>
  <c r="A339" i="5"/>
  <c r="I338" i="5"/>
  <c r="H338" i="5"/>
  <c r="C338" i="5"/>
  <c r="A338" i="5"/>
  <c r="I337" i="5"/>
  <c r="H337" i="5"/>
  <c r="C337" i="5"/>
  <c r="A337" i="5"/>
  <c r="I336" i="5"/>
  <c r="H336" i="5"/>
  <c r="C336" i="5"/>
  <c r="A336" i="5"/>
  <c r="I335" i="5"/>
  <c r="H335" i="5"/>
  <c r="C335" i="5"/>
  <c r="A335" i="5"/>
  <c r="I334" i="5"/>
  <c r="H334" i="5"/>
  <c r="C334" i="5"/>
  <c r="A334" i="5"/>
  <c r="I333" i="5"/>
  <c r="H333" i="5"/>
  <c r="C333" i="5"/>
  <c r="A333" i="5"/>
  <c r="I332" i="5"/>
  <c r="H332" i="5"/>
  <c r="C332" i="5"/>
  <c r="A332" i="5"/>
  <c r="I331" i="5"/>
  <c r="H331" i="5"/>
  <c r="C331" i="5"/>
  <c r="A331" i="5"/>
  <c r="I330" i="5"/>
  <c r="H330" i="5"/>
  <c r="C330" i="5"/>
  <c r="A330" i="5"/>
  <c r="I329" i="5"/>
  <c r="H329" i="5"/>
  <c r="C329" i="5"/>
  <c r="A329" i="5"/>
  <c r="I328" i="5"/>
  <c r="H328" i="5"/>
  <c r="C328" i="5"/>
  <c r="A328" i="5"/>
  <c r="I327" i="5"/>
  <c r="H327" i="5"/>
  <c r="C327" i="5"/>
  <c r="A327" i="5"/>
  <c r="I326" i="5"/>
  <c r="H326" i="5"/>
  <c r="C326" i="5"/>
  <c r="A326" i="5"/>
  <c r="I325" i="5"/>
  <c r="H325" i="5"/>
  <c r="C325" i="5"/>
  <c r="A325" i="5"/>
  <c r="I324" i="5"/>
  <c r="H324" i="5"/>
  <c r="C324" i="5"/>
  <c r="A324" i="5"/>
  <c r="I323" i="5"/>
  <c r="H323" i="5"/>
  <c r="C323" i="5"/>
  <c r="A323" i="5"/>
  <c r="I322" i="5"/>
  <c r="H322" i="5"/>
  <c r="C322" i="5"/>
  <c r="A322" i="5"/>
  <c r="I321" i="5"/>
  <c r="H321" i="5"/>
  <c r="C321" i="5"/>
  <c r="A321" i="5"/>
  <c r="I320" i="5"/>
  <c r="H320" i="5"/>
  <c r="C320" i="5"/>
  <c r="A320" i="5"/>
  <c r="I319" i="5"/>
  <c r="H319" i="5"/>
  <c r="C319" i="5"/>
  <c r="A319" i="5"/>
  <c r="I318" i="5"/>
  <c r="H318" i="5"/>
  <c r="C318" i="5"/>
  <c r="A318" i="5"/>
  <c r="I317" i="5"/>
  <c r="H317" i="5"/>
  <c r="C317" i="5"/>
  <c r="A317" i="5"/>
  <c r="I316" i="5"/>
  <c r="H316" i="5"/>
  <c r="C316" i="5"/>
  <c r="A316" i="5"/>
  <c r="I315" i="5"/>
  <c r="H315" i="5"/>
  <c r="C315" i="5"/>
  <c r="A315" i="5"/>
  <c r="I314" i="5"/>
  <c r="H314" i="5"/>
  <c r="C314" i="5"/>
  <c r="A314" i="5"/>
  <c r="I313" i="5"/>
  <c r="H313" i="5"/>
  <c r="C313" i="5"/>
  <c r="A313" i="5"/>
  <c r="I312" i="5"/>
  <c r="H312" i="5"/>
  <c r="C312" i="5"/>
  <c r="A312" i="5"/>
  <c r="I311" i="5"/>
  <c r="H311" i="5"/>
  <c r="C311" i="5"/>
  <c r="A311" i="5"/>
  <c r="I310" i="5"/>
  <c r="H310" i="5"/>
  <c r="C310" i="5"/>
  <c r="A310" i="5"/>
  <c r="I309" i="5"/>
  <c r="H309" i="5"/>
  <c r="C309" i="5"/>
  <c r="A309" i="5"/>
  <c r="I308" i="5"/>
  <c r="H308" i="5"/>
  <c r="C308" i="5"/>
  <c r="A308" i="5"/>
  <c r="I307" i="5"/>
  <c r="H307" i="5"/>
  <c r="C307" i="5"/>
  <c r="A307" i="5"/>
  <c r="I306" i="5"/>
  <c r="H306" i="5"/>
  <c r="C306" i="5"/>
  <c r="A306" i="5"/>
  <c r="I305" i="5"/>
  <c r="H305" i="5"/>
  <c r="C305" i="5"/>
  <c r="A305" i="5"/>
  <c r="I304" i="5"/>
  <c r="H304" i="5"/>
  <c r="C304" i="5"/>
  <c r="A304" i="5"/>
  <c r="I303" i="5"/>
  <c r="H303" i="5"/>
  <c r="C303" i="5"/>
  <c r="A303" i="5"/>
  <c r="I302" i="5"/>
  <c r="H302" i="5"/>
  <c r="C302" i="5"/>
  <c r="A302" i="5"/>
  <c r="I301" i="5"/>
  <c r="H301" i="5"/>
  <c r="C301" i="5"/>
  <c r="A301" i="5"/>
  <c r="I300" i="5"/>
  <c r="H300" i="5"/>
  <c r="C300" i="5"/>
  <c r="A300" i="5"/>
  <c r="I299" i="5"/>
  <c r="H299" i="5"/>
  <c r="C299" i="5"/>
  <c r="A299" i="5"/>
  <c r="I298" i="5"/>
  <c r="H298" i="5"/>
  <c r="C298" i="5"/>
  <c r="A298" i="5"/>
  <c r="I297" i="5"/>
  <c r="H297" i="5"/>
  <c r="C297" i="5"/>
  <c r="A297" i="5"/>
  <c r="I296" i="5"/>
  <c r="H296" i="5"/>
  <c r="C296" i="5"/>
  <c r="A296" i="5"/>
  <c r="I295" i="5"/>
  <c r="H295" i="5"/>
  <c r="C295" i="5"/>
  <c r="A295" i="5"/>
  <c r="I294" i="5"/>
  <c r="H294" i="5"/>
  <c r="C294" i="5"/>
  <c r="A294" i="5"/>
  <c r="I293" i="5"/>
  <c r="H293" i="5"/>
  <c r="C293" i="5"/>
  <c r="A293" i="5"/>
  <c r="I292" i="5"/>
  <c r="H292" i="5"/>
  <c r="C292" i="5"/>
  <c r="A292" i="5"/>
  <c r="I291" i="5"/>
  <c r="H291" i="5"/>
  <c r="C291" i="5"/>
  <c r="A291" i="5"/>
  <c r="I290" i="5"/>
  <c r="H290" i="5"/>
  <c r="C290" i="5"/>
  <c r="A290" i="5"/>
  <c r="I289" i="5"/>
  <c r="H289" i="5"/>
  <c r="C289" i="5"/>
  <c r="A289" i="5"/>
  <c r="I288" i="5"/>
  <c r="H288" i="5"/>
  <c r="C288" i="5"/>
  <c r="A288" i="5"/>
  <c r="I287" i="5"/>
  <c r="H287" i="5"/>
  <c r="C287" i="5"/>
  <c r="A287" i="5"/>
  <c r="I286" i="5"/>
  <c r="H286" i="5"/>
  <c r="C286" i="5"/>
  <c r="A286" i="5"/>
  <c r="I285" i="5"/>
  <c r="H285" i="5"/>
  <c r="C285" i="5"/>
  <c r="A285" i="5"/>
  <c r="I284" i="5"/>
  <c r="H284" i="5"/>
  <c r="C284" i="5"/>
  <c r="A284" i="5"/>
  <c r="I283" i="5"/>
  <c r="H283" i="5"/>
  <c r="C283" i="5"/>
  <c r="A283" i="5"/>
  <c r="I282" i="5"/>
  <c r="H282" i="5"/>
  <c r="C282" i="5"/>
  <c r="A282" i="5"/>
  <c r="I281" i="5"/>
  <c r="H281" i="5"/>
  <c r="C281" i="5"/>
  <c r="A281" i="5"/>
  <c r="I280" i="5"/>
  <c r="H280" i="5"/>
  <c r="C280" i="5"/>
  <c r="A280" i="5"/>
  <c r="I279" i="5"/>
  <c r="H279" i="5"/>
  <c r="C279" i="5"/>
  <c r="A279" i="5"/>
  <c r="I278" i="5"/>
  <c r="H278" i="5"/>
  <c r="C278" i="5"/>
  <c r="A278" i="5"/>
  <c r="I277" i="5"/>
  <c r="H277" i="5"/>
  <c r="C277" i="5"/>
  <c r="A277" i="5"/>
  <c r="I276" i="5"/>
  <c r="H276" i="5"/>
  <c r="C276" i="5"/>
  <c r="A276" i="5"/>
  <c r="I275" i="5"/>
  <c r="H275" i="5"/>
  <c r="C275" i="5"/>
  <c r="A275" i="5"/>
  <c r="I274" i="5"/>
  <c r="H274" i="5"/>
  <c r="C274" i="5"/>
  <c r="A274" i="5"/>
  <c r="I273" i="5"/>
  <c r="H273" i="5"/>
  <c r="C273" i="5"/>
  <c r="A273" i="5"/>
  <c r="I272" i="5"/>
  <c r="H272" i="5"/>
  <c r="C272" i="5"/>
  <c r="A272" i="5"/>
  <c r="I271" i="5"/>
  <c r="H271" i="5"/>
  <c r="C271" i="5"/>
  <c r="A271" i="5"/>
  <c r="I270" i="5"/>
  <c r="H270" i="5"/>
  <c r="C270" i="5"/>
  <c r="A270" i="5"/>
  <c r="I269" i="5"/>
  <c r="H269" i="5"/>
  <c r="C269" i="5"/>
  <c r="A269" i="5"/>
  <c r="I268" i="5"/>
  <c r="H268" i="5"/>
  <c r="C268" i="5"/>
  <c r="A268" i="5"/>
  <c r="I267" i="5"/>
  <c r="H267" i="5"/>
  <c r="C267" i="5"/>
  <c r="A267" i="5"/>
  <c r="I266" i="5"/>
  <c r="H266" i="5"/>
  <c r="C266" i="5"/>
  <c r="A266" i="5"/>
  <c r="I265" i="5"/>
  <c r="H265" i="5"/>
  <c r="C265" i="5"/>
  <c r="A265" i="5"/>
  <c r="I264" i="5"/>
  <c r="H264" i="5"/>
  <c r="C264" i="5"/>
  <c r="A264" i="5"/>
  <c r="I263" i="5"/>
  <c r="H263" i="5"/>
  <c r="C263" i="5"/>
  <c r="A263" i="5"/>
  <c r="I262" i="5"/>
  <c r="H262" i="5"/>
  <c r="C262" i="5"/>
  <c r="A262" i="5"/>
  <c r="I261" i="5"/>
  <c r="H261" i="5"/>
  <c r="C261" i="5"/>
  <c r="A261" i="5"/>
  <c r="I260" i="5"/>
  <c r="H260" i="5"/>
  <c r="C260" i="5"/>
  <c r="A260" i="5"/>
  <c r="I259" i="5"/>
  <c r="H259" i="5"/>
  <c r="C259" i="5"/>
  <c r="A259" i="5"/>
  <c r="I258" i="5"/>
  <c r="H258" i="5"/>
  <c r="C258" i="5"/>
  <c r="A258" i="5"/>
  <c r="I257" i="5"/>
  <c r="H257" i="5"/>
  <c r="C257" i="5"/>
  <c r="A257" i="5"/>
  <c r="I256" i="5"/>
  <c r="H256" i="5"/>
  <c r="C256" i="5"/>
  <c r="A256" i="5"/>
  <c r="I255" i="5"/>
  <c r="H255" i="5"/>
  <c r="C255" i="5"/>
  <c r="A255" i="5"/>
  <c r="I254" i="5"/>
  <c r="H254" i="5"/>
  <c r="C254" i="5"/>
  <c r="A254" i="5"/>
  <c r="I253" i="5"/>
  <c r="H253" i="5"/>
  <c r="C253" i="5"/>
  <c r="A253" i="5"/>
  <c r="I252" i="5"/>
  <c r="H252" i="5"/>
  <c r="C252" i="5"/>
  <c r="A252" i="5"/>
  <c r="I251" i="5"/>
  <c r="H251" i="5"/>
  <c r="C251" i="5"/>
  <c r="A251" i="5"/>
  <c r="I250" i="5"/>
  <c r="H250" i="5"/>
  <c r="C250" i="5"/>
  <c r="A250" i="5"/>
  <c r="I249" i="5"/>
  <c r="H249" i="5"/>
  <c r="C249" i="5"/>
  <c r="A249" i="5"/>
  <c r="I248" i="5"/>
  <c r="H248" i="5"/>
  <c r="C248" i="5"/>
  <c r="A248" i="5"/>
  <c r="I247" i="5"/>
  <c r="H247" i="5"/>
  <c r="C247" i="5"/>
  <c r="A247" i="5"/>
  <c r="I246" i="5"/>
  <c r="H246" i="5"/>
  <c r="C246" i="5"/>
  <c r="A246" i="5"/>
  <c r="I245" i="5"/>
  <c r="H245" i="5"/>
  <c r="C245" i="5"/>
  <c r="A245" i="5"/>
  <c r="I244" i="5"/>
  <c r="H244" i="5"/>
  <c r="C244" i="5"/>
  <c r="A244" i="5"/>
  <c r="I243" i="5"/>
  <c r="H243" i="5"/>
  <c r="C243" i="5"/>
  <c r="A243" i="5"/>
  <c r="I242" i="5"/>
  <c r="H242" i="5"/>
  <c r="C242" i="5"/>
  <c r="A242" i="5"/>
  <c r="I241" i="5"/>
  <c r="H241" i="5"/>
  <c r="C241" i="5"/>
  <c r="A241" i="5"/>
  <c r="I240" i="5"/>
  <c r="H240" i="5"/>
  <c r="C240" i="5"/>
  <c r="A240" i="5"/>
  <c r="I239" i="5"/>
  <c r="H239" i="5"/>
  <c r="C239" i="5"/>
  <c r="A239" i="5"/>
  <c r="I238" i="5"/>
  <c r="H238" i="5"/>
  <c r="C238" i="5"/>
  <c r="A238" i="5"/>
  <c r="I237" i="5"/>
  <c r="H237" i="5"/>
  <c r="C237" i="5"/>
  <c r="A237" i="5"/>
  <c r="I236" i="5"/>
  <c r="H236" i="5"/>
  <c r="C236" i="5"/>
  <c r="A236" i="5"/>
  <c r="I235" i="5"/>
  <c r="H235" i="5"/>
  <c r="C235" i="5"/>
  <c r="A235" i="5"/>
  <c r="I234" i="5"/>
  <c r="H234" i="5"/>
  <c r="C234" i="5"/>
  <c r="A234" i="5"/>
  <c r="I233" i="5"/>
  <c r="H233" i="5"/>
  <c r="C233" i="5"/>
  <c r="A233" i="5"/>
  <c r="I232" i="5"/>
  <c r="H232" i="5"/>
  <c r="C232" i="5"/>
  <c r="A232" i="5"/>
  <c r="I231" i="5"/>
  <c r="H231" i="5"/>
  <c r="C231" i="5"/>
  <c r="A231" i="5"/>
  <c r="I230" i="5"/>
  <c r="H230" i="5"/>
  <c r="C230" i="5"/>
  <c r="A230" i="5"/>
  <c r="I229" i="5"/>
  <c r="H229" i="5"/>
  <c r="C229" i="5"/>
  <c r="A229" i="5"/>
  <c r="I228" i="5"/>
  <c r="H228" i="5"/>
  <c r="C228" i="5"/>
  <c r="A228" i="5"/>
  <c r="I227" i="5"/>
  <c r="H227" i="5"/>
  <c r="C227" i="5"/>
  <c r="A227" i="5"/>
  <c r="I226" i="5"/>
  <c r="H226" i="5"/>
  <c r="C226" i="5"/>
  <c r="A226" i="5"/>
  <c r="I225" i="5"/>
  <c r="H225" i="5"/>
  <c r="C225" i="5"/>
  <c r="A225" i="5"/>
  <c r="I224" i="5"/>
  <c r="H224" i="5"/>
  <c r="C224" i="5"/>
  <c r="A224" i="5"/>
  <c r="I223" i="5"/>
  <c r="H223" i="5"/>
  <c r="C223" i="5"/>
  <c r="A223" i="5"/>
  <c r="I222" i="5"/>
  <c r="H222" i="5"/>
  <c r="C222" i="5"/>
  <c r="A222" i="5"/>
  <c r="I221" i="5"/>
  <c r="H221" i="5"/>
  <c r="C221" i="5"/>
  <c r="A221" i="5"/>
  <c r="I220" i="5"/>
  <c r="H220" i="5"/>
  <c r="C220" i="5"/>
  <c r="A220" i="5"/>
  <c r="I219" i="5"/>
  <c r="H219" i="5"/>
  <c r="C219" i="5"/>
  <c r="A219" i="5"/>
  <c r="I218" i="5"/>
  <c r="H218" i="5"/>
  <c r="C218" i="5"/>
  <c r="A218" i="5"/>
  <c r="I217" i="5"/>
  <c r="H217" i="5"/>
  <c r="C217" i="5"/>
  <c r="A217" i="5"/>
  <c r="I216" i="5"/>
  <c r="H216" i="5"/>
  <c r="C216" i="5"/>
  <c r="A216" i="5"/>
  <c r="I215" i="5"/>
  <c r="H215" i="5"/>
  <c r="C215" i="5"/>
  <c r="A215" i="5"/>
  <c r="I214" i="5"/>
  <c r="H214" i="5"/>
  <c r="C214" i="5"/>
  <c r="A214" i="5"/>
  <c r="I213" i="5"/>
  <c r="H213" i="5"/>
  <c r="C213" i="5"/>
  <c r="A213" i="5"/>
  <c r="I212" i="5"/>
  <c r="H212" i="5"/>
  <c r="C212" i="5"/>
  <c r="A212" i="5"/>
  <c r="I211" i="5"/>
  <c r="H211" i="5"/>
  <c r="C211" i="5"/>
  <c r="A211" i="5"/>
  <c r="I210" i="5"/>
  <c r="H210" i="5"/>
  <c r="C210" i="5"/>
  <c r="A210" i="5"/>
  <c r="I209" i="5"/>
  <c r="H209" i="5"/>
  <c r="C209" i="5"/>
  <c r="A209" i="5"/>
  <c r="I208" i="5"/>
  <c r="H208" i="5"/>
  <c r="C208" i="5"/>
  <c r="A208" i="5"/>
  <c r="I207" i="5"/>
  <c r="H207" i="5"/>
  <c r="C207" i="5"/>
  <c r="A207" i="5"/>
  <c r="I206" i="5"/>
  <c r="H206" i="5"/>
  <c r="C206" i="5"/>
  <c r="A206" i="5"/>
  <c r="I205" i="5"/>
  <c r="H205" i="5"/>
  <c r="C205" i="5"/>
  <c r="A205" i="5"/>
  <c r="I204" i="5"/>
  <c r="H204" i="5"/>
  <c r="C204" i="5"/>
  <c r="A204" i="5"/>
  <c r="I203" i="5"/>
  <c r="H203" i="5"/>
  <c r="C203" i="5"/>
  <c r="A203" i="5"/>
  <c r="I202" i="5"/>
  <c r="H202" i="5"/>
  <c r="C202" i="5"/>
  <c r="A202" i="5"/>
  <c r="I201" i="5"/>
  <c r="H201" i="5"/>
  <c r="C201" i="5"/>
  <c r="A201" i="5"/>
  <c r="I200" i="5"/>
  <c r="H200" i="5"/>
  <c r="C200" i="5"/>
  <c r="A200" i="5"/>
  <c r="I199" i="5"/>
  <c r="H199" i="5"/>
  <c r="C199" i="5"/>
  <c r="A199" i="5"/>
  <c r="I198" i="5"/>
  <c r="H198" i="5"/>
  <c r="C198" i="5"/>
  <c r="A198" i="5"/>
  <c r="I197" i="5"/>
  <c r="H197" i="5"/>
  <c r="C197" i="5"/>
  <c r="A197" i="5"/>
  <c r="I196" i="5"/>
  <c r="H196" i="5"/>
  <c r="C196" i="5"/>
  <c r="A196" i="5"/>
  <c r="I195" i="5"/>
  <c r="H195" i="5"/>
  <c r="C195" i="5"/>
  <c r="A195" i="5"/>
  <c r="I194" i="5"/>
  <c r="H194" i="5"/>
  <c r="C194" i="5"/>
  <c r="A194" i="5"/>
  <c r="I193" i="5"/>
  <c r="H193" i="5"/>
  <c r="C193" i="5"/>
  <c r="A193" i="5"/>
  <c r="I192" i="5"/>
  <c r="H192" i="5"/>
  <c r="C192" i="5"/>
  <c r="A192" i="5"/>
  <c r="I191" i="5"/>
  <c r="H191" i="5"/>
  <c r="C191" i="5"/>
  <c r="A191" i="5"/>
  <c r="I190" i="5"/>
  <c r="H190" i="5"/>
  <c r="C190" i="5"/>
  <c r="A190" i="5"/>
  <c r="I189" i="5"/>
  <c r="H189" i="5"/>
  <c r="C189" i="5"/>
  <c r="A189" i="5"/>
  <c r="I188" i="5"/>
  <c r="H188" i="5"/>
  <c r="C188" i="5"/>
  <c r="A188" i="5"/>
  <c r="I187" i="5"/>
  <c r="H187" i="5"/>
  <c r="C187" i="5"/>
  <c r="A187" i="5"/>
  <c r="I186" i="5"/>
  <c r="H186" i="5"/>
  <c r="C186" i="5"/>
  <c r="A186" i="5"/>
  <c r="I185" i="5"/>
  <c r="H185" i="5"/>
  <c r="C185" i="5"/>
  <c r="A185" i="5"/>
  <c r="I184" i="5"/>
  <c r="H184" i="5"/>
  <c r="C184" i="5"/>
  <c r="A184" i="5"/>
  <c r="I183" i="5"/>
  <c r="H183" i="5"/>
  <c r="C183" i="5"/>
  <c r="A183" i="5"/>
  <c r="I182" i="5"/>
  <c r="H182" i="5"/>
  <c r="C182" i="5"/>
  <c r="A182" i="5"/>
  <c r="I181" i="5"/>
  <c r="H181" i="5"/>
  <c r="C181" i="5"/>
  <c r="A181" i="5"/>
  <c r="I180" i="5"/>
  <c r="H180" i="5"/>
  <c r="C180" i="5"/>
  <c r="A180" i="5"/>
  <c r="I179" i="5"/>
  <c r="H179" i="5"/>
  <c r="C179" i="5"/>
  <c r="A179" i="5"/>
  <c r="I178" i="5"/>
  <c r="H178" i="5"/>
  <c r="C178" i="5"/>
  <c r="A178" i="5"/>
  <c r="I177" i="5"/>
  <c r="H177" i="5"/>
  <c r="C177" i="5"/>
  <c r="A177" i="5"/>
  <c r="I176" i="5"/>
  <c r="H176" i="5"/>
  <c r="C176" i="5"/>
  <c r="A176" i="5"/>
  <c r="I175" i="5"/>
  <c r="H175" i="5"/>
  <c r="C175" i="5"/>
  <c r="A175" i="5"/>
  <c r="I174" i="5"/>
  <c r="H174" i="5"/>
  <c r="C174" i="5"/>
  <c r="A174" i="5"/>
  <c r="I173" i="5"/>
  <c r="H173" i="5"/>
  <c r="C173" i="5"/>
  <c r="A173" i="5"/>
  <c r="I172" i="5"/>
  <c r="H172" i="5"/>
  <c r="C172" i="5"/>
  <c r="A172" i="5"/>
  <c r="I171" i="5"/>
  <c r="H171" i="5"/>
  <c r="C171" i="5"/>
  <c r="A171" i="5"/>
  <c r="I170" i="5"/>
  <c r="H170" i="5"/>
  <c r="C170" i="5"/>
  <c r="A170" i="5"/>
  <c r="I169" i="5"/>
  <c r="H169" i="5"/>
  <c r="C169" i="5"/>
  <c r="A169" i="5"/>
  <c r="I168" i="5"/>
  <c r="H168" i="5"/>
  <c r="C168" i="5"/>
  <c r="A168" i="5"/>
  <c r="I167" i="5"/>
  <c r="H167" i="5"/>
  <c r="C167" i="5"/>
  <c r="A167" i="5"/>
  <c r="I166" i="5"/>
  <c r="H166" i="5"/>
  <c r="C166" i="5"/>
  <c r="A166" i="5"/>
  <c r="I165" i="5"/>
  <c r="H165" i="5"/>
  <c r="C165" i="5"/>
  <c r="A165" i="5"/>
  <c r="I164" i="5"/>
  <c r="H164" i="5"/>
  <c r="C164" i="5"/>
  <c r="A164" i="5"/>
  <c r="I163" i="5"/>
  <c r="H163" i="5"/>
  <c r="C163" i="5"/>
  <c r="A163" i="5"/>
  <c r="I162" i="5"/>
  <c r="H162" i="5"/>
  <c r="C162" i="5"/>
  <c r="A162" i="5"/>
  <c r="I161" i="5"/>
  <c r="H161" i="5"/>
  <c r="C161" i="5"/>
  <c r="A161" i="5"/>
  <c r="I160" i="5"/>
  <c r="H160" i="5"/>
  <c r="C160" i="5"/>
  <c r="A160" i="5"/>
  <c r="I159" i="5"/>
  <c r="H159" i="5"/>
  <c r="C159" i="5"/>
  <c r="A159" i="5"/>
  <c r="I158" i="5"/>
  <c r="H158" i="5"/>
  <c r="C158" i="5"/>
  <c r="A158" i="5"/>
  <c r="I157" i="5"/>
  <c r="H157" i="5"/>
  <c r="C157" i="5"/>
  <c r="A157" i="5"/>
  <c r="I156" i="5"/>
  <c r="H156" i="5"/>
  <c r="C156" i="5"/>
  <c r="A156" i="5"/>
  <c r="I155" i="5"/>
  <c r="H155" i="5"/>
  <c r="C155" i="5"/>
  <c r="A155" i="5"/>
  <c r="I154" i="5"/>
  <c r="H154" i="5"/>
  <c r="C154" i="5"/>
  <c r="A154" i="5"/>
  <c r="I153" i="5"/>
  <c r="H153" i="5"/>
  <c r="C153" i="5"/>
  <c r="A153" i="5"/>
  <c r="I152" i="5"/>
  <c r="H152" i="5"/>
  <c r="C152" i="5"/>
  <c r="A152" i="5"/>
  <c r="I151" i="5"/>
  <c r="H151" i="5"/>
  <c r="C151" i="5"/>
  <c r="A151" i="5"/>
  <c r="I150" i="5"/>
  <c r="H150" i="5"/>
  <c r="C150" i="5"/>
  <c r="A150" i="5"/>
  <c r="I149" i="5"/>
  <c r="H149" i="5"/>
  <c r="C149" i="5"/>
  <c r="A149" i="5"/>
  <c r="I148" i="5"/>
  <c r="H148" i="5"/>
  <c r="C148" i="5"/>
  <c r="A148" i="5"/>
  <c r="I147" i="5"/>
  <c r="H147" i="5"/>
  <c r="C147" i="5"/>
  <c r="A147" i="5"/>
  <c r="I146" i="5"/>
  <c r="H146" i="5"/>
  <c r="C146" i="5"/>
  <c r="A146" i="5"/>
  <c r="I145" i="5"/>
  <c r="H145" i="5"/>
  <c r="C145" i="5"/>
  <c r="A145" i="5"/>
  <c r="I144" i="5"/>
  <c r="H144" i="5"/>
  <c r="C144" i="5"/>
  <c r="A144" i="5"/>
  <c r="I143" i="5"/>
  <c r="H143" i="5"/>
  <c r="C143" i="5"/>
  <c r="A143" i="5"/>
  <c r="I142" i="5"/>
  <c r="H142" i="5"/>
  <c r="C142" i="5"/>
  <c r="A142" i="5"/>
  <c r="I141" i="5"/>
  <c r="H141" i="5"/>
  <c r="C141" i="5"/>
  <c r="A141" i="5"/>
  <c r="I140" i="5"/>
  <c r="H140" i="5"/>
  <c r="C140" i="5"/>
  <c r="A140" i="5"/>
  <c r="I139" i="5"/>
  <c r="H139" i="5"/>
  <c r="C139" i="5"/>
  <c r="A139" i="5"/>
  <c r="I138" i="5"/>
  <c r="H138" i="5"/>
  <c r="C138" i="5"/>
  <c r="A138" i="5"/>
  <c r="I137" i="5"/>
  <c r="H137" i="5"/>
  <c r="C137" i="5"/>
  <c r="A137" i="5"/>
  <c r="I136" i="5"/>
  <c r="H136" i="5"/>
  <c r="C136" i="5"/>
  <c r="A136" i="5"/>
  <c r="I135" i="5"/>
  <c r="H135" i="5"/>
  <c r="C135" i="5"/>
  <c r="A135" i="5"/>
  <c r="I134" i="5"/>
  <c r="H134" i="5"/>
  <c r="C134" i="5"/>
  <c r="A134" i="5"/>
  <c r="I133" i="5"/>
  <c r="H133" i="5"/>
  <c r="C133" i="5"/>
  <c r="A133" i="5"/>
  <c r="I132" i="5"/>
  <c r="H132" i="5"/>
  <c r="C132" i="5"/>
  <c r="A132" i="5"/>
  <c r="I131" i="5"/>
  <c r="H131" i="5"/>
  <c r="C131" i="5"/>
  <c r="A131" i="5"/>
  <c r="I130" i="5"/>
  <c r="H130" i="5"/>
  <c r="C130" i="5"/>
  <c r="A130" i="5"/>
  <c r="I129" i="5"/>
  <c r="H129" i="5"/>
  <c r="C129" i="5"/>
  <c r="A129" i="5"/>
  <c r="I128" i="5"/>
  <c r="H128" i="5"/>
  <c r="C128" i="5"/>
  <c r="A128" i="5"/>
  <c r="I127" i="5"/>
  <c r="H127" i="5"/>
  <c r="C127" i="5"/>
  <c r="A127" i="5"/>
  <c r="I126" i="5"/>
  <c r="H126" i="5"/>
  <c r="C126" i="5"/>
  <c r="A126" i="5"/>
  <c r="I125" i="5"/>
  <c r="H125" i="5"/>
  <c r="C125" i="5"/>
  <c r="A125" i="5"/>
  <c r="I124" i="5"/>
  <c r="H124" i="5"/>
  <c r="C124" i="5"/>
  <c r="A124" i="5"/>
  <c r="I123" i="5"/>
  <c r="H123" i="5"/>
  <c r="C123" i="5"/>
  <c r="A123" i="5"/>
  <c r="I122" i="5"/>
  <c r="H122" i="5"/>
  <c r="C122" i="5"/>
  <c r="A122" i="5"/>
  <c r="I121" i="5"/>
  <c r="H121" i="5"/>
  <c r="C121" i="5"/>
  <c r="A121" i="5"/>
  <c r="I120" i="5"/>
  <c r="H120" i="5"/>
  <c r="C120" i="5"/>
  <c r="A120" i="5"/>
  <c r="I119" i="5"/>
  <c r="H119" i="5"/>
  <c r="C119" i="5"/>
  <c r="A119" i="5"/>
  <c r="I118" i="5"/>
  <c r="H118" i="5"/>
  <c r="C118" i="5"/>
  <c r="A118" i="5"/>
  <c r="I117" i="5"/>
  <c r="H117" i="5"/>
  <c r="C117" i="5"/>
  <c r="A117" i="5"/>
  <c r="I116" i="5"/>
  <c r="H116" i="5"/>
  <c r="C116" i="5"/>
  <c r="A116" i="5"/>
  <c r="I115" i="5"/>
  <c r="H115" i="5"/>
  <c r="C115" i="5"/>
  <c r="A115" i="5"/>
  <c r="I114" i="5"/>
  <c r="H114" i="5"/>
  <c r="C114" i="5"/>
  <c r="A114" i="5"/>
  <c r="I113" i="5"/>
  <c r="H113" i="5"/>
  <c r="C113" i="5"/>
  <c r="A113" i="5"/>
  <c r="I112" i="5"/>
  <c r="H112" i="5"/>
  <c r="C112" i="5"/>
  <c r="A112" i="5"/>
  <c r="I111" i="5"/>
  <c r="H111" i="5"/>
  <c r="C111" i="5"/>
  <c r="A111" i="5"/>
  <c r="I110" i="5"/>
  <c r="H110" i="5"/>
  <c r="C110" i="5"/>
  <c r="A110" i="5"/>
  <c r="I109" i="5"/>
  <c r="H109" i="5"/>
  <c r="C109" i="5"/>
  <c r="A109" i="5"/>
  <c r="I108" i="5"/>
  <c r="H108" i="5"/>
  <c r="C108" i="5"/>
  <c r="A108" i="5"/>
  <c r="I107" i="5"/>
  <c r="H107" i="5"/>
  <c r="C107" i="5"/>
  <c r="A107" i="5"/>
  <c r="I106" i="5"/>
  <c r="H106" i="5"/>
  <c r="C106" i="5"/>
  <c r="A106" i="5"/>
  <c r="I105" i="5"/>
  <c r="H105" i="5"/>
  <c r="C105" i="5"/>
  <c r="A105" i="5"/>
  <c r="I104" i="5"/>
  <c r="H104" i="5"/>
  <c r="C104" i="5"/>
  <c r="A104" i="5"/>
  <c r="I103" i="5"/>
  <c r="H103" i="5"/>
  <c r="C103" i="5"/>
  <c r="A103" i="5"/>
  <c r="I102" i="5"/>
  <c r="H102" i="5"/>
  <c r="C102" i="5"/>
  <c r="A102" i="5"/>
  <c r="I101" i="5"/>
  <c r="H101" i="5"/>
  <c r="C101" i="5"/>
  <c r="A101" i="5"/>
  <c r="I100" i="5"/>
  <c r="H100" i="5"/>
  <c r="C100" i="5"/>
  <c r="A100" i="5"/>
  <c r="I99" i="5"/>
  <c r="H99" i="5"/>
  <c r="C99" i="5"/>
  <c r="A99" i="5"/>
  <c r="I98" i="5"/>
  <c r="H98" i="5"/>
  <c r="C98" i="5"/>
  <c r="A98" i="5"/>
  <c r="I97" i="5"/>
  <c r="H97" i="5"/>
  <c r="C97" i="5"/>
  <c r="A97" i="5"/>
  <c r="I96" i="5"/>
  <c r="H96" i="5"/>
  <c r="C96" i="5"/>
  <c r="A96" i="5"/>
  <c r="I95" i="5"/>
  <c r="H95" i="5"/>
  <c r="C95" i="5"/>
  <c r="A95" i="5"/>
  <c r="I94" i="5"/>
  <c r="H94" i="5"/>
  <c r="C94" i="5"/>
  <c r="A94" i="5"/>
  <c r="I93" i="5"/>
  <c r="H93" i="5"/>
  <c r="C93" i="5"/>
  <c r="A93" i="5"/>
  <c r="I92" i="5"/>
  <c r="H92" i="5"/>
  <c r="C92" i="5"/>
  <c r="A92" i="5"/>
  <c r="I91" i="5"/>
  <c r="H91" i="5"/>
  <c r="C91" i="5"/>
  <c r="A91" i="5"/>
  <c r="I90" i="5"/>
  <c r="H90" i="5"/>
  <c r="C90" i="5"/>
  <c r="A90" i="5"/>
  <c r="I89" i="5"/>
  <c r="H89" i="5"/>
  <c r="C89" i="5"/>
  <c r="A89" i="5"/>
  <c r="I88" i="5"/>
  <c r="H88" i="5"/>
  <c r="C88" i="5"/>
  <c r="A88" i="5"/>
  <c r="I87" i="5"/>
  <c r="H87" i="5"/>
  <c r="C87" i="5"/>
  <c r="A87" i="5"/>
  <c r="I86" i="5"/>
  <c r="H86" i="5"/>
  <c r="C86" i="5"/>
  <c r="A86" i="5"/>
  <c r="I85" i="5"/>
  <c r="H85" i="5"/>
  <c r="C85" i="5"/>
  <c r="A85" i="5"/>
  <c r="I84" i="5"/>
  <c r="H84" i="5"/>
  <c r="C84" i="5"/>
  <c r="A84" i="5"/>
  <c r="I83" i="5"/>
  <c r="H83" i="5"/>
  <c r="C83" i="5"/>
  <c r="A83" i="5"/>
  <c r="I82" i="5"/>
  <c r="H82" i="5"/>
  <c r="C82" i="5"/>
  <c r="A82" i="5"/>
  <c r="I81" i="5"/>
  <c r="H81" i="5"/>
  <c r="C81" i="5"/>
  <c r="A81" i="5"/>
  <c r="I80" i="5"/>
  <c r="H80" i="5"/>
  <c r="C80" i="5"/>
  <c r="A80" i="5"/>
  <c r="I79" i="5"/>
  <c r="H79" i="5"/>
  <c r="C79" i="5"/>
  <c r="A79" i="5"/>
  <c r="I78" i="5"/>
  <c r="H78" i="5"/>
  <c r="C78" i="5"/>
  <c r="A78" i="5"/>
  <c r="I77" i="5"/>
  <c r="H77" i="5"/>
  <c r="C77" i="5"/>
  <c r="A77" i="5"/>
  <c r="I76" i="5"/>
  <c r="H76" i="5"/>
  <c r="C76" i="5"/>
  <c r="A76" i="5"/>
  <c r="I75" i="5"/>
  <c r="H75" i="5"/>
  <c r="C75" i="5"/>
  <c r="A75" i="5"/>
  <c r="I74" i="5"/>
  <c r="H74" i="5"/>
  <c r="C74" i="5"/>
  <c r="A74" i="5"/>
  <c r="I73" i="5"/>
  <c r="H73" i="5"/>
  <c r="C73" i="5"/>
  <c r="A73" i="5"/>
  <c r="I72" i="5"/>
  <c r="H72" i="5"/>
  <c r="C72" i="5"/>
  <c r="A72" i="5"/>
  <c r="I71" i="5"/>
  <c r="H71" i="5"/>
  <c r="C71" i="5"/>
  <c r="A71" i="5"/>
  <c r="I70" i="5"/>
  <c r="H70" i="5"/>
  <c r="C70" i="5"/>
  <c r="A70" i="5"/>
  <c r="I69" i="5"/>
  <c r="H69" i="5"/>
  <c r="C69" i="5"/>
  <c r="A69" i="5"/>
  <c r="I68" i="5"/>
  <c r="H68" i="5"/>
  <c r="C68" i="5"/>
  <c r="A68" i="5"/>
  <c r="I67" i="5"/>
  <c r="H67" i="5"/>
  <c r="C67" i="5"/>
  <c r="A67" i="5"/>
  <c r="I66" i="5"/>
  <c r="H66" i="5"/>
  <c r="C66" i="5"/>
  <c r="A66" i="5"/>
  <c r="I65" i="5"/>
  <c r="H65" i="5"/>
  <c r="C65" i="5"/>
  <c r="A65" i="5"/>
  <c r="I64" i="5"/>
  <c r="H64" i="5"/>
  <c r="C64" i="5"/>
  <c r="A64" i="5"/>
  <c r="I63" i="5"/>
  <c r="H63" i="5"/>
  <c r="C63" i="5"/>
  <c r="A63" i="5"/>
  <c r="I62" i="5"/>
  <c r="H62" i="5"/>
  <c r="C62" i="5"/>
  <c r="A62" i="5"/>
  <c r="I61" i="5"/>
  <c r="H61" i="5"/>
  <c r="C61" i="5"/>
  <c r="A61" i="5"/>
  <c r="I60" i="5"/>
  <c r="H60" i="5"/>
  <c r="C60" i="5"/>
  <c r="A60" i="5"/>
  <c r="I59" i="5"/>
  <c r="H59" i="5"/>
  <c r="C59" i="5"/>
  <c r="A59" i="5"/>
  <c r="I58" i="5"/>
  <c r="H58" i="5"/>
  <c r="C58" i="5"/>
  <c r="A58" i="5"/>
  <c r="I57" i="5"/>
  <c r="H57" i="5"/>
  <c r="C57" i="5"/>
  <c r="A57" i="5"/>
  <c r="I56" i="5"/>
  <c r="H56" i="5"/>
  <c r="C56" i="5"/>
  <c r="A56" i="5"/>
  <c r="I55" i="5"/>
  <c r="H55" i="5"/>
  <c r="C55" i="5"/>
  <c r="A55" i="5"/>
  <c r="I54" i="5"/>
  <c r="H54" i="5"/>
  <c r="C54" i="5"/>
  <c r="A54" i="5"/>
  <c r="I53" i="5"/>
  <c r="H53" i="5"/>
  <c r="C53" i="5"/>
  <c r="A53" i="5"/>
  <c r="I52" i="5"/>
  <c r="H52" i="5"/>
  <c r="C52" i="5"/>
  <c r="A52" i="5"/>
  <c r="I51" i="5"/>
  <c r="H51" i="5"/>
  <c r="C51" i="5"/>
  <c r="A51" i="5"/>
  <c r="I50" i="5"/>
  <c r="H50" i="5"/>
  <c r="C50" i="5"/>
  <c r="A50" i="5"/>
  <c r="I49" i="5"/>
  <c r="H49" i="5"/>
  <c r="C49" i="5"/>
  <c r="A49" i="5"/>
  <c r="I48" i="5"/>
  <c r="H48" i="5"/>
  <c r="C48" i="5"/>
  <c r="A48" i="5"/>
  <c r="I47" i="5"/>
  <c r="H47" i="5"/>
  <c r="C47" i="5"/>
  <c r="A47" i="5"/>
  <c r="I46" i="5"/>
  <c r="H46" i="5"/>
  <c r="C46" i="5"/>
  <c r="A46" i="5"/>
  <c r="I45" i="5"/>
  <c r="H45" i="5"/>
  <c r="C45" i="5"/>
  <c r="A45" i="5"/>
  <c r="I44" i="5"/>
  <c r="H44" i="5"/>
  <c r="C44" i="5"/>
  <c r="A44" i="5"/>
  <c r="I43" i="5"/>
  <c r="H43" i="5"/>
  <c r="C43" i="5"/>
  <c r="A43" i="5"/>
  <c r="I42" i="5"/>
  <c r="H42" i="5"/>
  <c r="C42" i="5"/>
  <c r="A42" i="5"/>
  <c r="I41" i="5"/>
  <c r="H41" i="5"/>
  <c r="C41" i="5"/>
  <c r="A41" i="5"/>
  <c r="I40" i="5"/>
  <c r="H40" i="5"/>
  <c r="C40" i="5"/>
  <c r="A40" i="5"/>
  <c r="I39" i="5"/>
  <c r="H39" i="5"/>
  <c r="C39" i="5"/>
  <c r="A39" i="5"/>
  <c r="I38" i="5"/>
  <c r="H38" i="5"/>
  <c r="C38" i="5"/>
  <c r="A38" i="5"/>
  <c r="I37" i="5"/>
  <c r="H37" i="5"/>
  <c r="C37" i="5"/>
  <c r="A37" i="5"/>
  <c r="I36" i="5"/>
  <c r="H36" i="5"/>
  <c r="C36" i="5"/>
  <c r="A36" i="5"/>
  <c r="I35" i="5"/>
  <c r="H35" i="5"/>
  <c r="C35" i="5"/>
  <c r="A35" i="5"/>
  <c r="I34" i="5"/>
  <c r="H34" i="5"/>
  <c r="C34" i="5"/>
  <c r="A34" i="5"/>
  <c r="I33" i="5"/>
  <c r="H33" i="5"/>
  <c r="C33" i="5"/>
  <c r="A33" i="5"/>
  <c r="I32" i="5"/>
  <c r="H32" i="5"/>
  <c r="C32" i="5"/>
  <c r="A32" i="5"/>
  <c r="I31" i="5"/>
  <c r="H31" i="5"/>
  <c r="C31" i="5"/>
  <c r="A31" i="5"/>
  <c r="I30" i="5"/>
  <c r="H30" i="5"/>
  <c r="C30" i="5"/>
  <c r="A30" i="5"/>
  <c r="I29" i="5"/>
  <c r="H29" i="5"/>
  <c r="C29" i="5"/>
  <c r="A29" i="5"/>
  <c r="I28" i="5"/>
  <c r="H28" i="5"/>
  <c r="C28" i="5"/>
  <c r="A28" i="5"/>
  <c r="I27" i="5"/>
  <c r="H27" i="5"/>
  <c r="C27" i="5"/>
  <c r="A27" i="5"/>
  <c r="I26" i="5"/>
  <c r="H26" i="5"/>
  <c r="C26" i="5"/>
  <c r="A26" i="5"/>
  <c r="I25" i="5"/>
  <c r="H25" i="5"/>
  <c r="C25" i="5"/>
  <c r="A25" i="5"/>
  <c r="I24" i="5"/>
  <c r="H24" i="5"/>
  <c r="C24" i="5"/>
  <c r="A24" i="5"/>
  <c r="I23" i="5"/>
  <c r="H23" i="5"/>
  <c r="C23" i="5"/>
  <c r="A23" i="5"/>
  <c r="I22" i="5"/>
  <c r="H22" i="5"/>
  <c r="C22" i="5"/>
  <c r="A22" i="5"/>
  <c r="I21" i="5"/>
  <c r="H21" i="5"/>
  <c r="C21" i="5"/>
  <c r="A21" i="5"/>
  <c r="H20" i="5"/>
  <c r="C20" i="5"/>
  <c r="H19" i="5"/>
  <c r="C19" i="5"/>
  <c r="H18" i="5"/>
  <c r="C18" i="5"/>
  <c r="H17" i="5"/>
  <c r="C17" i="5"/>
  <c r="H16" i="5"/>
  <c r="C16" i="5"/>
  <c r="H15" i="5"/>
  <c r="C15" i="5"/>
  <c r="H14" i="5"/>
  <c r="C14" i="5"/>
  <c r="H13" i="5"/>
  <c r="C13" i="5"/>
  <c r="H12" i="5"/>
  <c r="C12" i="5"/>
  <c r="H11" i="5"/>
  <c r="C11" i="5"/>
  <c r="H10" i="5"/>
  <c r="C10" i="5"/>
  <c r="H9" i="5"/>
  <c r="C9" i="5"/>
  <c r="H8" i="5"/>
  <c r="C8" i="5"/>
  <c r="H7" i="5"/>
  <c r="C7" i="5"/>
  <c r="H6" i="5"/>
  <c r="C6" i="5"/>
  <c r="H5" i="5"/>
  <c r="C5" i="5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O33" i="1" s="1"/>
  <c r="K32" i="2"/>
  <c r="K31" i="2"/>
  <c r="K30" i="2"/>
  <c r="K29" i="2"/>
  <c r="K28" i="2"/>
  <c r="K27" i="2"/>
  <c r="K26" i="2"/>
  <c r="O29" i="1" s="1"/>
  <c r="K25" i="2"/>
  <c r="K24" i="2"/>
  <c r="K23" i="2"/>
  <c r="K22" i="2"/>
  <c r="K21" i="2"/>
  <c r="K34" i="1" s="1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32" i="1" s="1"/>
  <c r="K7" i="2"/>
  <c r="K6" i="2"/>
  <c r="E23" i="9" s="1"/>
  <c r="K5" i="2"/>
  <c r="G36" i="1"/>
  <c r="S35" i="1"/>
  <c r="K35" i="1"/>
  <c r="G35" i="1"/>
  <c r="S34" i="1"/>
  <c r="O34" i="1"/>
  <c r="G34" i="1"/>
  <c r="S33" i="1"/>
  <c r="G33" i="1"/>
  <c r="S32" i="1"/>
  <c r="G32" i="1"/>
  <c r="S31" i="1"/>
  <c r="G31" i="1"/>
  <c r="S30" i="1"/>
  <c r="G30" i="1"/>
  <c r="S29" i="1"/>
  <c r="K29" i="1"/>
  <c r="G29" i="1"/>
  <c r="W28" i="1"/>
  <c r="S28" i="1"/>
  <c r="G28" i="1"/>
  <c r="S19" i="1"/>
  <c r="K19" i="1"/>
  <c r="C19" i="1"/>
  <c r="K12" i="1"/>
  <c r="C12" i="1"/>
  <c r="AC18" i="2" l="1"/>
  <c r="Q18" i="2" s="1"/>
  <c r="AC34" i="2"/>
  <c r="Q34" i="2" s="1"/>
  <c r="AB16" i="2"/>
  <c r="AC26" i="2"/>
  <c r="Q26" i="2" s="1"/>
  <c r="AC12" i="2"/>
  <c r="Q12" i="2" s="1"/>
  <c r="AB25" i="2"/>
  <c r="AC14" i="2"/>
  <c r="Q14" i="2" s="1"/>
  <c r="AB15" i="2"/>
  <c r="AC22" i="2"/>
  <c r="Q22" i="2" s="1"/>
  <c r="AB28" i="2"/>
  <c r="AC10" i="2"/>
  <c r="Q10" i="2" s="1"/>
  <c r="AB23" i="2"/>
  <c r="AB29" i="2"/>
  <c r="AB11" i="2"/>
  <c r="AC24" i="2"/>
  <c r="Q24" i="2" s="1"/>
  <c r="U21" i="4"/>
  <c r="AB17" i="2"/>
  <c r="AC30" i="2"/>
  <c r="Q30" i="2" s="1"/>
  <c r="Q26" i="4"/>
  <c r="Q17" i="4"/>
  <c r="E21" i="9"/>
  <c r="AC19" i="2"/>
  <c r="Q19" i="2" s="1"/>
  <c r="AC27" i="2"/>
  <c r="Q27" i="2" s="1"/>
  <c r="AC31" i="2"/>
  <c r="Q31" i="2" s="1"/>
  <c r="K7" i="4"/>
  <c r="G7" i="4"/>
  <c r="I9" i="4"/>
  <c r="E11" i="4"/>
  <c r="D12" i="4"/>
  <c r="U13" i="4"/>
  <c r="M16" i="4"/>
  <c r="G20" i="4"/>
  <c r="D24" i="4"/>
  <c r="Q25" i="4"/>
  <c r="M28" i="4"/>
  <c r="H32" i="4"/>
  <c r="D34" i="4"/>
  <c r="M43" i="4"/>
  <c r="I53" i="4"/>
  <c r="K60" i="4"/>
  <c r="T67" i="4"/>
  <c r="M81" i="4"/>
  <c r="Q82" i="4"/>
  <c r="R82" i="4" s="1"/>
  <c r="I84" i="4"/>
  <c r="L88" i="4"/>
  <c r="Q90" i="4"/>
  <c r="M100" i="4"/>
  <c r="L102" i="4"/>
  <c r="M121" i="4"/>
  <c r="F20" i="4"/>
  <c r="H7" i="4"/>
  <c r="M9" i="4"/>
  <c r="F11" i="4"/>
  <c r="T11" i="4" s="1"/>
  <c r="F12" i="4"/>
  <c r="L12" i="4" s="1"/>
  <c r="H20" i="4"/>
  <c r="M22" i="4"/>
  <c r="F24" i="4"/>
  <c r="U24" i="4" s="1"/>
  <c r="E34" i="4"/>
  <c r="M48" i="4"/>
  <c r="L57" i="4"/>
  <c r="M60" i="4"/>
  <c r="K62" i="4"/>
  <c r="Q63" i="4"/>
  <c r="E71" i="4"/>
  <c r="E74" i="4"/>
  <c r="M88" i="4"/>
  <c r="E93" i="4"/>
  <c r="O32" i="1"/>
  <c r="F7" i="4"/>
  <c r="S7" i="4" s="1"/>
  <c r="D11" i="4"/>
  <c r="L29" i="4"/>
  <c r="C34" i="4"/>
  <c r="W29" i="1"/>
  <c r="O35" i="1"/>
  <c r="E22" i="9"/>
  <c r="AB20" i="2"/>
  <c r="AB32" i="2"/>
  <c r="E8" i="4"/>
  <c r="G11" i="4"/>
  <c r="I12" i="4"/>
  <c r="M18" i="4"/>
  <c r="I20" i="4"/>
  <c r="G24" i="4"/>
  <c r="D26" i="4"/>
  <c r="Q28" i="4"/>
  <c r="R28" i="4" s="1"/>
  <c r="C30" i="4"/>
  <c r="F34" i="4"/>
  <c r="U34" i="4" s="1"/>
  <c r="Q43" i="4"/>
  <c r="R43" i="4" s="1"/>
  <c r="E47" i="4"/>
  <c r="L62" i="4"/>
  <c r="I67" i="4"/>
  <c r="Q81" i="4"/>
  <c r="M96" i="4"/>
  <c r="E106" i="4"/>
  <c r="M111" i="4"/>
  <c r="E125" i="4"/>
  <c r="I127" i="4"/>
  <c r="E20" i="9"/>
  <c r="C8" i="4"/>
  <c r="C10" i="4"/>
  <c r="H11" i="4"/>
  <c r="M12" i="4"/>
  <c r="S20" i="4"/>
  <c r="H24" i="4"/>
  <c r="F26" i="4"/>
  <c r="L26" i="4" s="1"/>
  <c r="T28" i="4"/>
  <c r="D30" i="4"/>
  <c r="C33" i="4"/>
  <c r="M67" i="4"/>
  <c r="Q76" i="4"/>
  <c r="R76" i="4" s="1"/>
  <c r="Q79" i="4"/>
  <c r="E85" i="4"/>
  <c r="Q93" i="4"/>
  <c r="Q96" i="4"/>
  <c r="K102" i="4"/>
  <c r="M127" i="4"/>
  <c r="W32" i="1"/>
  <c r="K33" i="1"/>
  <c r="W35" i="1"/>
  <c r="D8" i="4"/>
  <c r="D10" i="4"/>
  <c r="K11" i="4"/>
  <c r="C17" i="4"/>
  <c r="U20" i="4"/>
  <c r="F23" i="4"/>
  <c r="L23" i="4" s="1"/>
  <c r="I24" i="4"/>
  <c r="G26" i="4"/>
  <c r="C28" i="4"/>
  <c r="U28" i="4"/>
  <c r="F30" i="4"/>
  <c r="U30" i="4" s="1"/>
  <c r="D33" i="4"/>
  <c r="E40" i="4"/>
  <c r="K49" i="4"/>
  <c r="M52" i="4"/>
  <c r="I57" i="4"/>
  <c r="Q59" i="4"/>
  <c r="Q62" i="4"/>
  <c r="E65" i="4"/>
  <c r="Q67" i="4"/>
  <c r="R67" i="4" s="1"/>
  <c r="E69" i="4"/>
  <c r="T70" i="4"/>
  <c r="I73" i="4"/>
  <c r="M74" i="4"/>
  <c r="I85" i="4"/>
  <c r="Q111" i="4"/>
  <c r="L126" i="4"/>
  <c r="W34" i="1"/>
  <c r="AB21" i="2"/>
  <c r="AB33" i="2"/>
  <c r="E10" i="4"/>
  <c r="L11" i="4"/>
  <c r="S24" i="4"/>
  <c r="H26" i="4"/>
  <c r="G30" i="4"/>
  <c r="E46" i="4"/>
  <c r="M57" i="4"/>
  <c r="E61" i="4"/>
  <c r="L73" i="4"/>
  <c r="E80" i="4"/>
  <c r="E87" i="4"/>
  <c r="E91" i="4"/>
  <c r="I99" i="4"/>
  <c r="K114" i="4"/>
  <c r="I123" i="4"/>
  <c r="L9" i="4"/>
  <c r="F10" i="4"/>
  <c r="S11" i="4"/>
  <c r="C13" i="4"/>
  <c r="A16" i="4"/>
  <c r="E17" i="4"/>
  <c r="H23" i="4"/>
  <c r="I26" i="4"/>
  <c r="E28" i="4"/>
  <c r="D29" i="4"/>
  <c r="T30" i="4"/>
  <c r="I33" i="4"/>
  <c r="I47" i="4"/>
  <c r="E64" i="4"/>
  <c r="M66" i="4"/>
  <c r="Q68" i="4"/>
  <c r="M73" i="4"/>
  <c r="E82" i="4"/>
  <c r="K83" i="4"/>
  <c r="I89" i="4"/>
  <c r="I101" i="4"/>
  <c r="E103" i="4"/>
  <c r="I110" i="4"/>
  <c r="L114" i="4"/>
  <c r="M133" i="4"/>
  <c r="D7" i="4"/>
  <c r="C11" i="4"/>
  <c r="S31" i="4"/>
  <c r="E17" i="9"/>
  <c r="M6" i="4"/>
  <c r="Q10" i="4"/>
  <c r="R10" i="4" s="1"/>
  <c r="Q11" i="4"/>
  <c r="R11" i="4" s="1"/>
  <c r="D13" i="4"/>
  <c r="F17" i="4"/>
  <c r="M19" i="4"/>
  <c r="K23" i="4"/>
  <c r="K26" i="4"/>
  <c r="F28" i="4"/>
  <c r="L28" i="4" s="1"/>
  <c r="E29" i="4"/>
  <c r="M33" i="4"/>
  <c r="E44" i="4"/>
  <c r="K46" i="4"/>
  <c r="N46" i="4" s="1"/>
  <c r="L49" i="4"/>
  <c r="T57" i="4"/>
  <c r="I70" i="4"/>
  <c r="Q73" i="4"/>
  <c r="R73" i="4" s="1"/>
  <c r="J73" i="4" s="1"/>
  <c r="Q80" i="4"/>
  <c r="M83" i="4"/>
  <c r="Q89" i="4"/>
  <c r="Q97" i="4"/>
  <c r="Q99" i="4"/>
  <c r="M101" i="4"/>
  <c r="M110" i="4"/>
  <c r="M112" i="4"/>
  <c r="E120" i="4"/>
  <c r="K126" i="4"/>
  <c r="U11" i="4"/>
  <c r="E18" i="9"/>
  <c r="Q38" i="4"/>
  <c r="L40" i="4"/>
  <c r="K45" i="4"/>
  <c r="L46" i="4"/>
  <c r="Q47" i="4"/>
  <c r="R47" i="4" s="1"/>
  <c r="E53" i="4"/>
  <c r="I56" i="4"/>
  <c r="K70" i="4"/>
  <c r="N70" i="4" s="1"/>
  <c r="I91" i="4"/>
  <c r="E94" i="4"/>
  <c r="Q112" i="4"/>
  <c r="Q114" i="4"/>
  <c r="K128" i="4"/>
  <c r="L145" i="4"/>
  <c r="B72" i="1"/>
  <c r="Q128" i="4"/>
  <c r="R128" i="4" s="1"/>
  <c r="M143" i="4"/>
  <c r="AB5" i="2"/>
  <c r="U7" i="4"/>
  <c r="AB7" i="2"/>
  <c r="Q8" i="4"/>
  <c r="T34" i="4"/>
  <c r="Q51" i="4"/>
  <c r="R51" i="4" s="1"/>
  <c r="E51" i="4"/>
  <c r="M51" i="4"/>
  <c r="G51" i="4"/>
  <c r="I51" i="4"/>
  <c r="H51" i="4"/>
  <c r="F51" i="4"/>
  <c r="L51" i="4" s="1"/>
  <c r="H8" i="3"/>
  <c r="J8" i="3" s="1"/>
  <c r="C31" i="4"/>
  <c r="I34" i="4"/>
  <c r="M34" i="4"/>
  <c r="L34" i="4"/>
  <c r="H34" i="4"/>
  <c r="S34" i="4"/>
  <c r="K34" i="4"/>
  <c r="G34" i="4"/>
  <c r="E38" i="4"/>
  <c r="C42" i="4"/>
  <c r="L44" i="4"/>
  <c r="K44" i="4"/>
  <c r="J47" i="4"/>
  <c r="D51" i="4"/>
  <c r="M55" i="4"/>
  <c r="S59" i="4"/>
  <c r="J67" i="4"/>
  <c r="F75" i="4"/>
  <c r="D78" i="4"/>
  <c r="M78" i="4"/>
  <c r="E78" i="4"/>
  <c r="Q78" i="4"/>
  <c r="A78" i="4"/>
  <c r="F78" i="4"/>
  <c r="L78" i="4" s="1"/>
  <c r="I78" i="4"/>
  <c r="H78" i="4"/>
  <c r="G78" i="4"/>
  <c r="C78" i="4"/>
  <c r="I104" i="4"/>
  <c r="E7" i="4"/>
  <c r="K12" i="4"/>
  <c r="Q30" i="4"/>
  <c r="E30" i="4"/>
  <c r="S30" i="4"/>
  <c r="A30" i="4"/>
  <c r="M30" i="4"/>
  <c r="L30" i="4"/>
  <c r="K30" i="4"/>
  <c r="I30" i="4"/>
  <c r="M31" i="4"/>
  <c r="I37" i="4"/>
  <c r="R37" i="4"/>
  <c r="E37" i="4"/>
  <c r="Q37" i="4"/>
  <c r="D37" i="4"/>
  <c r="A37" i="4"/>
  <c r="L37" i="4"/>
  <c r="S37" i="4"/>
  <c r="M37" i="4"/>
  <c r="K37" i="4"/>
  <c r="N37" i="4" s="1"/>
  <c r="M42" i="4"/>
  <c r="M50" i="4"/>
  <c r="A50" i="4"/>
  <c r="U50" i="4"/>
  <c r="G50" i="4"/>
  <c r="F50" i="4"/>
  <c r="L50" i="4" s="1"/>
  <c r="K50" i="4"/>
  <c r="S50" i="4"/>
  <c r="S51" i="4"/>
  <c r="S55" i="4"/>
  <c r="I58" i="4"/>
  <c r="Q58" i="4"/>
  <c r="R58" i="4" s="1"/>
  <c r="D58" i="4"/>
  <c r="C58" i="4"/>
  <c r="M58" i="4"/>
  <c r="H58" i="4"/>
  <c r="L58" i="4"/>
  <c r="K58" i="4"/>
  <c r="G58" i="4"/>
  <c r="T58" i="4" s="1"/>
  <c r="F65" i="4"/>
  <c r="Q65" i="4"/>
  <c r="R65" i="4" s="1"/>
  <c r="D65" i="4"/>
  <c r="L65" i="4"/>
  <c r="K65" i="4"/>
  <c r="N65" i="4" s="1"/>
  <c r="S65" i="4"/>
  <c r="H65" i="4"/>
  <c r="M65" i="4"/>
  <c r="I65" i="4"/>
  <c r="G65" i="4"/>
  <c r="G75" i="4"/>
  <c r="T75" i="4" s="1"/>
  <c r="D84" i="4"/>
  <c r="M84" i="4"/>
  <c r="F84" i="4"/>
  <c r="L84" i="4" s="1"/>
  <c r="U84" i="4"/>
  <c r="E84" i="4"/>
  <c r="T84" i="4"/>
  <c r="A84" i="4"/>
  <c r="S84" i="4"/>
  <c r="Q84" i="4"/>
  <c r="R84" i="4" s="1"/>
  <c r="H84" i="4"/>
  <c r="I107" i="4"/>
  <c r="H107" i="4"/>
  <c r="U107" i="4"/>
  <c r="F107" i="4"/>
  <c r="T107" i="4" s="1"/>
  <c r="J107" i="4"/>
  <c r="Q107" i="4"/>
  <c r="R107" i="4" s="1"/>
  <c r="S107" i="4"/>
  <c r="M107" i="4"/>
  <c r="G107" i="4"/>
  <c r="C107" i="4"/>
  <c r="M117" i="4"/>
  <c r="A117" i="4"/>
  <c r="S117" i="4"/>
  <c r="I117" i="4"/>
  <c r="Q117" i="4"/>
  <c r="R117" i="4" s="1"/>
  <c r="H117" i="4"/>
  <c r="F117" i="4"/>
  <c r="K117" i="4" s="1"/>
  <c r="G117" i="4"/>
  <c r="C117" i="4"/>
  <c r="Q54" i="4"/>
  <c r="R54" i="4" s="1"/>
  <c r="E54" i="4"/>
  <c r="F54" i="4"/>
  <c r="D54" i="4"/>
  <c r="S54" i="4"/>
  <c r="M54" i="4"/>
  <c r="L54" i="4"/>
  <c r="K54" i="4"/>
  <c r="I54" i="4"/>
  <c r="U61" i="4"/>
  <c r="Q66" i="4"/>
  <c r="F72" i="4"/>
  <c r="R72" i="4" s="1"/>
  <c r="H72" i="4"/>
  <c r="G72" i="4"/>
  <c r="S72" i="4"/>
  <c r="I72" i="4"/>
  <c r="M72" i="4"/>
  <c r="K72" i="4"/>
  <c r="E72" i="4"/>
  <c r="H75" i="4"/>
  <c r="S95" i="4"/>
  <c r="A95" i="4"/>
  <c r="U95" i="4"/>
  <c r="F95" i="4"/>
  <c r="K95" i="4" s="1"/>
  <c r="M95" i="4"/>
  <c r="I95" i="4"/>
  <c r="H95" i="4"/>
  <c r="G95" i="4"/>
  <c r="E95" i="4"/>
  <c r="D95" i="4"/>
  <c r="D105" i="4"/>
  <c r="U105" i="4"/>
  <c r="F105" i="4"/>
  <c r="L105" i="4" s="1"/>
  <c r="Q105" i="4"/>
  <c r="A105" i="4"/>
  <c r="S105" i="4"/>
  <c r="M105" i="4"/>
  <c r="I105" i="4"/>
  <c r="E105" i="4"/>
  <c r="D117" i="4"/>
  <c r="M35" i="4"/>
  <c r="A35" i="4"/>
  <c r="F35" i="4"/>
  <c r="L35" i="4" s="1"/>
  <c r="E35" i="4"/>
  <c r="D35" i="4"/>
  <c r="I35" i="4"/>
  <c r="H35" i="4"/>
  <c r="G35" i="4"/>
  <c r="T35" i="4" s="1"/>
  <c r="U35" i="4"/>
  <c r="C35" i="4"/>
  <c r="Q27" i="4"/>
  <c r="R27" i="4" s="1"/>
  <c r="E27" i="4"/>
  <c r="I27" i="4"/>
  <c r="H27" i="4"/>
  <c r="A27" i="4"/>
  <c r="S27" i="4"/>
  <c r="M27" i="4"/>
  <c r="I75" i="4"/>
  <c r="C95" i="4"/>
  <c r="U103" i="4"/>
  <c r="H103" i="4"/>
  <c r="Q103" i="4"/>
  <c r="C103" i="4"/>
  <c r="I103" i="4"/>
  <c r="A103" i="4"/>
  <c r="S103" i="4"/>
  <c r="M103" i="4"/>
  <c r="F103" i="4"/>
  <c r="L103" i="4" s="1"/>
  <c r="C105" i="4"/>
  <c r="E107" i="4"/>
  <c r="E117" i="4"/>
  <c r="M5" i="4"/>
  <c r="A5" i="4"/>
  <c r="D5" i="4"/>
  <c r="C5" i="4"/>
  <c r="I5" i="4"/>
  <c r="H5" i="4"/>
  <c r="G5" i="4"/>
  <c r="F5" i="4"/>
  <c r="U5" i="4" s="1"/>
  <c r="K9" i="4"/>
  <c r="G54" i="4"/>
  <c r="T54" i="4" s="1"/>
  <c r="Q55" i="4"/>
  <c r="M41" i="4"/>
  <c r="A41" i="4"/>
  <c r="Q41" i="4"/>
  <c r="D41" i="4"/>
  <c r="C41" i="4"/>
  <c r="S41" i="4"/>
  <c r="I41" i="4"/>
  <c r="M14" i="4"/>
  <c r="A14" i="4"/>
  <c r="G14" i="4"/>
  <c r="S14" i="4" s="1"/>
  <c r="F14" i="4"/>
  <c r="L14" i="4" s="1"/>
  <c r="K14" i="4"/>
  <c r="I14" i="4"/>
  <c r="H14" i="4"/>
  <c r="E14" i="4"/>
  <c r="H54" i="4"/>
  <c r="I61" i="4"/>
  <c r="H61" i="4"/>
  <c r="K61" i="4"/>
  <c r="S61" i="4"/>
  <c r="M61" i="4"/>
  <c r="L61" i="4"/>
  <c r="G61" i="4"/>
  <c r="T61" i="4" s="1"/>
  <c r="R71" i="4"/>
  <c r="J71" i="4" s="1"/>
  <c r="F71" i="4"/>
  <c r="L71" i="4" s="1"/>
  <c r="N71" i="4" s="1"/>
  <c r="M71" i="4"/>
  <c r="S71" i="4"/>
  <c r="Q71" i="4"/>
  <c r="A71" i="4"/>
  <c r="K71" i="4"/>
  <c r="I71" i="4"/>
  <c r="U78" i="4"/>
  <c r="H92" i="4"/>
  <c r="I92" i="4"/>
  <c r="M92" i="4"/>
  <c r="Q92" i="4"/>
  <c r="S92" i="4"/>
  <c r="G92" i="4"/>
  <c r="D92" i="4"/>
  <c r="T24" i="4"/>
  <c r="C27" i="4"/>
  <c r="Q35" i="4"/>
  <c r="R35" i="4" s="1"/>
  <c r="F41" i="4"/>
  <c r="AB8" i="2"/>
  <c r="E5" i="4"/>
  <c r="D14" i="4"/>
  <c r="D27" i="4"/>
  <c r="Q31" i="4"/>
  <c r="G41" i="4"/>
  <c r="T51" i="4"/>
  <c r="U9" i="4"/>
  <c r="AC9" i="2"/>
  <c r="Q9" i="2" s="1"/>
  <c r="Q18" i="4"/>
  <c r="R18" i="4" s="1"/>
  <c r="E18" i="4"/>
  <c r="F18" i="4"/>
  <c r="U18" i="4" s="1"/>
  <c r="D18" i="4"/>
  <c r="K18" i="4"/>
  <c r="I18" i="4"/>
  <c r="H18" i="4"/>
  <c r="G18" i="4"/>
  <c r="T18" i="4" s="1"/>
  <c r="C18" i="4"/>
  <c r="F27" i="4"/>
  <c r="U27" i="4" s="1"/>
  <c r="H41" i="4"/>
  <c r="I50" i="4"/>
  <c r="J50" i="4" s="1"/>
  <c r="U51" i="4"/>
  <c r="N54" i="4"/>
  <c r="C61" i="4"/>
  <c r="T65" i="4"/>
  <c r="U77" i="4"/>
  <c r="G77" i="4"/>
  <c r="E77" i="4"/>
  <c r="D77" i="4"/>
  <c r="M77" i="4"/>
  <c r="F77" i="4"/>
  <c r="L77" i="4" s="1"/>
  <c r="K77" i="4"/>
  <c r="I77" i="4"/>
  <c r="H77" i="4"/>
  <c r="C77" i="4"/>
  <c r="U85" i="4"/>
  <c r="H85" i="4"/>
  <c r="Q85" i="4"/>
  <c r="D85" i="4"/>
  <c r="G85" i="4"/>
  <c r="A85" i="4"/>
  <c r="S85" i="4"/>
  <c r="M85" i="4"/>
  <c r="F85" i="4"/>
  <c r="T85" i="4" s="1"/>
  <c r="C92" i="4"/>
  <c r="Q95" i="4"/>
  <c r="T105" i="4"/>
  <c r="E41" i="4"/>
  <c r="H30" i="4"/>
  <c r="J30" i="4" s="1"/>
  <c r="Q34" i="4"/>
  <c r="R34" i="4" s="1"/>
  <c r="J37" i="4"/>
  <c r="C71" i="4"/>
  <c r="T7" i="4"/>
  <c r="I10" i="4"/>
  <c r="H10" i="4"/>
  <c r="U10" i="4"/>
  <c r="G10" i="4"/>
  <c r="T10" i="4" s="1"/>
  <c r="A10" i="4"/>
  <c r="S10" i="4"/>
  <c r="M10" i="4"/>
  <c r="L10" i="4"/>
  <c r="K10" i="4"/>
  <c r="N10" i="4" s="1"/>
  <c r="M17" i="4"/>
  <c r="A17" i="4"/>
  <c r="L17" i="4"/>
  <c r="K17" i="4"/>
  <c r="N17" i="4" s="1"/>
  <c r="S17" i="4"/>
  <c r="I17" i="4"/>
  <c r="H17" i="4"/>
  <c r="L18" i="4"/>
  <c r="Q21" i="4"/>
  <c r="R21" i="4" s="1"/>
  <c r="E21" i="4"/>
  <c r="K21" i="4"/>
  <c r="J21" i="4"/>
  <c r="M21" i="4"/>
  <c r="L21" i="4"/>
  <c r="I21" i="4"/>
  <c r="H21" i="4"/>
  <c r="G21" i="4"/>
  <c r="T21" i="4" s="1"/>
  <c r="I25" i="4"/>
  <c r="H25" i="4"/>
  <c r="G25" i="4"/>
  <c r="F25" i="4"/>
  <c r="U25" i="4"/>
  <c r="E25" i="4"/>
  <c r="D25" i="4"/>
  <c r="G27" i="4"/>
  <c r="R30" i="4"/>
  <c r="T37" i="4"/>
  <c r="T40" i="4"/>
  <c r="R41" i="4"/>
  <c r="Q50" i="4"/>
  <c r="R50" i="4" s="1"/>
  <c r="T60" i="4"/>
  <c r="L60" i="4"/>
  <c r="D61" i="4"/>
  <c r="U65" i="4"/>
  <c r="D71" i="4"/>
  <c r="Q72" i="4"/>
  <c r="E92" i="4"/>
  <c r="T95" i="4"/>
  <c r="F92" i="4"/>
  <c r="K92" i="4" s="1"/>
  <c r="U106" i="4"/>
  <c r="H106" i="4"/>
  <c r="C106" i="4"/>
  <c r="S106" i="4"/>
  <c r="L106" i="4"/>
  <c r="M106" i="4"/>
  <c r="N106" i="4" s="1"/>
  <c r="K106" i="4"/>
  <c r="Q106" i="4"/>
  <c r="R106" i="4" s="1"/>
  <c r="J106" i="4" s="1"/>
  <c r="I106" i="4"/>
  <c r="G106" i="4"/>
  <c r="T106" i="4" s="1"/>
  <c r="D106" i="4"/>
  <c r="U54" i="4"/>
  <c r="M8" i="4"/>
  <c r="A8" i="4"/>
  <c r="I8" i="4"/>
  <c r="H8" i="4"/>
  <c r="G8" i="4"/>
  <c r="F8" i="4"/>
  <c r="U8" i="4" s="1"/>
  <c r="K13" i="4"/>
  <c r="Q14" i="4"/>
  <c r="R14" i="4" s="1"/>
  <c r="S18" i="4"/>
  <c r="M38" i="4"/>
  <c r="A38" i="4"/>
  <c r="S38" i="4"/>
  <c r="G38" i="4"/>
  <c r="L38" i="4"/>
  <c r="I38" i="4"/>
  <c r="H38" i="4"/>
  <c r="F38" i="4"/>
  <c r="U41" i="4"/>
  <c r="A51" i="4"/>
  <c r="M59" i="4"/>
  <c r="A59" i="4"/>
  <c r="I59" i="4"/>
  <c r="H59" i="4"/>
  <c r="D59" i="4"/>
  <c r="G59" i="4"/>
  <c r="F59" i="4"/>
  <c r="K59" i="4" s="1"/>
  <c r="U59" i="4"/>
  <c r="E59" i="4"/>
  <c r="C59" i="4"/>
  <c r="K66" i="4"/>
  <c r="N66" i="4" s="1"/>
  <c r="U66" i="4"/>
  <c r="F66" i="4"/>
  <c r="E66" i="4"/>
  <c r="L66" i="4"/>
  <c r="D66" i="4"/>
  <c r="I66" i="4"/>
  <c r="H66" i="4"/>
  <c r="G66" i="4"/>
  <c r="C66" i="4"/>
  <c r="Q104" i="4"/>
  <c r="D104" i="4"/>
  <c r="F104" i="4"/>
  <c r="R104" i="4" s="1"/>
  <c r="U104" i="4"/>
  <c r="E104" i="4"/>
  <c r="S104" i="4"/>
  <c r="M104" i="4"/>
  <c r="G104" i="4"/>
  <c r="K75" i="4"/>
  <c r="R75" i="4"/>
  <c r="D75" i="4"/>
  <c r="Q75" i="4"/>
  <c r="C75" i="4"/>
  <c r="A75" i="4"/>
  <c r="M75" i="4"/>
  <c r="S75" i="4"/>
  <c r="L75" i="4"/>
  <c r="C104" i="4"/>
  <c r="I116" i="4"/>
  <c r="Q116" i="4"/>
  <c r="R116" i="4" s="1"/>
  <c r="D116" i="4"/>
  <c r="C116" i="4"/>
  <c r="A116" i="4"/>
  <c r="S116" i="4"/>
  <c r="T116" i="4"/>
  <c r="K116" i="4"/>
  <c r="H116" i="4"/>
  <c r="F116" i="4"/>
  <c r="L116" i="4" s="1"/>
  <c r="G116" i="4"/>
  <c r="M116" i="4"/>
  <c r="I55" i="4"/>
  <c r="L55" i="4"/>
  <c r="K55" i="4"/>
  <c r="N55" i="4" s="1"/>
  <c r="U55" i="4"/>
  <c r="E55" i="4"/>
  <c r="H55" i="4"/>
  <c r="G55" i="4"/>
  <c r="F55" i="4"/>
  <c r="R55" i="4" s="1"/>
  <c r="D55" i="4"/>
  <c r="L20" i="4"/>
  <c r="K20" i="4"/>
  <c r="I31" i="4"/>
  <c r="G31" i="4"/>
  <c r="F31" i="4"/>
  <c r="T31" i="4" s="1"/>
  <c r="E31" i="4"/>
  <c r="H31" i="4"/>
  <c r="D31" i="4"/>
  <c r="K35" i="4"/>
  <c r="N35" i="4" s="1"/>
  <c r="D38" i="4"/>
  <c r="Q42" i="4"/>
  <c r="E42" i="4"/>
  <c r="I42" i="4"/>
  <c r="F42" i="4"/>
  <c r="H42" i="4"/>
  <c r="G42" i="4"/>
  <c r="U42" i="4"/>
  <c r="D42" i="4"/>
  <c r="C51" i="4"/>
  <c r="C55" i="4"/>
  <c r="Q61" i="4"/>
  <c r="R61" i="4" s="1"/>
  <c r="J61" i="4" s="1"/>
  <c r="S66" i="4"/>
  <c r="T71" i="4"/>
  <c r="E75" i="4"/>
  <c r="R77" i="4"/>
  <c r="D87" i="4"/>
  <c r="Q87" i="4"/>
  <c r="R87" i="4" s="1"/>
  <c r="C87" i="4"/>
  <c r="G87" i="4"/>
  <c r="F87" i="4"/>
  <c r="T87" i="4" s="1"/>
  <c r="S87" i="4"/>
  <c r="I87" i="4"/>
  <c r="M87" i="4"/>
  <c r="H87" i="4"/>
  <c r="U87" i="4"/>
  <c r="A87" i="4"/>
  <c r="T91" i="4"/>
  <c r="L91" i="4"/>
  <c r="K91" i="4"/>
  <c r="U92" i="4"/>
  <c r="H104" i="4"/>
  <c r="E116" i="4"/>
  <c r="M120" i="4"/>
  <c r="A120" i="4"/>
  <c r="C120" i="4"/>
  <c r="I120" i="4"/>
  <c r="H120" i="4"/>
  <c r="Q121" i="4"/>
  <c r="R121" i="4" s="1"/>
  <c r="E121" i="4"/>
  <c r="I121" i="4"/>
  <c r="C121" i="4"/>
  <c r="K121" i="4"/>
  <c r="H121" i="4"/>
  <c r="G121" i="4"/>
  <c r="I125" i="4"/>
  <c r="U125" i="4"/>
  <c r="G125" i="4"/>
  <c r="H125" i="4"/>
  <c r="F125" i="4"/>
  <c r="T125" i="4" s="1"/>
  <c r="D125" i="4"/>
  <c r="Q125" i="4"/>
  <c r="L131" i="4"/>
  <c r="Q134" i="4"/>
  <c r="R134" i="4" s="1"/>
  <c r="M139" i="4"/>
  <c r="Q142" i="4"/>
  <c r="E142" i="4"/>
  <c r="D142" i="4"/>
  <c r="M142" i="4"/>
  <c r="K142" i="4"/>
  <c r="I142" i="4"/>
  <c r="H142" i="4"/>
  <c r="G142" i="4"/>
  <c r="E150" i="4"/>
  <c r="M159" i="4"/>
  <c r="M166" i="4"/>
  <c r="E168" i="4"/>
  <c r="E169" i="4"/>
  <c r="C172" i="4"/>
  <c r="I173" i="4"/>
  <c r="Q177" i="4"/>
  <c r="D184" i="4"/>
  <c r="C187" i="4"/>
  <c r="Q189" i="4"/>
  <c r="I191" i="4"/>
  <c r="I194" i="4"/>
  <c r="E197" i="4"/>
  <c r="Q197" i="4"/>
  <c r="D197" i="4"/>
  <c r="G197" i="4"/>
  <c r="F197" i="4"/>
  <c r="T197" i="4" s="1"/>
  <c r="U197" i="4"/>
  <c r="S197" i="4"/>
  <c r="D200" i="4"/>
  <c r="M201" i="4"/>
  <c r="L204" i="4"/>
  <c r="F149" i="4"/>
  <c r="L149" i="4" s="1"/>
  <c r="I149" i="4"/>
  <c r="C149" i="4"/>
  <c r="Q149" i="4"/>
  <c r="A149" i="4"/>
  <c r="H149" i="4"/>
  <c r="E149" i="4"/>
  <c r="G149" i="4"/>
  <c r="M162" i="4"/>
  <c r="Q166" i="4"/>
  <c r="D172" i="4"/>
  <c r="G175" i="4"/>
  <c r="T175" i="4" s="1"/>
  <c r="M175" i="4"/>
  <c r="U175" i="4"/>
  <c r="E175" i="4"/>
  <c r="D175" i="4"/>
  <c r="I175" i="4"/>
  <c r="H175" i="4"/>
  <c r="A175" i="4"/>
  <c r="F175" i="4"/>
  <c r="C175" i="4"/>
  <c r="Q176" i="4"/>
  <c r="E184" i="4"/>
  <c r="D187" i="4"/>
  <c r="Q195" i="4"/>
  <c r="C197" i="4"/>
  <c r="I198" i="4"/>
  <c r="F200" i="4"/>
  <c r="L200" i="4" s="1"/>
  <c r="M141" i="4"/>
  <c r="A141" i="4"/>
  <c r="E141" i="4"/>
  <c r="U141" i="4"/>
  <c r="D141" i="4"/>
  <c r="H141" i="4"/>
  <c r="G141" i="4"/>
  <c r="M145" i="4"/>
  <c r="Q146" i="4"/>
  <c r="D149" i="4"/>
  <c r="F152" i="4"/>
  <c r="K152" i="4" s="1"/>
  <c r="S152" i="4"/>
  <c r="A152" i="4"/>
  <c r="M152" i="4"/>
  <c r="C152" i="4"/>
  <c r="I152" i="4"/>
  <c r="U152" i="4"/>
  <c r="E153" i="4"/>
  <c r="I155" i="4"/>
  <c r="E172" i="4"/>
  <c r="E183" i="4"/>
  <c r="F184" i="4"/>
  <c r="M187" i="4"/>
  <c r="I188" i="4"/>
  <c r="H197" i="4"/>
  <c r="L198" i="4"/>
  <c r="D93" i="4"/>
  <c r="S93" i="4"/>
  <c r="A93" i="4"/>
  <c r="R93" i="4"/>
  <c r="C93" i="4"/>
  <c r="H93" i="4"/>
  <c r="G93" i="4"/>
  <c r="T93" i="4" s="1"/>
  <c r="U115" i="4"/>
  <c r="Q118" i="4"/>
  <c r="E118" i="4"/>
  <c r="C118" i="4"/>
  <c r="G118" i="4"/>
  <c r="I118" i="4"/>
  <c r="F118" i="4"/>
  <c r="S118" i="4"/>
  <c r="M118" i="4"/>
  <c r="E119" i="4"/>
  <c r="F120" i="4"/>
  <c r="K120" i="4" s="1"/>
  <c r="L121" i="4"/>
  <c r="N121" i="4" s="1"/>
  <c r="T124" i="4"/>
  <c r="I126" i="4"/>
  <c r="Q129" i="4"/>
  <c r="R129" i="4" s="1"/>
  <c r="Q132" i="4"/>
  <c r="R132" i="4" s="1"/>
  <c r="M138" i="4"/>
  <c r="A138" i="4"/>
  <c r="I138" i="4"/>
  <c r="E138" i="4"/>
  <c r="G138" i="4"/>
  <c r="S138" i="4"/>
  <c r="C141" i="4"/>
  <c r="D152" i="4"/>
  <c r="I154" i="4"/>
  <c r="G157" i="4"/>
  <c r="U157" i="4"/>
  <c r="F157" i="4"/>
  <c r="I157" i="4"/>
  <c r="S157" i="4"/>
  <c r="M157" i="4"/>
  <c r="Q157" i="4"/>
  <c r="L157" i="4"/>
  <c r="L158" i="4"/>
  <c r="C167" i="4"/>
  <c r="I167" i="4"/>
  <c r="H167" i="4"/>
  <c r="A167" i="4"/>
  <c r="Q167" i="4"/>
  <c r="G167" i="4"/>
  <c r="U167" i="4"/>
  <c r="L169" i="4"/>
  <c r="Q170" i="4"/>
  <c r="K175" i="4"/>
  <c r="E179" i="4"/>
  <c r="S187" i="4"/>
  <c r="I197" i="4"/>
  <c r="G202" i="4"/>
  <c r="I202" i="4"/>
  <c r="S202" i="4"/>
  <c r="E202" i="4"/>
  <c r="D202" i="4"/>
  <c r="U202" i="4"/>
  <c r="H202" i="4"/>
  <c r="A202" i="4"/>
  <c r="Q131" i="4"/>
  <c r="I134" i="4"/>
  <c r="K134" i="4"/>
  <c r="S134" i="4"/>
  <c r="M134" i="4"/>
  <c r="D134" i="4"/>
  <c r="U134" i="4"/>
  <c r="C134" i="4"/>
  <c r="I137" i="4"/>
  <c r="C137" i="4"/>
  <c r="S137" i="4"/>
  <c r="M137" i="4"/>
  <c r="I140" i="4"/>
  <c r="U140" i="4"/>
  <c r="H140" i="4"/>
  <c r="J140" i="4" s="1"/>
  <c r="K140" i="4"/>
  <c r="G140" i="4"/>
  <c r="Q140" i="4"/>
  <c r="R140" i="4" s="1"/>
  <c r="A140" i="4"/>
  <c r="F140" i="4"/>
  <c r="E140" i="4"/>
  <c r="F141" i="4"/>
  <c r="K141" i="4" s="1"/>
  <c r="L142" i="4"/>
  <c r="M147" i="4"/>
  <c r="A147" i="4"/>
  <c r="L147" i="4"/>
  <c r="I147" i="4"/>
  <c r="S147" i="4"/>
  <c r="F147" i="4"/>
  <c r="E147" i="4"/>
  <c r="Q148" i="4"/>
  <c r="E148" i="4"/>
  <c r="D148" i="4"/>
  <c r="I148" i="4"/>
  <c r="F148" i="4"/>
  <c r="H148" i="4"/>
  <c r="G148" i="4"/>
  <c r="C148" i="4"/>
  <c r="M149" i="4"/>
  <c r="I150" i="4"/>
  <c r="E151" i="4"/>
  <c r="E152" i="4"/>
  <c r="M153" i="4"/>
  <c r="M154" i="4"/>
  <c r="G160" i="4"/>
  <c r="L160" i="4"/>
  <c r="F160" i="4"/>
  <c r="U160" i="4"/>
  <c r="E160" i="4"/>
  <c r="D160" i="4"/>
  <c r="C160" i="4"/>
  <c r="Q160" i="4"/>
  <c r="I160" i="4"/>
  <c r="L161" i="4"/>
  <c r="E164" i="4"/>
  <c r="C174" i="4"/>
  <c r="U174" i="4"/>
  <c r="G174" i="4"/>
  <c r="I174" i="4"/>
  <c r="A174" i="4"/>
  <c r="L175" i="4"/>
  <c r="Q180" i="4"/>
  <c r="R180" i="4" s="1"/>
  <c r="E182" i="4"/>
  <c r="C192" i="4"/>
  <c r="M192" i="4"/>
  <c r="F192" i="4"/>
  <c r="T192" i="4" s="1"/>
  <c r="E192" i="4"/>
  <c r="Q192" i="4"/>
  <c r="R192" i="4" s="1"/>
  <c r="S192" i="4"/>
  <c r="Q194" i="4"/>
  <c r="C202" i="4"/>
  <c r="Q130" i="4"/>
  <c r="E130" i="4"/>
  <c r="H130" i="4"/>
  <c r="A130" i="4"/>
  <c r="S130" i="4"/>
  <c r="E134" i="4"/>
  <c r="E135" i="4"/>
  <c r="D137" i="4"/>
  <c r="D138" i="4"/>
  <c r="C140" i="4"/>
  <c r="I141" i="4"/>
  <c r="S142" i="4"/>
  <c r="Q143" i="4"/>
  <c r="C147" i="4"/>
  <c r="S149" i="4"/>
  <c r="K150" i="4"/>
  <c r="G152" i="4"/>
  <c r="D157" i="4"/>
  <c r="H160" i="4"/>
  <c r="M165" i="4"/>
  <c r="E167" i="4"/>
  <c r="C171" i="4"/>
  <c r="S171" i="4"/>
  <c r="A171" i="4"/>
  <c r="M171" i="4"/>
  <c r="E171" i="4"/>
  <c r="U171" i="4"/>
  <c r="D171" i="4"/>
  <c r="Q171" i="4"/>
  <c r="H171" i="4"/>
  <c r="G171" i="4"/>
  <c r="T171" i="4" s="1"/>
  <c r="D174" i="4"/>
  <c r="S175" i="4"/>
  <c r="I185" i="4"/>
  <c r="E185" i="4"/>
  <c r="D185" i="4"/>
  <c r="H185" i="4"/>
  <c r="G185" i="4"/>
  <c r="T185" i="4" s="1"/>
  <c r="S185" i="4"/>
  <c r="M185" i="4"/>
  <c r="U185" i="4"/>
  <c r="Q188" i="4"/>
  <c r="R188" i="4" s="1"/>
  <c r="D192" i="4"/>
  <c r="M197" i="4"/>
  <c r="G199" i="4"/>
  <c r="Q199" i="4"/>
  <c r="D199" i="4"/>
  <c r="C199" i="4"/>
  <c r="M199" i="4"/>
  <c r="S199" i="4"/>
  <c r="K199" i="4"/>
  <c r="U199" i="4"/>
  <c r="A199" i="4"/>
  <c r="F199" i="4"/>
  <c r="L199" i="4" s="1"/>
  <c r="E199" i="4"/>
  <c r="F202" i="4"/>
  <c r="L202" i="4" s="1"/>
  <c r="M203" i="4"/>
  <c r="I93" i="4"/>
  <c r="C130" i="4"/>
  <c r="Q133" i="4"/>
  <c r="E133" i="4"/>
  <c r="R133" i="4"/>
  <c r="D133" i="4"/>
  <c r="U133" i="4"/>
  <c r="F133" i="4"/>
  <c r="A133" i="4"/>
  <c r="S133" i="4"/>
  <c r="G133" i="4"/>
  <c r="C133" i="4"/>
  <c r="E137" i="4"/>
  <c r="F138" i="4"/>
  <c r="D140" i="4"/>
  <c r="R142" i="4"/>
  <c r="J142" i="4" s="1"/>
  <c r="D147" i="4"/>
  <c r="L150" i="4"/>
  <c r="H152" i="4"/>
  <c r="Q154" i="4"/>
  <c r="R154" i="4" s="1"/>
  <c r="J154" i="4" s="1"/>
  <c r="E157" i="4"/>
  <c r="K160" i="4"/>
  <c r="Q161" i="4"/>
  <c r="R161" i="4" s="1"/>
  <c r="I164" i="4"/>
  <c r="F167" i="4"/>
  <c r="L167" i="4" s="1"/>
  <c r="Q169" i="4"/>
  <c r="R169" i="4" s="1"/>
  <c r="F171" i="4"/>
  <c r="K171" i="4" s="1"/>
  <c r="E174" i="4"/>
  <c r="L182" i="4"/>
  <c r="C185" i="4"/>
  <c r="M186" i="4"/>
  <c r="G192" i="4"/>
  <c r="H199" i="4"/>
  <c r="I22" i="4"/>
  <c r="Q22" i="4"/>
  <c r="D22" i="4"/>
  <c r="C22" i="4"/>
  <c r="M32" i="4"/>
  <c r="A32" i="4"/>
  <c r="S32" i="4"/>
  <c r="L32" i="4"/>
  <c r="Q32" i="4"/>
  <c r="K118" i="4"/>
  <c r="M119" i="4"/>
  <c r="Q120" i="4"/>
  <c r="M122" i="4"/>
  <c r="K123" i="4"/>
  <c r="L124" i="4"/>
  <c r="S125" i="4"/>
  <c r="M129" i="4"/>
  <c r="A129" i="4"/>
  <c r="F129" i="4"/>
  <c r="K129" i="4" s="1"/>
  <c r="S129" i="4"/>
  <c r="E129" i="4"/>
  <c r="C129" i="4"/>
  <c r="D130" i="4"/>
  <c r="M132" i="4"/>
  <c r="A132" i="4"/>
  <c r="F132" i="4"/>
  <c r="D132" i="4"/>
  <c r="G132" i="4"/>
  <c r="J132" i="4" s="1"/>
  <c r="E132" i="4"/>
  <c r="H133" i="4"/>
  <c r="G134" i="4"/>
  <c r="T134" i="4" s="1"/>
  <c r="F137" i="4"/>
  <c r="T137" i="4" s="1"/>
  <c r="H138" i="4"/>
  <c r="S141" i="4"/>
  <c r="T142" i="4"/>
  <c r="I146" i="4"/>
  <c r="U146" i="4"/>
  <c r="H146" i="4"/>
  <c r="E146" i="4"/>
  <c r="S146" i="4"/>
  <c r="M146" i="4"/>
  <c r="F146" i="4"/>
  <c r="L146" i="4" s="1"/>
  <c r="D146" i="4"/>
  <c r="G147" i="4"/>
  <c r="M148" i="4"/>
  <c r="Q153" i="4"/>
  <c r="C156" i="4"/>
  <c r="M156" i="4"/>
  <c r="A156" i="4"/>
  <c r="S156" i="4"/>
  <c r="Q156" i="4"/>
  <c r="H156" i="4"/>
  <c r="G156" i="4"/>
  <c r="F156" i="4"/>
  <c r="H157" i="4"/>
  <c r="M160" i="4"/>
  <c r="C162" i="4"/>
  <c r="K162" i="4"/>
  <c r="I162" i="4"/>
  <c r="H162" i="4"/>
  <c r="Q162" i="4"/>
  <c r="S162" i="4"/>
  <c r="D162" i="4"/>
  <c r="A162" i="4"/>
  <c r="I163" i="4"/>
  <c r="I171" i="4"/>
  <c r="F174" i="4"/>
  <c r="T174" i="4" s="1"/>
  <c r="Q175" i="4"/>
  <c r="R175" i="4" s="1"/>
  <c r="I177" i="4"/>
  <c r="F185" i="4"/>
  <c r="K185" i="4" s="1"/>
  <c r="H192" i="4"/>
  <c r="I199" i="4"/>
  <c r="T201" i="4"/>
  <c r="M202" i="4"/>
  <c r="Q48" i="4"/>
  <c r="E48" i="4"/>
  <c r="H48" i="4"/>
  <c r="U48" i="4"/>
  <c r="G48" i="4"/>
  <c r="U79" i="4"/>
  <c r="H79" i="4"/>
  <c r="F79" i="4"/>
  <c r="L79" i="4" s="1"/>
  <c r="M79" i="4"/>
  <c r="C89" i="4"/>
  <c r="M89" i="4"/>
  <c r="S89" i="4"/>
  <c r="U89" i="4"/>
  <c r="R120" i="4"/>
  <c r="T121" i="4"/>
  <c r="L123" i="4"/>
  <c r="I128" i="4"/>
  <c r="J128" i="4" s="1"/>
  <c r="M128" i="4"/>
  <c r="N128" i="4" s="1"/>
  <c r="T128" i="4"/>
  <c r="E128" i="4"/>
  <c r="G128" i="4"/>
  <c r="S128" i="4"/>
  <c r="D129" i="4"/>
  <c r="F130" i="4"/>
  <c r="C132" i="4"/>
  <c r="I133" i="4"/>
  <c r="H134" i="4"/>
  <c r="G137" i="4"/>
  <c r="K138" i="4"/>
  <c r="L140" i="4"/>
  <c r="U142" i="4"/>
  <c r="M144" i="4"/>
  <c r="A144" i="4"/>
  <c r="Q144" i="4"/>
  <c r="C144" i="4"/>
  <c r="G144" i="4"/>
  <c r="F144" i="4"/>
  <c r="L144" i="4" s="1"/>
  <c r="U144" i="4"/>
  <c r="D144" i="4"/>
  <c r="I144" i="4"/>
  <c r="C146" i="4"/>
  <c r="H147" i="4"/>
  <c r="S148" i="4"/>
  <c r="U149" i="4"/>
  <c r="Q150" i="4"/>
  <c r="R150" i="4" s="1"/>
  <c r="I151" i="4"/>
  <c r="L152" i="4"/>
  <c r="D156" i="4"/>
  <c r="S160" i="4"/>
  <c r="E162" i="4"/>
  <c r="M167" i="4"/>
  <c r="E173" i="4"/>
  <c r="H174" i="4"/>
  <c r="F176" i="4"/>
  <c r="L176" i="4" s="1"/>
  <c r="S176" i="4"/>
  <c r="M176" i="4"/>
  <c r="E176" i="4"/>
  <c r="D176" i="4"/>
  <c r="C176" i="4"/>
  <c r="A176" i="4"/>
  <c r="I178" i="4"/>
  <c r="Q186" i="4"/>
  <c r="R186" i="4" s="1"/>
  <c r="Q190" i="4"/>
  <c r="I192" i="4"/>
  <c r="M196" i="4"/>
  <c r="D96" i="4"/>
  <c r="U96" i="4"/>
  <c r="G96" i="4"/>
  <c r="S96" i="4"/>
  <c r="I96" i="4"/>
  <c r="Q115" i="4"/>
  <c r="R115" i="4" s="1"/>
  <c r="J115" i="4" s="1"/>
  <c r="E115" i="4"/>
  <c r="I115" i="4"/>
  <c r="F115" i="4"/>
  <c r="T115" i="4" s="1"/>
  <c r="C115" i="4"/>
  <c r="S120" i="4"/>
  <c r="M125" i="4"/>
  <c r="Q202" i="4"/>
  <c r="Q15" i="4"/>
  <c r="R15" i="4" s="1"/>
  <c r="E15" i="4"/>
  <c r="M15" i="4"/>
  <c r="L15" i="4"/>
  <c r="C15" i="4"/>
  <c r="I19" i="4"/>
  <c r="Q19" i="4"/>
  <c r="R19" i="4" s="1"/>
  <c r="E22" i="4"/>
  <c r="D89" i="4"/>
  <c r="C96" i="4"/>
  <c r="U97" i="4"/>
  <c r="H97" i="4"/>
  <c r="M97" i="4"/>
  <c r="I97" i="4"/>
  <c r="E97" i="4"/>
  <c r="D97" i="4"/>
  <c r="F98" i="4"/>
  <c r="L98" i="4" s="1"/>
  <c r="Q98" i="4"/>
  <c r="C98" i="4"/>
  <c r="A98" i="4"/>
  <c r="U113" i="4"/>
  <c r="G113" i="4"/>
  <c r="A113" i="4"/>
  <c r="M113" i="4"/>
  <c r="D113" i="4"/>
  <c r="C113" i="4"/>
  <c r="I203" i="4"/>
  <c r="J203" i="4" s="1"/>
  <c r="E201" i="4"/>
  <c r="L186" i="4"/>
  <c r="K169" i="4"/>
  <c r="L154" i="4"/>
  <c r="Q198" i="4"/>
  <c r="M188" i="4"/>
  <c r="K186" i="4"/>
  <c r="K154" i="4"/>
  <c r="I201" i="4"/>
  <c r="E194" i="4"/>
  <c r="L188" i="4"/>
  <c r="E186" i="4"/>
  <c r="M183" i="4"/>
  <c r="M178" i="4"/>
  <c r="M173" i="4"/>
  <c r="I169" i="4"/>
  <c r="M168" i="4"/>
  <c r="L163" i="4"/>
  <c r="M150" i="4"/>
  <c r="M198" i="4"/>
  <c r="L183" i="4"/>
  <c r="L178" i="4"/>
  <c r="L173" i="4"/>
  <c r="L168" i="4"/>
  <c r="K163" i="4"/>
  <c r="Q155" i="4"/>
  <c r="E154" i="4"/>
  <c r="Q203" i="4"/>
  <c r="R203" i="4" s="1"/>
  <c r="K183" i="4"/>
  <c r="M193" i="4"/>
  <c r="I186" i="4"/>
  <c r="J186" i="4" s="1"/>
  <c r="O186" i="4" s="1"/>
  <c r="I183" i="4"/>
  <c r="M182" i="4"/>
  <c r="K178" i="4"/>
  <c r="M161" i="4"/>
  <c r="M155" i="4"/>
  <c r="L139" i="4"/>
  <c r="K122" i="4"/>
  <c r="L203" i="4"/>
  <c r="E177" i="4"/>
  <c r="M169" i="4"/>
  <c r="K168" i="4"/>
  <c r="E163" i="4"/>
  <c r="K131" i="4"/>
  <c r="N131" i="4" s="1"/>
  <c r="E122" i="4"/>
  <c r="Q108" i="4"/>
  <c r="R108" i="4" s="1"/>
  <c r="K73" i="4"/>
  <c r="N73" i="4" s="1"/>
  <c r="K64" i="4"/>
  <c r="E196" i="4"/>
  <c r="Q193" i="4"/>
  <c r="L151" i="4"/>
  <c r="M108" i="4"/>
  <c r="I182" i="4"/>
  <c r="L119" i="4"/>
  <c r="K110" i="4"/>
  <c r="Q91" i="4"/>
  <c r="R91" i="4" s="1"/>
  <c r="K86" i="4"/>
  <c r="L67" i="4"/>
  <c r="E203" i="4"/>
  <c r="Q179" i="4"/>
  <c r="R179" i="4" s="1"/>
  <c r="M177" i="4"/>
  <c r="I161" i="4"/>
  <c r="Q151" i="4"/>
  <c r="R151" i="4" s="1"/>
  <c r="M136" i="4"/>
  <c r="K119" i="4"/>
  <c r="Q109" i="4"/>
  <c r="E108" i="4"/>
  <c r="I86" i="4"/>
  <c r="I76" i="4"/>
  <c r="J76" i="4" s="1"/>
  <c r="M69" i="4"/>
  <c r="K67" i="4"/>
  <c r="N67" i="4" s="1"/>
  <c r="Q64" i="4"/>
  <c r="R64" i="4" s="1"/>
  <c r="J64" i="4" s="1"/>
  <c r="Q6" i="4"/>
  <c r="E6" i="4"/>
  <c r="I6" i="4"/>
  <c r="L7" i="4"/>
  <c r="L13" i="4"/>
  <c r="D15" i="4"/>
  <c r="U15" i="4"/>
  <c r="C19" i="4"/>
  <c r="F22" i="4"/>
  <c r="S22" i="4" s="1"/>
  <c r="M23" i="4"/>
  <c r="A23" i="4"/>
  <c r="I23" i="4"/>
  <c r="Q23" i="4"/>
  <c r="R23" i="4" s="1"/>
  <c r="K24" i="4"/>
  <c r="D32" i="4"/>
  <c r="Q36" i="4"/>
  <c r="E36" i="4"/>
  <c r="F39" i="4"/>
  <c r="D48" i="4"/>
  <c r="I49" i="4"/>
  <c r="S49" i="4"/>
  <c r="A49" i="4"/>
  <c r="M49" i="4"/>
  <c r="N49" i="4" s="1"/>
  <c r="Q49" i="4"/>
  <c r="C52" i="4"/>
  <c r="U52" i="4"/>
  <c r="M56" i="4"/>
  <c r="A56" i="4"/>
  <c r="E56" i="4"/>
  <c r="Q56" i="4"/>
  <c r="D56" i="4"/>
  <c r="T63" i="4"/>
  <c r="F63" i="4"/>
  <c r="L63" i="4" s="1"/>
  <c r="I63" i="4"/>
  <c r="R63" i="4"/>
  <c r="J63" i="4" s="1"/>
  <c r="L64" i="4"/>
  <c r="I69" i="4"/>
  <c r="Q70" i="4"/>
  <c r="R70" i="4" s="1"/>
  <c r="J70" i="4" s="1"/>
  <c r="D79" i="4"/>
  <c r="C80" i="4"/>
  <c r="U80" i="4"/>
  <c r="M86" i="4"/>
  <c r="E89" i="4"/>
  <c r="D90" i="4"/>
  <c r="I90" i="4"/>
  <c r="G90" i="4"/>
  <c r="H90" i="4"/>
  <c r="U90" i="4"/>
  <c r="M91" i="4"/>
  <c r="K93" i="4"/>
  <c r="N93" i="4" s="1"/>
  <c r="I94" i="4"/>
  <c r="E96" i="4"/>
  <c r="C97" i="4"/>
  <c r="D98" i="4"/>
  <c r="D99" i="4"/>
  <c r="M99" i="4"/>
  <c r="U99" i="4"/>
  <c r="Q100" i="4"/>
  <c r="Q101" i="4"/>
  <c r="R101" i="4" s="1"/>
  <c r="J101" i="4" s="1"/>
  <c r="Q102" i="4"/>
  <c r="I108" i="4"/>
  <c r="J108" i="4" s="1"/>
  <c r="E109" i="4"/>
  <c r="D111" i="4"/>
  <c r="H111" i="4"/>
  <c r="I111" i="4"/>
  <c r="G111" i="4"/>
  <c r="U112" i="4"/>
  <c r="H112" i="4"/>
  <c r="S112" i="4"/>
  <c r="A112" i="4"/>
  <c r="F112" i="4"/>
  <c r="R112" i="4" s="1"/>
  <c r="D112" i="4"/>
  <c r="G112" i="4"/>
  <c r="E112" i="4"/>
  <c r="E113" i="4"/>
  <c r="G115" i="4"/>
  <c r="L118" i="4"/>
  <c r="N118" i="4" s="1"/>
  <c r="AB6" i="2"/>
  <c r="C6" i="4"/>
  <c r="M7" i="4"/>
  <c r="Q12" i="4"/>
  <c r="E12" i="4"/>
  <c r="H12" i="4"/>
  <c r="U12" i="4"/>
  <c r="G12" i="4"/>
  <c r="T12" i="4" s="1"/>
  <c r="R12" i="4"/>
  <c r="F15" i="4"/>
  <c r="D19" i="4"/>
  <c r="T19" i="4"/>
  <c r="G22" i="4"/>
  <c r="C23" i="4"/>
  <c r="L24" i="4"/>
  <c r="M29" i="4"/>
  <c r="A29" i="4"/>
  <c r="H29" i="4"/>
  <c r="U29" i="4"/>
  <c r="G29" i="4"/>
  <c r="S29" i="4" s="1"/>
  <c r="Q29" i="4"/>
  <c r="R29" i="4" s="1"/>
  <c r="E32" i="4"/>
  <c r="U32" i="4"/>
  <c r="C36" i="4"/>
  <c r="G39" i="4"/>
  <c r="I40" i="4"/>
  <c r="K40" i="4"/>
  <c r="N40" i="4" s="1"/>
  <c r="Q40" i="4"/>
  <c r="R40" i="4" s="1"/>
  <c r="I46" i="4"/>
  <c r="H46" i="4"/>
  <c r="U46" i="4"/>
  <c r="G46" i="4"/>
  <c r="T46" i="4" s="1"/>
  <c r="Q46" i="4"/>
  <c r="K47" i="4"/>
  <c r="F48" i="4"/>
  <c r="C49" i="4"/>
  <c r="R49" i="4"/>
  <c r="D52" i="4"/>
  <c r="M53" i="4"/>
  <c r="A53" i="4"/>
  <c r="L53" i="4"/>
  <c r="K53" i="4"/>
  <c r="N53" i="4" s="1"/>
  <c r="Q53" i="4"/>
  <c r="C56" i="4"/>
  <c r="U56" i="4"/>
  <c r="C63" i="4"/>
  <c r="U63" i="4"/>
  <c r="M64" i="4"/>
  <c r="K69" i="4"/>
  <c r="N69" i="4" s="1"/>
  <c r="E70" i="4"/>
  <c r="E73" i="4"/>
  <c r="K76" i="4"/>
  <c r="E79" i="4"/>
  <c r="D80" i="4"/>
  <c r="U82" i="4"/>
  <c r="H82" i="4"/>
  <c r="J82" i="4" s="1"/>
  <c r="L82" i="4"/>
  <c r="S82" i="4"/>
  <c r="N82" i="4" s="1"/>
  <c r="T82" i="4"/>
  <c r="Q83" i="4"/>
  <c r="R83" i="4" s="1"/>
  <c r="J83" i="4" s="1"/>
  <c r="F89" i="4"/>
  <c r="C90" i="4"/>
  <c r="L93" i="4"/>
  <c r="F96" i="4"/>
  <c r="F97" i="4"/>
  <c r="E98" i="4"/>
  <c r="C99" i="4"/>
  <c r="T102" i="4"/>
  <c r="E110" i="4"/>
  <c r="C111" i="4"/>
  <c r="C112" i="4"/>
  <c r="F113" i="4"/>
  <c r="T113" i="4" s="1"/>
  <c r="H115" i="4"/>
  <c r="T120" i="4"/>
  <c r="U121" i="4"/>
  <c r="R125" i="4"/>
  <c r="Q127" i="4"/>
  <c r="R127" i="4" s="1"/>
  <c r="E127" i="4"/>
  <c r="U127" i="4"/>
  <c r="G127" i="4"/>
  <c r="T127" i="4" s="1"/>
  <c r="K127" i="4"/>
  <c r="S127" i="4"/>
  <c r="L127" i="4"/>
  <c r="N127" i="4" s="1"/>
  <c r="C128" i="4"/>
  <c r="G129" i="4"/>
  <c r="G130" i="4"/>
  <c r="H132" i="4"/>
  <c r="J133" i="4"/>
  <c r="L134" i="4"/>
  <c r="I136" i="4"/>
  <c r="H137" i="4"/>
  <c r="I139" i="4"/>
  <c r="J139" i="4" s="1"/>
  <c r="M140" i="4"/>
  <c r="Q141" i="4"/>
  <c r="R141" i="4" s="1"/>
  <c r="E144" i="4"/>
  <c r="G146" i="4"/>
  <c r="K147" i="4"/>
  <c r="N147" i="4" s="1"/>
  <c r="Q152" i="4"/>
  <c r="R152" i="4" s="1"/>
  <c r="E156" i="4"/>
  <c r="E159" i="4"/>
  <c r="F162" i="4"/>
  <c r="M163" i="4"/>
  <c r="Q164" i="4"/>
  <c r="R164" i="4" s="1"/>
  <c r="G166" i="4"/>
  <c r="A166" i="4"/>
  <c r="S166" i="4"/>
  <c r="D166" i="4"/>
  <c r="U166" i="4"/>
  <c r="C166" i="4"/>
  <c r="I166" i="4"/>
  <c r="F166" i="4"/>
  <c r="S167" i="4"/>
  <c r="H170" i="4"/>
  <c r="E170" i="4"/>
  <c r="D170" i="4"/>
  <c r="G170" i="4"/>
  <c r="F170" i="4"/>
  <c r="K170" i="4" s="1"/>
  <c r="S170" i="4"/>
  <c r="M170" i="4"/>
  <c r="A170" i="4"/>
  <c r="R171" i="4"/>
  <c r="M174" i="4"/>
  <c r="G176" i="4"/>
  <c r="K177" i="4"/>
  <c r="L185" i="4"/>
  <c r="C189" i="4"/>
  <c r="H189" i="4"/>
  <c r="U189" i="4"/>
  <c r="G189" i="4"/>
  <c r="I189" i="4"/>
  <c r="F189" i="4"/>
  <c r="L189" i="4" s="1"/>
  <c r="E189" i="4"/>
  <c r="D189" i="4"/>
  <c r="S189" i="4"/>
  <c r="U192" i="4"/>
  <c r="H7" i="3"/>
  <c r="J7" i="3" s="1"/>
  <c r="Q5" i="4" s="1"/>
  <c r="D6" i="4"/>
  <c r="I11" i="4"/>
  <c r="J11" i="4" s="1"/>
  <c r="C12" i="4"/>
  <c r="G15" i="4"/>
  <c r="T15" i="4" s="1"/>
  <c r="I16" i="4"/>
  <c r="F16" i="4"/>
  <c r="E16" i="4"/>
  <c r="Q16" i="4"/>
  <c r="E19" i="4"/>
  <c r="H22" i="4"/>
  <c r="D23" i="4"/>
  <c r="T23" i="4"/>
  <c r="M24" i="4"/>
  <c r="E26" i="4"/>
  <c r="C29" i="4"/>
  <c r="F32" i="4"/>
  <c r="A33" i="4"/>
  <c r="D36" i="4"/>
  <c r="U36" i="4"/>
  <c r="C40" i="4"/>
  <c r="E43" i="4"/>
  <c r="I45" i="4"/>
  <c r="J45" i="4" s="1"/>
  <c r="C46" i="4"/>
  <c r="R46" i="4"/>
  <c r="L47" i="4"/>
  <c r="N47" i="4" s="1"/>
  <c r="I48" i="4"/>
  <c r="D49" i="4"/>
  <c r="T49" i="4"/>
  <c r="C53" i="4"/>
  <c r="R53" i="4"/>
  <c r="J53" i="4" s="1"/>
  <c r="F56" i="4"/>
  <c r="R56" i="4" s="1"/>
  <c r="A57" i="4"/>
  <c r="D63" i="4"/>
  <c r="E67" i="4"/>
  <c r="A68" i="4"/>
  <c r="L69" i="4"/>
  <c r="R74" i="4"/>
  <c r="F74" i="4"/>
  <c r="J74" i="4" s="1"/>
  <c r="Q74" i="4"/>
  <c r="D74" i="4"/>
  <c r="I74" i="4"/>
  <c r="U74" i="4"/>
  <c r="L76" i="4"/>
  <c r="G79" i="4"/>
  <c r="E81" i="4"/>
  <c r="C82" i="4"/>
  <c r="A83" i="4"/>
  <c r="I88" i="4"/>
  <c r="G89" i="4"/>
  <c r="E90" i="4"/>
  <c r="M93" i="4"/>
  <c r="K94" i="4"/>
  <c r="H96" i="4"/>
  <c r="G97" i="4"/>
  <c r="G98" i="4"/>
  <c r="T98" i="4" s="1"/>
  <c r="E99" i="4"/>
  <c r="U100" i="4"/>
  <c r="H100" i="4"/>
  <c r="E100" i="4"/>
  <c r="F100" i="4"/>
  <c r="R100" i="4" s="1"/>
  <c r="I100" i="4"/>
  <c r="G100" i="4"/>
  <c r="L101" i="4"/>
  <c r="K101" i="4"/>
  <c r="A101" i="4"/>
  <c r="T101" i="4"/>
  <c r="D101" i="4"/>
  <c r="C101" i="4"/>
  <c r="A102" i="4"/>
  <c r="K108" i="4"/>
  <c r="J110" i="4"/>
  <c r="E111" i="4"/>
  <c r="I112" i="4"/>
  <c r="H113" i="4"/>
  <c r="R118" i="4"/>
  <c r="U120" i="4"/>
  <c r="Q122" i="4"/>
  <c r="R122" i="4" s="1"/>
  <c r="Q123" i="4"/>
  <c r="R123" i="4" s="1"/>
  <c r="M126" i="4"/>
  <c r="A126" i="4"/>
  <c r="S126" i="4"/>
  <c r="Q126" i="4"/>
  <c r="R126" i="4" s="1"/>
  <c r="J126" i="4" s="1"/>
  <c r="C126" i="4"/>
  <c r="T126" i="4"/>
  <c r="D126" i="4"/>
  <c r="C127" i="4"/>
  <c r="D128" i="4"/>
  <c r="H129" i="4"/>
  <c r="I130" i="4"/>
  <c r="I132" i="4"/>
  <c r="K133" i="4"/>
  <c r="N134" i="4"/>
  <c r="K136" i="4"/>
  <c r="S140" i="4"/>
  <c r="I143" i="4"/>
  <c r="U143" i="4"/>
  <c r="H143" i="4"/>
  <c r="G143" i="4"/>
  <c r="E143" i="4"/>
  <c r="F143" i="4"/>
  <c r="T143" i="4" s="1"/>
  <c r="H144" i="4"/>
  <c r="R148" i="4"/>
  <c r="K151" i="4"/>
  <c r="T152" i="4"/>
  <c r="I156" i="4"/>
  <c r="K158" i="4"/>
  <c r="M158" i="4"/>
  <c r="D158" i="4"/>
  <c r="Q158" i="4"/>
  <c r="R158" i="4" s="1"/>
  <c r="J158" i="4" s="1"/>
  <c r="C158" i="4"/>
  <c r="I158" i="4"/>
  <c r="T158" i="4"/>
  <c r="S158" i="4"/>
  <c r="I159" i="4"/>
  <c r="R160" i="4"/>
  <c r="G162" i="4"/>
  <c r="T162" i="4" s="1"/>
  <c r="E166" i="4"/>
  <c r="C170" i="4"/>
  <c r="S174" i="4"/>
  <c r="H176" i="4"/>
  <c r="Q178" i="4"/>
  <c r="C180" i="4"/>
  <c r="E180" i="4"/>
  <c r="U180" i="4"/>
  <c r="F180" i="4"/>
  <c r="D180" i="4"/>
  <c r="I180" i="4"/>
  <c r="H180" i="4"/>
  <c r="M180" i="4"/>
  <c r="G180" i="4"/>
  <c r="T180" i="4" s="1"/>
  <c r="A180" i="4"/>
  <c r="E188" i="4"/>
  <c r="I195" i="4"/>
  <c r="Q196" i="4"/>
  <c r="R196" i="4" s="1"/>
  <c r="T198" i="4"/>
  <c r="R199" i="4"/>
  <c r="K201" i="4"/>
  <c r="N201" i="4" s="1"/>
  <c r="C204" i="4"/>
  <c r="I204" i="4"/>
  <c r="H204" i="4"/>
  <c r="U204" i="4"/>
  <c r="E204" i="4"/>
  <c r="T204" i="4"/>
  <c r="D204" i="4"/>
  <c r="Q204" i="4"/>
  <c r="R204" i="4" s="1"/>
  <c r="S204" i="4"/>
  <c r="M204" i="4"/>
  <c r="K204" i="4"/>
  <c r="N204" i="4" s="1"/>
  <c r="G204" i="4"/>
  <c r="J204" i="4" s="1"/>
  <c r="O204" i="4" s="1"/>
  <c r="C32" i="4"/>
  <c r="R32" i="4"/>
  <c r="Q39" i="4"/>
  <c r="E39" i="4"/>
  <c r="R39" i="4"/>
  <c r="D39" i="4"/>
  <c r="C39" i="4"/>
  <c r="U39" i="4"/>
  <c r="C48" i="4"/>
  <c r="T48" i="4"/>
  <c r="I52" i="4"/>
  <c r="F52" i="4"/>
  <c r="E52" i="4"/>
  <c r="Q52" i="4"/>
  <c r="C79" i="4"/>
  <c r="L80" i="4"/>
  <c r="M80" i="4"/>
  <c r="G80" i="4"/>
  <c r="H80" i="4"/>
  <c r="F80" i="4"/>
  <c r="R80" i="4" s="1"/>
  <c r="F6" i="4"/>
  <c r="S6" i="4" s="1"/>
  <c r="Q7" i="4"/>
  <c r="R7" i="4" s="1"/>
  <c r="S9" i="4"/>
  <c r="I13" i="4"/>
  <c r="J13" i="4" s="1"/>
  <c r="S13" i="4"/>
  <c r="A13" i="4"/>
  <c r="M13" i="4"/>
  <c r="N13" i="4" s="1"/>
  <c r="Q13" i="4"/>
  <c r="R13" i="4" s="1"/>
  <c r="H15" i="4"/>
  <c r="F19" i="4"/>
  <c r="L19" i="4" s="1"/>
  <c r="M20" i="4"/>
  <c r="N20" i="4" s="1"/>
  <c r="A20" i="4"/>
  <c r="E20" i="4"/>
  <c r="Q20" i="4"/>
  <c r="R20" i="4" s="1"/>
  <c r="J20" i="4" s="1"/>
  <c r="D20" i="4"/>
  <c r="T20" i="4"/>
  <c r="E23" i="4"/>
  <c r="U23" i="4"/>
  <c r="G32" i="4"/>
  <c r="T32" i="4" s="1"/>
  <c r="Q33" i="4"/>
  <c r="R33" i="4" s="1"/>
  <c r="E33" i="4"/>
  <c r="G33" i="4"/>
  <c r="F33" i="4"/>
  <c r="S33" i="4" s="1"/>
  <c r="F36" i="4"/>
  <c r="I39" i="4"/>
  <c r="M44" i="4"/>
  <c r="N44" i="4" s="1"/>
  <c r="A44" i="4"/>
  <c r="I44" i="4"/>
  <c r="H44" i="4"/>
  <c r="Q44" i="4"/>
  <c r="R44" i="4" s="1"/>
  <c r="E49" i="4"/>
  <c r="U49" i="4"/>
  <c r="H52" i="4"/>
  <c r="G56" i="4"/>
  <c r="Q57" i="4"/>
  <c r="R57" i="4" s="1"/>
  <c r="J57" i="4" s="1"/>
  <c r="E57" i="4"/>
  <c r="K57" i="4"/>
  <c r="N57" i="4" s="1"/>
  <c r="I62" i="4"/>
  <c r="E63" i="4"/>
  <c r="F68" i="4"/>
  <c r="R68" i="4" s="1"/>
  <c r="I68" i="4"/>
  <c r="G68" i="4"/>
  <c r="U68" i="4"/>
  <c r="E68" i="4"/>
  <c r="M76" i="4"/>
  <c r="I79" i="4"/>
  <c r="I80" i="4"/>
  <c r="L83" i="4"/>
  <c r="N83" i="4" s="1"/>
  <c r="E83" i="4"/>
  <c r="T83" i="4"/>
  <c r="D83" i="4"/>
  <c r="I83" i="4"/>
  <c r="Q86" i="4"/>
  <c r="R86" i="4" s="1"/>
  <c r="J86" i="4" s="1"/>
  <c r="K88" i="4"/>
  <c r="N88" i="4" s="1"/>
  <c r="H89" i="4"/>
  <c r="F90" i="4"/>
  <c r="M94" i="4"/>
  <c r="K96" i="4"/>
  <c r="H98" i="4"/>
  <c r="F99" i="4"/>
  <c r="T99" i="4" s="1"/>
  <c r="E101" i="4"/>
  <c r="D102" i="4"/>
  <c r="R102" i="4"/>
  <c r="E102" i="4"/>
  <c r="I102" i="4"/>
  <c r="S102" i="4"/>
  <c r="M102" i="4"/>
  <c r="L108" i="4"/>
  <c r="N108" i="4" s="1"/>
  <c r="L109" i="4"/>
  <c r="F111" i="4"/>
  <c r="L111" i="4" s="1"/>
  <c r="I113" i="4"/>
  <c r="I114" i="4"/>
  <c r="L115" i="4"/>
  <c r="A121" i="4"/>
  <c r="A125" i="4"/>
  <c r="E126" i="4"/>
  <c r="I129" i="4"/>
  <c r="M130" i="4"/>
  <c r="L132" i="4"/>
  <c r="L133" i="4"/>
  <c r="L136" i="4"/>
  <c r="Q137" i="4"/>
  <c r="R137" i="4" s="1"/>
  <c r="J137" i="4" s="1"/>
  <c r="Q138" i="4"/>
  <c r="R138" i="4" s="1"/>
  <c r="K139" i="4"/>
  <c r="K144" i="4"/>
  <c r="I145" i="4"/>
  <c r="K146" i="4"/>
  <c r="Q147" i="4"/>
  <c r="R147" i="4" s="1"/>
  <c r="M151" i="4"/>
  <c r="L156" i="4"/>
  <c r="E158" i="4"/>
  <c r="I170" i="4"/>
  <c r="G172" i="4"/>
  <c r="H172" i="4"/>
  <c r="I172" i="4"/>
  <c r="F172" i="4"/>
  <c r="K172" i="4" s="1"/>
  <c r="Q172" i="4"/>
  <c r="R172" i="4" s="1"/>
  <c r="A172" i="4"/>
  <c r="S172" i="4"/>
  <c r="M172" i="4"/>
  <c r="Q174" i="4"/>
  <c r="R174" i="4" s="1"/>
  <c r="I176" i="4"/>
  <c r="Q181" i="4"/>
  <c r="G184" i="4"/>
  <c r="C184" i="4"/>
  <c r="K184" i="4"/>
  <c r="L184" i="4"/>
  <c r="I184" i="4"/>
  <c r="S184" i="4"/>
  <c r="M184" i="4"/>
  <c r="Q184" i="4"/>
  <c r="R184" i="4" s="1"/>
  <c r="H184" i="4"/>
  <c r="U184" i="4"/>
  <c r="Q185" i="4"/>
  <c r="R185" i="4" s="1"/>
  <c r="G187" i="4"/>
  <c r="T187" i="4" s="1"/>
  <c r="I187" i="4"/>
  <c r="F187" i="4"/>
  <c r="U187" i="4"/>
  <c r="E187" i="4"/>
  <c r="Q187" i="4"/>
  <c r="R187" i="4" s="1"/>
  <c r="A187" i="4"/>
  <c r="K187" i="4"/>
  <c r="L187" i="4"/>
  <c r="H187" i="4"/>
  <c r="M189" i="4"/>
  <c r="K200" i="4"/>
  <c r="I200" i="4"/>
  <c r="H200" i="4"/>
  <c r="G200" i="4"/>
  <c r="S200" i="4"/>
  <c r="M200" i="4"/>
  <c r="U200" i="4"/>
  <c r="A200" i="4"/>
  <c r="T200" i="4"/>
  <c r="E200" i="4"/>
  <c r="C200" i="4"/>
  <c r="Q200" i="4"/>
  <c r="R200" i="4" s="1"/>
  <c r="L201" i="4"/>
  <c r="I7" i="4"/>
  <c r="J7" i="4" s="1"/>
  <c r="O7" i="4" s="1"/>
  <c r="N7" i="4"/>
  <c r="Q24" i="4"/>
  <c r="R24" i="4" s="1"/>
  <c r="J24" i="4" s="1"/>
  <c r="E24" i="4"/>
  <c r="N24" i="4"/>
  <c r="M26" i="4"/>
  <c r="A26" i="4"/>
  <c r="I43" i="4"/>
  <c r="J43" i="4" s="1"/>
  <c r="N43" i="4"/>
  <c r="Q60" i="4"/>
  <c r="R60" i="4" s="1"/>
  <c r="J60" i="4" s="1"/>
  <c r="E60" i="4"/>
  <c r="N60" i="4"/>
  <c r="R62" i="4"/>
  <c r="M62" i="4"/>
  <c r="N62" i="4" s="1"/>
  <c r="A62" i="4"/>
  <c r="D81" i="4"/>
  <c r="F81" i="4"/>
  <c r="T81" i="4" s="1"/>
  <c r="A81" i="4"/>
  <c r="U94" i="4"/>
  <c r="H94" i="4"/>
  <c r="G94" i="4"/>
  <c r="T94" i="4" s="1"/>
  <c r="L94" i="4"/>
  <c r="Q94" i="4"/>
  <c r="M123" i="4"/>
  <c r="A123" i="4"/>
  <c r="H123" i="4"/>
  <c r="J123" i="4" s="1"/>
  <c r="T123" i="4"/>
  <c r="E123" i="4"/>
  <c r="S123" i="4"/>
  <c r="U123" i="4"/>
  <c r="G181" i="4"/>
  <c r="S181" i="4"/>
  <c r="M181" i="4"/>
  <c r="E181" i="4"/>
  <c r="D181" i="4"/>
  <c r="I181" i="4"/>
  <c r="F181" i="4"/>
  <c r="K181" i="4" s="1"/>
  <c r="U191" i="4"/>
  <c r="G191" i="4"/>
  <c r="F191" i="4"/>
  <c r="L191" i="4" s="1"/>
  <c r="A191" i="4"/>
  <c r="H191" i="4"/>
  <c r="E191" i="4"/>
  <c r="M191" i="4"/>
  <c r="Q191" i="4"/>
  <c r="R191" i="4" s="1"/>
  <c r="C7" i="4"/>
  <c r="Q9" i="4"/>
  <c r="R9" i="4" s="1"/>
  <c r="J9" i="4" s="1"/>
  <c r="E9" i="4"/>
  <c r="N9" i="4"/>
  <c r="M11" i="4"/>
  <c r="N11" i="4" s="1"/>
  <c r="A11" i="4"/>
  <c r="C24" i="4"/>
  <c r="C26" i="4"/>
  <c r="I28" i="4"/>
  <c r="J28" i="4" s="1"/>
  <c r="C43" i="4"/>
  <c r="Q45" i="4"/>
  <c r="R45" i="4" s="1"/>
  <c r="E45" i="4"/>
  <c r="N45" i="4"/>
  <c r="M47" i="4"/>
  <c r="A47" i="4"/>
  <c r="C60" i="4"/>
  <c r="C62" i="4"/>
  <c r="C81" i="4"/>
  <c r="U81" i="4"/>
  <c r="U88" i="4"/>
  <c r="H88" i="4"/>
  <c r="J88" i="4" s="1"/>
  <c r="O88" i="4" s="1"/>
  <c r="D88" i="4"/>
  <c r="Q88" i="4"/>
  <c r="R88" i="4" s="1"/>
  <c r="C94" i="4"/>
  <c r="R94" i="4"/>
  <c r="U109" i="4"/>
  <c r="H109" i="4"/>
  <c r="I109" i="4"/>
  <c r="K109" i="4"/>
  <c r="G109" i="4"/>
  <c r="T109" i="4" s="1"/>
  <c r="R109" i="4"/>
  <c r="M114" i="4"/>
  <c r="N114" i="4" s="1"/>
  <c r="A114" i="4"/>
  <c r="R114" i="4"/>
  <c r="E114" i="4"/>
  <c r="J114" i="4"/>
  <c r="H114" i="4"/>
  <c r="U114" i="4"/>
  <c r="C123" i="4"/>
  <c r="Q124" i="4"/>
  <c r="R124" i="4" s="1"/>
  <c r="E124" i="4"/>
  <c r="S124" i="4"/>
  <c r="A124" i="4"/>
  <c r="M124" i="4"/>
  <c r="K124" i="4"/>
  <c r="I124" i="4"/>
  <c r="U124" i="4"/>
  <c r="M135" i="4"/>
  <c r="A135" i="4"/>
  <c r="Q135" i="4"/>
  <c r="D135" i="4"/>
  <c r="H135" i="4"/>
  <c r="I135" i="4"/>
  <c r="F135" i="4"/>
  <c r="L135" i="4" s="1"/>
  <c r="U135" i="4"/>
  <c r="U153" i="4"/>
  <c r="G153" i="4"/>
  <c r="F153" i="4"/>
  <c r="A153" i="4"/>
  <c r="S153" i="4"/>
  <c r="I153" i="4"/>
  <c r="C159" i="4"/>
  <c r="F159" i="4"/>
  <c r="L159" i="4"/>
  <c r="K159" i="4"/>
  <c r="H159" i="4"/>
  <c r="G159" i="4"/>
  <c r="U159" i="4"/>
  <c r="Q159" i="4"/>
  <c r="R159" i="4" s="1"/>
  <c r="C165" i="4"/>
  <c r="Q165" i="4"/>
  <c r="D165" i="4"/>
  <c r="G165" i="4"/>
  <c r="U165" i="4"/>
  <c r="F165" i="4"/>
  <c r="H165" i="4"/>
  <c r="E165" i="4"/>
  <c r="S165" i="4"/>
  <c r="I165" i="4"/>
  <c r="A165" i="4"/>
  <c r="C181" i="4"/>
  <c r="C191" i="4"/>
  <c r="T203" i="4"/>
  <c r="I119" i="4"/>
  <c r="J119" i="4"/>
  <c r="N119" i="4"/>
  <c r="A119" i="4"/>
  <c r="Q119" i="4"/>
  <c r="R119" i="4" s="1"/>
  <c r="K164" i="4"/>
  <c r="J164" i="4"/>
  <c r="M164" i="4"/>
  <c r="L164" i="4"/>
  <c r="H164" i="4"/>
  <c r="G164" i="4"/>
  <c r="T164" i="4" s="1"/>
  <c r="R177" i="4"/>
  <c r="K179" i="4"/>
  <c r="L179" i="4"/>
  <c r="N179" i="4" s="1"/>
  <c r="I179" i="4"/>
  <c r="M179" i="4"/>
  <c r="H179" i="4"/>
  <c r="J179" i="4" s="1"/>
  <c r="G190" i="4"/>
  <c r="S190" i="4"/>
  <c r="A190" i="4"/>
  <c r="M190" i="4"/>
  <c r="E190" i="4"/>
  <c r="U190" i="4"/>
  <c r="D190" i="4"/>
  <c r="I190" i="4"/>
  <c r="H190" i="4"/>
  <c r="J69" i="4"/>
  <c r="L86" i="4"/>
  <c r="D119" i="4"/>
  <c r="T119" i="4"/>
  <c r="D164" i="4"/>
  <c r="D179" i="4"/>
  <c r="F190" i="4"/>
  <c r="L190" i="4" s="1"/>
  <c r="S76" i="4"/>
  <c r="U91" i="4"/>
  <c r="H91" i="4"/>
  <c r="N91" i="4"/>
  <c r="D108" i="4"/>
  <c r="L110" i="4"/>
  <c r="N110" i="4"/>
  <c r="I131" i="4"/>
  <c r="J131" i="4" s="1"/>
  <c r="R131" i="4"/>
  <c r="E131" i="4"/>
  <c r="O131" i="4"/>
  <c r="Q136" i="4"/>
  <c r="R136" i="4" s="1"/>
  <c r="E136" i="4"/>
  <c r="Q145" i="4"/>
  <c r="R145" i="4" s="1"/>
  <c r="E145" i="4"/>
  <c r="D145" i="4"/>
  <c r="K145" i="4"/>
  <c r="N145" i="4" s="1"/>
  <c r="T145" i="4"/>
  <c r="J188" i="4"/>
  <c r="K161" i="4"/>
  <c r="N161" i="4" s="1"/>
  <c r="E161" i="4"/>
  <c r="A161" i="4"/>
  <c r="S161" i="4"/>
  <c r="T161" i="4"/>
  <c r="A177" i="4"/>
  <c r="A182" i="4"/>
  <c r="G193" i="4"/>
  <c r="U193" i="4"/>
  <c r="F193" i="4"/>
  <c r="L193" i="4" s="1"/>
  <c r="R193" i="4"/>
  <c r="E193" i="4"/>
  <c r="I193" i="4"/>
  <c r="H193" i="4"/>
  <c r="K194" i="4"/>
  <c r="M194" i="4"/>
  <c r="L194" i="4"/>
  <c r="T194" i="4"/>
  <c r="D194" i="4"/>
  <c r="R194" i="4"/>
  <c r="C194" i="4"/>
  <c r="A196" i="4"/>
  <c r="I122" i="4"/>
  <c r="J122" i="4" s="1"/>
  <c r="N122" i="4"/>
  <c r="Q139" i="4"/>
  <c r="R139" i="4" s="1"/>
  <c r="E139" i="4"/>
  <c r="N139" i="4"/>
  <c r="K155" i="4"/>
  <c r="U155" i="4"/>
  <c r="G155" i="4"/>
  <c r="F155" i="4"/>
  <c r="L155" i="4" s="1"/>
  <c r="T155" i="4"/>
  <c r="E155" i="4"/>
  <c r="R155" i="4"/>
  <c r="C161" i="4"/>
  <c r="U161" i="4"/>
  <c r="C177" i="4"/>
  <c r="L177" i="4"/>
  <c r="H177" i="4"/>
  <c r="G177" i="4"/>
  <c r="K182" i="4"/>
  <c r="N182" i="4" s="1"/>
  <c r="Q182" i="4"/>
  <c r="R182" i="4" s="1"/>
  <c r="D182" i="4"/>
  <c r="H182" i="4"/>
  <c r="G182" i="4"/>
  <c r="T182" i="4" s="1"/>
  <c r="C195" i="4"/>
  <c r="F195" i="4"/>
  <c r="T195" i="4" s="1"/>
  <c r="R195" i="4"/>
  <c r="E195" i="4"/>
  <c r="S195" i="4"/>
  <c r="M195" i="4"/>
  <c r="G196" i="4"/>
  <c r="L196" i="4"/>
  <c r="K196" i="4"/>
  <c r="I196" i="4"/>
  <c r="U196" i="4"/>
  <c r="J150" i="4"/>
  <c r="N150" i="4"/>
  <c r="O150" i="4" s="1"/>
  <c r="G163" i="4"/>
  <c r="T163" i="4" s="1"/>
  <c r="Q163" i="4"/>
  <c r="D163" i="4"/>
  <c r="N168" i="4"/>
  <c r="C168" i="4"/>
  <c r="I168" i="4"/>
  <c r="Q168" i="4"/>
  <c r="R168" i="4" s="1"/>
  <c r="K173" i="4"/>
  <c r="S173" i="4"/>
  <c r="A173" i="4"/>
  <c r="C150" i="4"/>
  <c r="C163" i="4"/>
  <c r="R163" i="4"/>
  <c r="D168" i="4"/>
  <c r="C173" i="4"/>
  <c r="Q173" i="4"/>
  <c r="R173" i="4" s="1"/>
  <c r="G178" i="4"/>
  <c r="T178" i="4" s="1"/>
  <c r="R178" i="4"/>
  <c r="E178" i="4"/>
  <c r="N183" i="4"/>
  <c r="C183" i="4"/>
  <c r="Q183" i="4"/>
  <c r="R183" i="4" s="1"/>
  <c r="J183" i="4" s="1"/>
  <c r="O183" i="4" s="1"/>
  <c r="C198" i="4"/>
  <c r="K198" i="4"/>
  <c r="N198" i="4" s="1"/>
  <c r="R198" i="4"/>
  <c r="J198" i="4" s="1"/>
  <c r="C201" i="4"/>
  <c r="K203" i="4"/>
  <c r="N203" i="4" s="1"/>
  <c r="T154" i="4"/>
  <c r="S154" i="4"/>
  <c r="G169" i="4"/>
  <c r="T169" i="4" s="1"/>
  <c r="N169" i="4"/>
  <c r="N186" i="4"/>
  <c r="C186" i="4"/>
  <c r="K188" i="4"/>
  <c r="N188" i="4" s="1"/>
  <c r="D201" i="4"/>
  <c r="Q201" i="4"/>
  <c r="R201" i="4" s="1"/>
  <c r="J201" i="4" s="1"/>
  <c r="C203" i="4"/>
  <c r="E16" i="9"/>
  <c r="K36" i="1"/>
  <c r="O28" i="1"/>
  <c r="E19" i="9"/>
  <c r="O31" i="1"/>
  <c r="K31" i="1"/>
  <c r="K30" i="1"/>
  <c r="O30" i="1"/>
  <c r="K28" i="1"/>
  <c r="N154" i="7"/>
  <c r="M154" i="7"/>
  <c r="L154" i="7"/>
  <c r="L156" i="7"/>
  <c r="N156" i="7"/>
  <c r="M156" i="7"/>
  <c r="L108" i="7"/>
  <c r="N108" i="7"/>
  <c r="M108" i="7"/>
  <c r="N179" i="7"/>
  <c r="M179" i="7"/>
  <c r="M222" i="7"/>
  <c r="L222" i="7"/>
  <c r="N222" i="7"/>
  <c r="L290" i="7"/>
  <c r="N290" i="7"/>
  <c r="M290" i="7"/>
  <c r="N133" i="7"/>
  <c r="M133" i="7"/>
  <c r="L133" i="7"/>
  <c r="N76" i="7"/>
  <c r="M76" i="7"/>
  <c r="L76" i="7"/>
  <c r="N92" i="7"/>
  <c r="M92" i="7"/>
  <c r="L92" i="7"/>
  <c r="L88" i="7"/>
  <c r="N88" i="7"/>
  <c r="N147" i="7"/>
  <c r="M147" i="7"/>
  <c r="L147" i="7"/>
  <c r="M88" i="7"/>
  <c r="M77" i="7"/>
  <c r="L77" i="7"/>
  <c r="N77" i="7"/>
  <c r="N37" i="7"/>
  <c r="M37" i="7"/>
  <c r="L37" i="7"/>
  <c r="N35" i="7"/>
  <c r="M35" i="7"/>
  <c r="L35" i="7"/>
  <c r="L60" i="7"/>
  <c r="N60" i="7"/>
  <c r="N86" i="7"/>
  <c r="L86" i="7"/>
  <c r="M86" i="7"/>
  <c r="L104" i="7"/>
  <c r="N104" i="7"/>
  <c r="M104" i="7"/>
  <c r="M60" i="7"/>
  <c r="N102" i="7"/>
  <c r="L102" i="7"/>
  <c r="M102" i="7"/>
  <c r="L120" i="7"/>
  <c r="M120" i="7"/>
  <c r="N131" i="7"/>
  <c r="M131" i="7"/>
  <c r="L131" i="7"/>
  <c r="N38" i="7"/>
  <c r="L38" i="7"/>
  <c r="M38" i="7"/>
  <c r="N58" i="7"/>
  <c r="M58" i="7"/>
  <c r="L58" i="7"/>
  <c r="M89" i="7"/>
  <c r="N89" i="7"/>
  <c r="L89" i="7"/>
  <c r="M78" i="7"/>
  <c r="L78" i="7"/>
  <c r="N78" i="7"/>
  <c r="M105" i="7"/>
  <c r="L105" i="7"/>
  <c r="N141" i="7"/>
  <c r="M141" i="7"/>
  <c r="L141" i="7"/>
  <c r="M41" i="7"/>
  <c r="N41" i="7"/>
  <c r="L41" i="7"/>
  <c r="L56" i="7"/>
  <c r="N56" i="7"/>
  <c r="M56" i="7"/>
  <c r="N105" i="7"/>
  <c r="N54" i="7"/>
  <c r="L54" i="7"/>
  <c r="M54" i="7"/>
  <c r="M101" i="7"/>
  <c r="N101" i="7"/>
  <c r="L101" i="7"/>
  <c r="M114" i="7"/>
  <c r="L114" i="7"/>
  <c r="N140" i="7"/>
  <c r="M140" i="7"/>
  <c r="L140" i="7"/>
  <c r="N172" i="7"/>
  <c r="M172" i="7"/>
  <c r="L172" i="7"/>
  <c r="N288" i="7"/>
  <c r="L288" i="7"/>
  <c r="M288" i="7"/>
  <c r="M50" i="7"/>
  <c r="L50" i="7"/>
  <c r="M69" i="7"/>
  <c r="L69" i="7"/>
  <c r="M110" i="7"/>
  <c r="L110" i="7"/>
  <c r="N114" i="7"/>
  <c r="M125" i="7"/>
  <c r="L125" i="7"/>
  <c r="L204" i="7"/>
  <c r="N204" i="7"/>
  <c r="M204" i="7"/>
  <c r="M270" i="7"/>
  <c r="L270" i="7"/>
  <c r="N270" i="7"/>
  <c r="N44" i="7"/>
  <c r="M44" i="7"/>
  <c r="N93" i="7"/>
  <c r="L93" i="7"/>
  <c r="N97" i="7"/>
  <c r="N134" i="7"/>
  <c r="M134" i="7"/>
  <c r="L134" i="7"/>
  <c r="M255" i="7"/>
  <c r="L255" i="7"/>
  <c r="N40" i="7"/>
  <c r="M57" i="7"/>
  <c r="L57" i="7"/>
  <c r="M106" i="7"/>
  <c r="N195" i="7"/>
  <c r="M195" i="7"/>
  <c r="N202" i="7"/>
  <c r="M202" i="7"/>
  <c r="L72" i="7"/>
  <c r="M72" i="7"/>
  <c r="N85" i="7"/>
  <c r="M85" i="7"/>
  <c r="M117" i="7"/>
  <c r="L117" i="7"/>
  <c r="M126" i="7"/>
  <c r="L126" i="7"/>
  <c r="M137" i="7"/>
  <c r="N137" i="7"/>
  <c r="L137" i="7"/>
  <c r="N162" i="7"/>
  <c r="M162" i="7"/>
  <c r="L162" i="7"/>
  <c r="E12" i="9"/>
  <c r="L51" i="7"/>
  <c r="M53" i="7"/>
  <c r="N53" i="7"/>
  <c r="L53" i="7"/>
  <c r="M66" i="7"/>
  <c r="L66" i="7"/>
  <c r="M98" i="7"/>
  <c r="L98" i="7"/>
  <c r="N126" i="7"/>
  <c r="N146" i="7"/>
  <c r="M146" i="7"/>
  <c r="L146" i="7"/>
  <c r="N153" i="7"/>
  <c r="M153" i="7"/>
  <c r="L153" i="7"/>
  <c r="N45" i="7"/>
  <c r="L45" i="7"/>
  <c r="M62" i="7"/>
  <c r="L62" i="7"/>
  <c r="N98" i="7"/>
  <c r="N124" i="7"/>
  <c r="M124" i="7"/>
  <c r="N181" i="7"/>
  <c r="M181" i="7"/>
  <c r="L181" i="7"/>
  <c r="N188" i="7"/>
  <c r="M188" i="7"/>
  <c r="L188" i="7"/>
  <c r="N228" i="7"/>
  <c r="L228" i="7"/>
  <c r="L230" i="7"/>
  <c r="N230" i="7"/>
  <c r="M230" i="7"/>
  <c r="L149" i="7"/>
  <c r="L158" i="7"/>
  <c r="L165" i="7"/>
  <c r="L174" i="7"/>
  <c r="L197" i="7"/>
  <c r="L206" i="7"/>
  <c r="M228" i="7"/>
  <c r="M243" i="7"/>
  <c r="L243" i="7"/>
  <c r="N276" i="7"/>
  <c r="L276" i="7"/>
  <c r="L278" i="7"/>
  <c r="N278" i="7"/>
  <c r="M278" i="7"/>
  <c r="L94" i="7"/>
  <c r="L119" i="7"/>
  <c r="L135" i="7"/>
  <c r="L142" i="7"/>
  <c r="N149" i="7"/>
  <c r="L167" i="7"/>
  <c r="M174" i="7"/>
  <c r="L183" i="7"/>
  <c r="L190" i="7"/>
  <c r="N197" i="7"/>
  <c r="M206" i="7"/>
  <c r="N243" i="7"/>
  <c r="M258" i="7"/>
  <c r="L258" i="7"/>
  <c r="M276" i="7"/>
  <c r="L176" i="7"/>
  <c r="M183" i="7"/>
  <c r="M190" i="7"/>
  <c r="M192" i="7"/>
  <c r="L208" i="7"/>
  <c r="N216" i="7"/>
  <c r="L216" i="7"/>
  <c r="L218" i="7"/>
  <c r="N218" i="7"/>
  <c r="M218" i="7"/>
  <c r="N258" i="7"/>
  <c r="N264" i="7"/>
  <c r="L264" i="7"/>
  <c r="L266" i="7"/>
  <c r="N266" i="7"/>
  <c r="M266" i="7"/>
  <c r="M291" i="7"/>
  <c r="L291" i="7"/>
  <c r="N48" i="7"/>
  <c r="M64" i="7"/>
  <c r="M73" i="7"/>
  <c r="M80" i="7"/>
  <c r="N96" i="7"/>
  <c r="M112" i="7"/>
  <c r="M121" i="7"/>
  <c r="M128" i="7"/>
  <c r="N144" i="7"/>
  <c r="M160" i="7"/>
  <c r="M169" i="7"/>
  <c r="M176" i="7"/>
  <c r="L185" i="7"/>
  <c r="N192" i="7"/>
  <c r="L194" i="7"/>
  <c r="L201" i="7"/>
  <c r="M208" i="7"/>
  <c r="L210" i="7"/>
  <c r="N212" i="7"/>
  <c r="M212" i="7"/>
  <c r="M216" i="7"/>
  <c r="M231" i="7"/>
  <c r="L231" i="7"/>
  <c r="M264" i="7"/>
  <c r="N291" i="7"/>
  <c r="L59" i="7"/>
  <c r="L75" i="7"/>
  <c r="L82" i="7"/>
  <c r="L107" i="7"/>
  <c r="L123" i="7"/>
  <c r="L130" i="7"/>
  <c r="L155" i="7"/>
  <c r="L171" i="7"/>
  <c r="L178" i="7"/>
  <c r="N185" i="7"/>
  <c r="M194" i="7"/>
  <c r="M201" i="7"/>
  <c r="L203" i="7"/>
  <c r="M210" i="7"/>
  <c r="L212" i="7"/>
  <c r="N231" i="7"/>
  <c r="M246" i="7"/>
  <c r="L246" i="7"/>
  <c r="M279" i="7"/>
  <c r="L279" i="7"/>
  <c r="M171" i="7"/>
  <c r="M178" i="7"/>
  <c r="L196" i="7"/>
  <c r="M203" i="7"/>
  <c r="L205" i="7"/>
  <c r="N252" i="7"/>
  <c r="L252" i="7"/>
  <c r="L254" i="7"/>
  <c r="N254" i="7"/>
  <c r="M254" i="7"/>
  <c r="N84" i="7"/>
  <c r="N132" i="7"/>
  <c r="L150" i="7"/>
  <c r="L173" i="7"/>
  <c r="N180" i="7"/>
  <c r="L182" i="7"/>
  <c r="L189" i="7"/>
  <c r="L198" i="7"/>
  <c r="M205" i="7"/>
  <c r="M219" i="7"/>
  <c r="L219" i="7"/>
  <c r="M252" i="7"/>
  <c r="M267" i="7"/>
  <c r="L267" i="7"/>
  <c r="M294" i="7"/>
  <c r="L294" i="7"/>
  <c r="M150" i="7"/>
  <c r="N173" i="7"/>
  <c r="M182" i="7"/>
  <c r="M189" i="7"/>
  <c r="M234" i="7"/>
  <c r="L234" i="7"/>
  <c r="M168" i="7"/>
  <c r="M213" i="7"/>
  <c r="L213" i="7"/>
  <c r="N234" i="7"/>
  <c r="N240" i="7"/>
  <c r="L240" i="7"/>
  <c r="L242" i="7"/>
  <c r="N242" i="7"/>
  <c r="M242" i="7"/>
  <c r="M282" i="7"/>
  <c r="L282" i="7"/>
  <c r="N300" i="7"/>
  <c r="M300" i="7"/>
  <c r="L300" i="7"/>
  <c r="M302" i="7"/>
  <c r="L220" i="7"/>
  <c r="L232" i="7"/>
  <c r="L244" i="7"/>
  <c r="L256" i="7"/>
  <c r="L268" i="7"/>
  <c r="L280" i="7"/>
  <c r="L292" i="7"/>
  <c r="L304" i="7"/>
  <c r="M304" i="7"/>
  <c r="M301" i="7"/>
  <c r="M303" i="7"/>
  <c r="B71" i="1" l="1"/>
  <c r="O20" i="4"/>
  <c r="O106" i="4"/>
  <c r="O122" i="4"/>
  <c r="K190" i="4"/>
  <c r="O179" i="4"/>
  <c r="N159" i="4"/>
  <c r="T181" i="4"/>
  <c r="O60" i="4"/>
  <c r="T68" i="4"/>
  <c r="T80" i="4"/>
  <c r="N151" i="4"/>
  <c r="R170" i="4"/>
  <c r="J170" i="4" s="1"/>
  <c r="T132" i="4"/>
  <c r="J138" i="4"/>
  <c r="J75" i="4"/>
  <c r="O71" i="4"/>
  <c r="N14" i="4"/>
  <c r="N109" i="4"/>
  <c r="R81" i="4"/>
  <c r="J102" i="4"/>
  <c r="U33" i="4"/>
  <c r="O45" i="4"/>
  <c r="L181" i="4"/>
  <c r="J136" i="4"/>
  <c r="L113" i="4"/>
  <c r="R202" i="4"/>
  <c r="R162" i="4"/>
  <c r="K132" i="4"/>
  <c r="K174" i="4"/>
  <c r="T160" i="4"/>
  <c r="T148" i="4"/>
  <c r="T138" i="4"/>
  <c r="J125" i="4"/>
  <c r="J87" i="4"/>
  <c r="T92" i="4"/>
  <c r="R95" i="4"/>
  <c r="J95" i="4" s="1"/>
  <c r="K28" i="4"/>
  <c r="N28" i="4" s="1"/>
  <c r="O28" i="4" s="1"/>
  <c r="T190" i="4"/>
  <c r="J91" i="4"/>
  <c r="O91" i="4" s="1"/>
  <c r="O43" i="4"/>
  <c r="N187" i="4"/>
  <c r="N126" i="4"/>
  <c r="U19" i="4"/>
  <c r="N177" i="4"/>
  <c r="S15" i="4"/>
  <c r="J93" i="4"/>
  <c r="K79" i="4"/>
  <c r="J199" i="4"/>
  <c r="N142" i="4"/>
  <c r="L87" i="4"/>
  <c r="T14" i="4"/>
  <c r="K78" i="4"/>
  <c r="N78" i="4" s="1"/>
  <c r="R78" i="4"/>
  <c r="O70" i="4"/>
  <c r="J161" i="4"/>
  <c r="J192" i="4"/>
  <c r="J160" i="4"/>
  <c r="O61" i="4"/>
  <c r="J41" i="4"/>
  <c r="J196" i="4"/>
  <c r="J177" i="4"/>
  <c r="K191" i="4"/>
  <c r="N191" i="4" s="1"/>
  <c r="O191" i="4" s="1"/>
  <c r="J187" i="4"/>
  <c r="O187" i="4" s="1"/>
  <c r="J145" i="4"/>
  <c r="O145" i="4" s="1"/>
  <c r="J44" i="4"/>
  <c r="O44" i="4" s="1"/>
  <c r="K143" i="4"/>
  <c r="R16" i="4"/>
  <c r="T166" i="4"/>
  <c r="T97" i="4"/>
  <c r="O108" i="4"/>
  <c r="U22" i="4"/>
  <c r="K176" i="4"/>
  <c r="N185" i="4"/>
  <c r="N160" i="4"/>
  <c r="K149" i="4"/>
  <c r="N149" i="4" s="1"/>
  <c r="J173" i="4"/>
  <c r="J55" i="4"/>
  <c r="N116" i="4"/>
  <c r="T66" i="4"/>
  <c r="J77" i="4"/>
  <c r="J18" i="4"/>
  <c r="U14" i="4"/>
  <c r="R105" i="4"/>
  <c r="J72" i="4"/>
  <c r="O72" i="4" s="1"/>
  <c r="N58" i="4"/>
  <c r="J51" i="4"/>
  <c r="O203" i="4"/>
  <c r="L129" i="4"/>
  <c r="T157" i="4"/>
  <c r="J121" i="4"/>
  <c r="O121" i="4" s="1"/>
  <c r="N61" i="4"/>
  <c r="T72" i="4"/>
  <c r="N34" i="4"/>
  <c r="K51" i="4"/>
  <c r="N51" i="4" s="1"/>
  <c r="R17" i="4"/>
  <c r="J17" i="4" s="1"/>
  <c r="O17" i="4" s="1"/>
  <c r="N101" i="4"/>
  <c r="T129" i="4"/>
  <c r="O73" i="4"/>
  <c r="O128" i="4"/>
  <c r="J147" i="4"/>
  <c r="N199" i="4"/>
  <c r="K31" i="4"/>
  <c r="L85" i="4"/>
  <c r="J58" i="4"/>
  <c r="T26" i="4"/>
  <c r="S26" i="4"/>
  <c r="N26" i="4" s="1"/>
  <c r="O26" i="4" s="1"/>
  <c r="U26" i="4"/>
  <c r="O114" i="4"/>
  <c r="O9" i="4"/>
  <c r="N144" i="4"/>
  <c r="O201" i="4"/>
  <c r="N94" i="4"/>
  <c r="U16" i="4"/>
  <c r="S16" i="4"/>
  <c r="J112" i="4"/>
  <c r="J124" i="4"/>
  <c r="J191" i="4"/>
  <c r="O24" i="4"/>
  <c r="R52" i="4"/>
  <c r="T16" i="4"/>
  <c r="J40" i="4"/>
  <c r="O40" i="4" s="1"/>
  <c r="N29" i="4"/>
  <c r="N23" i="4"/>
  <c r="K115" i="4"/>
  <c r="J152" i="4"/>
  <c r="O152" i="4" s="1"/>
  <c r="N152" i="4"/>
  <c r="T38" i="4"/>
  <c r="L95" i="4"/>
  <c r="N95" i="4" s="1"/>
  <c r="N184" i="4"/>
  <c r="N158" i="4"/>
  <c r="O158" i="4" s="1"/>
  <c r="T22" i="4"/>
  <c r="J134" i="4"/>
  <c r="O134" i="4" s="1"/>
  <c r="J171" i="4"/>
  <c r="T156" i="4"/>
  <c r="N140" i="4"/>
  <c r="R149" i="4"/>
  <c r="R197" i="4"/>
  <c r="J197" i="4" s="1"/>
  <c r="L31" i="4"/>
  <c r="K8" i="4"/>
  <c r="S21" i="4"/>
  <c r="T17" i="4"/>
  <c r="U17" i="4"/>
  <c r="N181" i="4"/>
  <c r="J49" i="4"/>
  <c r="O49" i="4" s="1"/>
  <c r="O140" i="4"/>
  <c r="J78" i="4"/>
  <c r="R26" i="4"/>
  <c r="N200" i="4"/>
  <c r="J184" i="4"/>
  <c r="O184" i="4" s="1"/>
  <c r="N129" i="4"/>
  <c r="O142" i="4"/>
  <c r="J194" i="4"/>
  <c r="J116" i="4"/>
  <c r="O116" i="4" s="1"/>
  <c r="R31" i="4"/>
  <c r="N30" i="4"/>
  <c r="O30" i="4" s="1"/>
  <c r="J26" i="4"/>
  <c r="S12" i="4"/>
  <c r="N12" i="4" s="1"/>
  <c r="J163" i="4"/>
  <c r="N102" i="4"/>
  <c r="T33" i="4"/>
  <c r="O11" i="4"/>
  <c r="O139" i="4"/>
  <c r="T130" i="4"/>
  <c r="R130" i="4"/>
  <c r="N175" i="4"/>
  <c r="R157" i="4"/>
  <c r="J157" i="4" s="1"/>
  <c r="J149" i="4"/>
  <c r="O149" i="4" s="1"/>
  <c r="U31" i="4"/>
  <c r="N75" i="4"/>
  <c r="R25" i="4"/>
  <c r="S25" i="4"/>
  <c r="R85" i="4"/>
  <c r="L72" i="4"/>
  <c r="N72" i="4" s="1"/>
  <c r="O102" i="4"/>
  <c r="J168" i="4"/>
  <c r="O168" i="4" s="1"/>
  <c r="O161" i="4"/>
  <c r="O93" i="4"/>
  <c r="J141" i="4"/>
  <c r="J175" i="4"/>
  <c r="J54" i="4"/>
  <c r="O54" i="4" s="1"/>
  <c r="J65" i="4"/>
  <c r="O65" i="4" s="1"/>
  <c r="N50" i="4"/>
  <c r="O50" i="4" s="1"/>
  <c r="O55" i="4"/>
  <c r="J153" i="4"/>
  <c r="J200" i="4"/>
  <c r="O200" i="4" s="1"/>
  <c r="O126" i="4"/>
  <c r="J23" i="4"/>
  <c r="O23" i="4" s="1"/>
  <c r="O101" i="4"/>
  <c r="O198" i="4"/>
  <c r="O13" i="4"/>
  <c r="O147" i="4"/>
  <c r="O57" i="4"/>
  <c r="O37" i="4"/>
  <c r="O78" i="4"/>
  <c r="J34" i="4"/>
  <c r="O34" i="4" s="1"/>
  <c r="T184" i="4"/>
  <c r="J180" i="4"/>
  <c r="T89" i="4"/>
  <c r="R89" i="4"/>
  <c r="J89" i="4" s="1"/>
  <c r="R190" i="4"/>
  <c r="J190" i="4" s="1"/>
  <c r="N79" i="4"/>
  <c r="J178" i="4"/>
  <c r="K193" i="4"/>
  <c r="N193" i="4" s="1"/>
  <c r="L25" i="4"/>
  <c r="H205" i="4"/>
  <c r="O47" i="4"/>
  <c r="R111" i="4"/>
  <c r="J111" i="4" s="1"/>
  <c r="O188" i="4"/>
  <c r="N164" i="4"/>
  <c r="O164" i="4" s="1"/>
  <c r="R153" i="4"/>
  <c r="J155" i="4"/>
  <c r="K153" i="4"/>
  <c r="R135" i="4"/>
  <c r="T191" i="4"/>
  <c r="R181" i="4"/>
  <c r="L143" i="4"/>
  <c r="N133" i="4"/>
  <c r="O133" i="4" s="1"/>
  <c r="O110" i="4"/>
  <c r="K32" i="4"/>
  <c r="N32" i="4" s="1"/>
  <c r="J32" i="4"/>
  <c r="J162" i="4"/>
  <c r="R113" i="4"/>
  <c r="J113" i="4" s="1"/>
  <c r="K113" i="4"/>
  <c r="N113" i="4" s="1"/>
  <c r="J29" i="4"/>
  <c r="O29" i="4" s="1"/>
  <c r="J15" i="4"/>
  <c r="K15" i="4"/>
  <c r="N15" i="4" s="1"/>
  <c r="K19" i="4"/>
  <c r="N19" i="4" s="1"/>
  <c r="J151" i="4"/>
  <c r="O151" i="4" s="1"/>
  <c r="N123" i="4"/>
  <c r="O123" i="4" s="1"/>
  <c r="K192" i="4"/>
  <c r="N192" i="4" s="1"/>
  <c r="O192" i="4" s="1"/>
  <c r="K157" i="4"/>
  <c r="N157" i="4" s="1"/>
  <c r="L180" i="4"/>
  <c r="L170" i="4"/>
  <c r="N170" i="4" s="1"/>
  <c r="O170" i="4" s="1"/>
  <c r="K87" i="4"/>
  <c r="N87" i="4" s="1"/>
  <c r="O87" i="4" s="1"/>
  <c r="K104" i="4"/>
  <c r="T59" i="4"/>
  <c r="L92" i="4"/>
  <c r="N92" i="4" s="1"/>
  <c r="I205" i="4"/>
  <c r="J105" i="4"/>
  <c r="T117" i="4"/>
  <c r="L117" i="4"/>
  <c r="N117" i="4" s="1"/>
  <c r="K107" i="4"/>
  <c r="N107" i="4" s="1"/>
  <c r="O107" i="4" s="1"/>
  <c r="T78" i="4"/>
  <c r="T196" i="4"/>
  <c r="T177" i="4"/>
  <c r="T193" i="4"/>
  <c r="L153" i="4"/>
  <c r="O83" i="4"/>
  <c r="L33" i="4"/>
  <c r="K33" i="4"/>
  <c r="N33" i="4" s="1"/>
  <c r="J33" i="4"/>
  <c r="T100" i="4"/>
  <c r="L100" i="4"/>
  <c r="K100" i="4"/>
  <c r="N100" i="4" s="1"/>
  <c r="J100" i="4"/>
  <c r="T74" i="4"/>
  <c r="L74" i="4"/>
  <c r="K74" i="4"/>
  <c r="K16" i="4"/>
  <c r="L16" i="4"/>
  <c r="J16" i="4"/>
  <c r="T39" i="4"/>
  <c r="L39" i="4"/>
  <c r="J39" i="4"/>
  <c r="K39" i="4"/>
  <c r="J185" i="4"/>
  <c r="O185" i="4" s="1"/>
  <c r="T176" i="4"/>
  <c r="R144" i="4"/>
  <c r="J144" i="4" s="1"/>
  <c r="L148" i="4"/>
  <c r="T133" i="4"/>
  <c r="T199" i="4"/>
  <c r="L192" i="4"/>
  <c r="L174" i="4"/>
  <c r="N174" i="4" s="1"/>
  <c r="T118" i="4"/>
  <c r="J118" i="4"/>
  <c r="O118" i="4" s="1"/>
  <c r="R176" i="4"/>
  <c r="J176" i="4" s="1"/>
  <c r="L197" i="4"/>
  <c r="K197" i="4"/>
  <c r="J31" i="4"/>
  <c r="T55" i="4"/>
  <c r="T8" i="4"/>
  <c r="S8" i="4"/>
  <c r="T41" i="4"/>
  <c r="J25" i="4"/>
  <c r="L5" i="4"/>
  <c r="T77" i="4"/>
  <c r="R90" i="4"/>
  <c r="J90" i="4" s="1"/>
  <c r="J117" i="4"/>
  <c r="R36" i="4"/>
  <c r="J36" i="4" s="1"/>
  <c r="N176" i="4"/>
  <c r="J174" i="4"/>
  <c r="R167" i="4"/>
  <c r="J167" i="4" s="1"/>
  <c r="T141" i="4"/>
  <c r="K195" i="4"/>
  <c r="K125" i="4"/>
  <c r="L125" i="4"/>
  <c r="K42" i="4"/>
  <c r="T29" i="4"/>
  <c r="J35" i="4"/>
  <c r="O35" i="4" s="1"/>
  <c r="K105" i="4"/>
  <c r="N105" i="4" s="1"/>
  <c r="T50" i="4"/>
  <c r="R79" i="4"/>
  <c r="J79" i="4" s="1"/>
  <c r="O79" i="4" s="1"/>
  <c r="O119" i="4"/>
  <c r="T153" i="4"/>
  <c r="K99" i="4"/>
  <c r="K36" i="4"/>
  <c r="L22" i="4"/>
  <c r="K22" i="4"/>
  <c r="N22" i="4" s="1"/>
  <c r="N64" i="4"/>
  <c r="O64" i="4" s="1"/>
  <c r="N163" i="4"/>
  <c r="O163" i="4" s="1"/>
  <c r="T79" i="4"/>
  <c r="T146" i="4"/>
  <c r="R22" i="4"/>
  <c r="J22" i="4" s="1"/>
  <c r="J130" i="4"/>
  <c r="L141" i="4"/>
  <c r="N141" i="4" s="1"/>
  <c r="J104" i="4"/>
  <c r="L104" i="4"/>
  <c r="K38" i="4"/>
  <c r="N38" i="4" s="1"/>
  <c r="J85" i="4"/>
  <c r="J27" i="4"/>
  <c r="T27" i="4"/>
  <c r="K103" i="4"/>
  <c r="N103" i="4" s="1"/>
  <c r="J12" i="4"/>
  <c r="J193" i="4"/>
  <c r="O193" i="4" s="1"/>
  <c r="N173" i="4"/>
  <c r="O173" i="4" s="1"/>
  <c r="J182" i="4"/>
  <c r="O182" i="4" s="1"/>
  <c r="T189" i="4"/>
  <c r="T170" i="4"/>
  <c r="O82" i="4"/>
  <c r="L99" i="4"/>
  <c r="L36" i="4"/>
  <c r="L171" i="4"/>
  <c r="N171" i="4" s="1"/>
  <c r="O171" i="4" s="1"/>
  <c r="K130" i="4"/>
  <c r="L137" i="4"/>
  <c r="J172" i="4"/>
  <c r="J127" i="4"/>
  <c r="O127" i="4" s="1"/>
  <c r="J169" i="4"/>
  <c r="O169" i="4" s="1"/>
  <c r="T149" i="4"/>
  <c r="L162" i="4"/>
  <c r="N162" i="4" s="1"/>
  <c r="L42" i="4"/>
  <c r="J109" i="4"/>
  <c r="O109" i="4" s="1"/>
  <c r="K85" i="4"/>
  <c r="N85" i="4" s="1"/>
  <c r="K6" i="4"/>
  <c r="K41" i="4"/>
  <c r="R99" i="4"/>
  <c r="J99" i="4" s="1"/>
  <c r="L52" i="4"/>
  <c r="K52" i="4"/>
  <c r="N52" i="4" s="1"/>
  <c r="J52" i="4"/>
  <c r="J195" i="4"/>
  <c r="K80" i="4"/>
  <c r="N80" i="4" s="1"/>
  <c r="J80" i="4"/>
  <c r="K189" i="4"/>
  <c r="N189" i="4" s="1"/>
  <c r="L48" i="4"/>
  <c r="K48" i="4"/>
  <c r="N178" i="4"/>
  <c r="K89" i="4"/>
  <c r="N89" i="4" s="1"/>
  <c r="K202" i="4"/>
  <c r="N202" i="4" s="1"/>
  <c r="J148" i="4"/>
  <c r="T140" i="4"/>
  <c r="J202" i="4"/>
  <c r="L138" i="4"/>
  <c r="N138" i="4" s="1"/>
  <c r="O138" i="4" s="1"/>
  <c r="R146" i="4"/>
  <c r="J146" i="4" s="1"/>
  <c r="R166" i="4"/>
  <c r="R189" i="4"/>
  <c r="J120" i="4"/>
  <c r="L8" i="4"/>
  <c r="N8" i="4" s="1"/>
  <c r="T25" i="4"/>
  <c r="K5" i="4"/>
  <c r="L41" i="4"/>
  <c r="Q205" i="4"/>
  <c r="R5" i="4"/>
  <c r="J5" i="4" s="1"/>
  <c r="L107" i="4"/>
  <c r="O67" i="4"/>
  <c r="R38" i="4"/>
  <c r="J38" i="4" s="1"/>
  <c r="O38" i="4" s="1"/>
  <c r="T42" i="4"/>
  <c r="N155" i="4"/>
  <c r="T52" i="4"/>
  <c r="J159" i="4"/>
  <c r="O159" i="4" s="1"/>
  <c r="R165" i="4"/>
  <c r="J165" i="4" s="1"/>
  <c r="T36" i="4"/>
  <c r="K63" i="4"/>
  <c r="N63" i="4" s="1"/>
  <c r="O63" i="4" s="1"/>
  <c r="N86" i="4"/>
  <c r="O86" i="4" s="1"/>
  <c r="J129" i="4"/>
  <c r="O129" i="4" s="1"/>
  <c r="T147" i="4"/>
  <c r="K137" i="4"/>
  <c r="L120" i="4"/>
  <c r="N120" i="4" s="1"/>
  <c r="L59" i="4"/>
  <c r="N59" i="4" s="1"/>
  <c r="R59" i="4"/>
  <c r="J59" i="4" s="1"/>
  <c r="J14" i="4"/>
  <c r="O14" i="4" s="1"/>
  <c r="T104" i="4"/>
  <c r="J84" i="4"/>
  <c r="N190" i="4"/>
  <c r="O177" i="4"/>
  <c r="T165" i="4"/>
  <c r="L172" i="4"/>
  <c r="N172" i="4" s="1"/>
  <c r="T172" i="4"/>
  <c r="T111" i="4"/>
  <c r="K111" i="4"/>
  <c r="N111" i="4" s="1"/>
  <c r="L68" i="4"/>
  <c r="K68" i="4"/>
  <c r="N68" i="4" s="1"/>
  <c r="J68" i="4"/>
  <c r="N194" i="4"/>
  <c r="O194" i="4" s="1"/>
  <c r="T159" i="4"/>
  <c r="N124" i="4"/>
  <c r="O124" i="4" s="1"/>
  <c r="J181" i="4"/>
  <c r="O181" i="4" s="1"/>
  <c r="J62" i="4"/>
  <c r="O62" i="4" s="1"/>
  <c r="J19" i="4"/>
  <c r="O19" i="4" s="1"/>
  <c r="N196" i="4"/>
  <c r="O196" i="4" s="1"/>
  <c r="K81" i="4"/>
  <c r="L81" i="4"/>
  <c r="J81" i="4"/>
  <c r="J189" i="4"/>
  <c r="O189" i="4" s="1"/>
  <c r="J166" i="4"/>
  <c r="L97" i="4"/>
  <c r="K97" i="4"/>
  <c r="T112" i="4"/>
  <c r="K112" i="4"/>
  <c r="N112" i="4" s="1"/>
  <c r="O112" i="4" s="1"/>
  <c r="L112" i="4"/>
  <c r="R98" i="4"/>
  <c r="J98" i="4" s="1"/>
  <c r="R48" i="4"/>
  <c r="J48" i="4" s="1"/>
  <c r="K156" i="4"/>
  <c r="N156" i="4" s="1"/>
  <c r="R143" i="4"/>
  <c r="J143" i="4" s="1"/>
  <c r="T202" i="4"/>
  <c r="T167" i="4"/>
  <c r="K167" i="4"/>
  <c r="N167" i="4" s="1"/>
  <c r="R97" i="4"/>
  <c r="J97" i="4" s="1"/>
  <c r="R92" i="4"/>
  <c r="J92" i="4" s="1"/>
  <c r="M205" i="4"/>
  <c r="R66" i="4"/>
  <c r="J66" i="4" s="1"/>
  <c r="O66" i="4" s="1"/>
  <c r="O69" i="4"/>
  <c r="T135" i="4"/>
  <c r="J135" i="4"/>
  <c r="T90" i="4"/>
  <c r="L90" i="4"/>
  <c r="K90" i="4"/>
  <c r="N90" i="4" s="1"/>
  <c r="L56" i="4"/>
  <c r="J56" i="4"/>
  <c r="K56" i="4"/>
  <c r="N56" i="4" s="1"/>
  <c r="U6" i="4"/>
  <c r="K166" i="4"/>
  <c r="L96" i="4"/>
  <c r="N96" i="4" s="1"/>
  <c r="T96" i="4"/>
  <c r="R96" i="4"/>
  <c r="J96" i="4" s="1"/>
  <c r="J46" i="4"/>
  <c r="O46" i="4" s="1"/>
  <c r="N154" i="4"/>
  <c r="O154" i="4" s="1"/>
  <c r="K98" i="4"/>
  <c r="N98" i="4" s="1"/>
  <c r="N132" i="4"/>
  <c r="O132" i="4" s="1"/>
  <c r="K165" i="4"/>
  <c r="N165" i="4" s="1"/>
  <c r="K180" i="4"/>
  <c r="N180" i="4" s="1"/>
  <c r="R42" i="4"/>
  <c r="J42" i="4" s="1"/>
  <c r="J94" i="4"/>
  <c r="O94" i="4" s="1"/>
  <c r="R103" i="4"/>
  <c r="J103" i="4" s="1"/>
  <c r="O103" i="4" s="1"/>
  <c r="K84" i="4"/>
  <c r="N84" i="4" s="1"/>
  <c r="J10" i="4"/>
  <c r="O10" i="4" s="1"/>
  <c r="N146" i="4"/>
  <c r="N143" i="4"/>
  <c r="O53" i="4"/>
  <c r="L166" i="4"/>
  <c r="T6" i="4"/>
  <c r="N115" i="4"/>
  <c r="O115" i="4" s="1"/>
  <c r="R156" i="4"/>
  <c r="J156" i="4" s="1"/>
  <c r="O156" i="4" s="1"/>
  <c r="L130" i="4"/>
  <c r="N77" i="4"/>
  <c r="O77" i="4" s="1"/>
  <c r="N18" i="4"/>
  <c r="O18" i="4" s="1"/>
  <c r="F205" i="4"/>
  <c r="S5" i="4"/>
  <c r="S205" i="4" s="1"/>
  <c r="T5" i="4"/>
  <c r="K27" i="4"/>
  <c r="N27" i="4" s="1"/>
  <c r="L6" i="4"/>
  <c r="N136" i="4"/>
  <c r="O136" i="4" s="1"/>
  <c r="N76" i="4"/>
  <c r="O76" i="4" s="1"/>
  <c r="T56" i="4"/>
  <c r="R6" i="4"/>
  <c r="J6" i="4" s="1"/>
  <c r="L195" i="4"/>
  <c r="T144" i="4"/>
  <c r="K135" i="4"/>
  <c r="N135" i="4" s="1"/>
  <c r="L89" i="4"/>
  <c r="L165" i="4"/>
  <c r="K148" i="4"/>
  <c r="N148" i="4" s="1"/>
  <c r="K25" i="4"/>
  <c r="N25" i="4" s="1"/>
  <c r="N21" i="4"/>
  <c r="O21" i="4" s="1"/>
  <c r="G205" i="4"/>
  <c r="T103" i="4"/>
  <c r="L27" i="4"/>
  <c r="R8" i="4"/>
  <c r="J8" i="4" s="1"/>
  <c r="U205" i="4" l="1"/>
  <c r="N125" i="4"/>
  <c r="O125" i="4" s="1"/>
  <c r="N31" i="4"/>
  <c r="O160" i="4"/>
  <c r="N99" i="4"/>
  <c r="N153" i="4"/>
  <c r="O113" i="4"/>
  <c r="O89" i="4"/>
  <c r="O143" i="4"/>
  <c r="O144" i="4"/>
  <c r="O175" i="4"/>
  <c r="O51" i="4"/>
  <c r="O31" i="4"/>
  <c r="O157" i="4"/>
  <c r="O12" i="4"/>
  <c r="N39" i="4"/>
  <c r="O75" i="4"/>
  <c r="O99" i="4"/>
  <c r="O176" i="4"/>
  <c r="O90" i="4"/>
  <c r="O58" i="4"/>
  <c r="O199" i="4"/>
  <c r="N97" i="4"/>
  <c r="O97" i="4" s="1"/>
  <c r="O84" i="4"/>
  <c r="O165" i="4"/>
  <c r="O95" i="4"/>
  <c r="O59" i="4"/>
  <c r="J205" i="4"/>
  <c r="O96" i="4"/>
  <c r="O92" i="4"/>
  <c r="K205" i="4"/>
  <c r="N5" i="4"/>
  <c r="O5" i="4" s="1"/>
  <c r="O85" i="4"/>
  <c r="N42" i="4"/>
  <c r="O42" i="4" s="1"/>
  <c r="O39" i="4"/>
  <c r="O32" i="4"/>
  <c r="O153" i="4"/>
  <c r="O120" i="4"/>
  <c r="N81" i="4"/>
  <c r="O81" i="4" s="1"/>
  <c r="O80" i="4"/>
  <c r="O180" i="4"/>
  <c r="N36" i="4"/>
  <c r="O33" i="4"/>
  <c r="O105" i="4"/>
  <c r="O36" i="4"/>
  <c r="O27" i="4"/>
  <c r="O117" i="4"/>
  <c r="N137" i="4"/>
  <c r="O137" i="4" s="1"/>
  <c r="O146" i="4"/>
  <c r="N195" i="4"/>
  <c r="O195" i="4" s="1"/>
  <c r="L205" i="4"/>
  <c r="O202" i="4"/>
  <c r="O104" i="4"/>
  <c r="O25" i="4"/>
  <c r="R205" i="4"/>
  <c r="O52" i="4"/>
  <c r="O167" i="4"/>
  <c r="O98" i="4"/>
  <c r="T205" i="4"/>
  <c r="O135" i="4"/>
  <c r="O8" i="4"/>
  <c r="N166" i="4"/>
  <c r="O166" i="4" s="1"/>
  <c r="O148" i="4"/>
  <c r="O174" i="4"/>
  <c r="N16" i="4"/>
  <c r="O16" i="4" s="1"/>
  <c r="O15" i="4"/>
  <c r="O178" i="4"/>
  <c r="O141" i="4"/>
  <c r="O172" i="4"/>
  <c r="O22" i="4"/>
  <c r="N74" i="4"/>
  <c r="O74" i="4" s="1"/>
  <c r="N104" i="4"/>
  <c r="O190" i="4"/>
  <c r="O56" i="4"/>
  <c r="O68" i="4"/>
  <c r="N41" i="4"/>
  <c r="O41" i="4" s="1"/>
  <c r="N130" i="4"/>
  <c r="O130" i="4" s="1"/>
  <c r="O155" i="4"/>
  <c r="N48" i="4"/>
  <c r="O48" i="4" s="1"/>
  <c r="N6" i="4"/>
  <c r="O6" i="4" s="1"/>
  <c r="O111" i="4"/>
  <c r="N197" i="4"/>
  <c r="O197" i="4" s="1"/>
  <c r="O100" i="4"/>
  <c r="O162" i="4"/>
  <c r="O205" i="4" l="1"/>
  <c r="E7" i="9"/>
  <c r="S12" i="1"/>
  <c r="N205" i="4"/>
</calcChain>
</file>

<file path=xl/sharedStrings.xml><?xml version="1.0" encoding="utf-8"?>
<sst xmlns="http://schemas.openxmlformats.org/spreadsheetml/2006/main" count="1920" uniqueCount="531">
  <si>
    <t>نظام إدارة الموارد البشرية</t>
  </si>
  <si>
    <t>HR Management System  |  2026</t>
  </si>
  <si>
    <t>👥  إجمالي الموظفين</t>
  </si>
  <si>
    <t>✅  معدل الحضور</t>
  </si>
  <si>
    <t>💰  إجمالي الرواتب</t>
  </si>
  <si>
    <t>مؤشر حي | يتحدث تلقائياً</t>
  </si>
  <si>
    <t>🌴  طلبات إجازة معلقة</t>
  </si>
  <si>
    <t>📊  متوسط تقييم الأداء</t>
  </si>
  <si>
    <t>🎯  مرشحو التوظيف</t>
  </si>
  <si>
    <t>📋  توزيع الموظفين والرواتب بالأقسام</t>
  </si>
  <si>
    <t>القسم</t>
  </si>
  <si>
    <t>عدد الموظفين</t>
  </si>
  <si>
    <t>إجمالي الرواتب</t>
  </si>
  <si>
    <t>متوسط الراتب</t>
  </si>
  <si>
    <t>نسبة من الكل</t>
  </si>
  <si>
    <t>مؤشر الأداء</t>
  </si>
  <si>
    <t>الموارد البشرية</t>
  </si>
  <si>
    <t>المحاسبة</t>
  </si>
  <si>
    <t>المبيعات</t>
  </si>
  <si>
    <t>خدمة العملاء</t>
  </si>
  <si>
    <t>تقنية المعلومات</t>
  </si>
  <si>
    <t>العمليات</t>
  </si>
  <si>
    <t>التسويق</t>
  </si>
  <si>
    <t>الإدارة</t>
  </si>
  <si>
    <t>الإجمالي</t>
  </si>
  <si>
    <t>100%</t>
  </si>
  <si>
    <t>🔗  انتقل إلى — التنقل السريع بين أوراق النظام</t>
  </si>
  <si>
    <t>👥 بيانات الموظفين</t>
  </si>
  <si>
    <t>📅 الحضور</t>
  </si>
  <si>
    <t>💰 الرواتب</t>
  </si>
  <si>
    <t>🌴 الإجازات</t>
  </si>
  <si>
    <t>قاعدة بيانات الموظفين</t>
  </si>
  <si>
    <t>سجل الحضور اليومي</t>
  </si>
  <si>
    <t>كشف الرواتب الشهري</t>
  </si>
  <si>
    <t>إدارة الإجازات</t>
  </si>
  <si>
    <t>➕ الخصومات</t>
  </si>
  <si>
    <t>📊 KPI الأداء</t>
  </si>
  <si>
    <t>🎯 التوظيف</t>
  </si>
  <si>
    <t>📈 التقارير</t>
  </si>
  <si>
    <t>الخصومات والمكافآت</t>
  </si>
  <si>
    <t>مؤشرات الأداء</t>
  </si>
  <si>
    <t>مسار التوظيف</t>
  </si>
  <si>
    <t>التقارير والتحليلات</t>
  </si>
  <si>
    <t>👥 قاعدة بيانات الموظفين</t>
  </si>
  <si>
    <t>Employee Database — يتم تحديثها تلقائياً مع باقي الأوراق</t>
  </si>
  <si>
    <t>م</t>
  </si>
  <si>
    <t>رقم الموظف</t>
  </si>
  <si>
    <t>الاسم الكامل</t>
  </si>
  <si>
    <t>الجنسية</t>
  </si>
  <si>
    <t>المسمى الوظيفي</t>
  </si>
  <si>
    <t>الحالة</t>
  </si>
  <si>
    <t>الراتب الأساسي</t>
  </si>
  <si>
    <t>بدل السكن</t>
  </si>
  <si>
    <t>بدل النقل</t>
  </si>
  <si>
    <t>إجمالي الراتب</t>
  </si>
  <si>
    <t>تاريخ التعيين</t>
  </si>
  <si>
    <t>سنوات الخدمة</t>
  </si>
  <si>
    <t>رقم الهوية</t>
  </si>
  <si>
    <t>رقم الجوال</t>
  </si>
  <si>
    <t>البريد الإلكتروني</t>
  </si>
  <si>
    <t>رصيد الإجازة</t>
  </si>
  <si>
    <t>المدير المباشر</t>
  </si>
  <si>
    <t>ملاحظات</t>
  </si>
  <si>
    <t>EMP001</t>
  </si>
  <si>
    <t>سعودي</t>
  </si>
  <si>
    <t>نشط</t>
  </si>
  <si>
    <t>EMP002</t>
  </si>
  <si>
    <t>سعودية</t>
  </si>
  <si>
    <t>محاسبة أولى</t>
  </si>
  <si>
    <t>EMP003</t>
  </si>
  <si>
    <t>مندوب مبيعات</t>
  </si>
  <si>
    <t>مدير المبيعات</t>
  </si>
  <si>
    <t>EMP004</t>
  </si>
  <si>
    <t>مدير العمليات</t>
  </si>
  <si>
    <t>EMP005</t>
  </si>
  <si>
    <t>📅 سجل الحضور والانصراف</t>
  </si>
  <si>
    <t>Attendance Register — مرتبط تلقائياً بقاعدة بيانات الموظفين</t>
  </si>
  <si>
    <t>الشهر:</t>
  </si>
  <si>
    <t>السنة:</t>
  </si>
  <si>
    <t>اسم الموظف</t>
  </si>
  <si>
    <t>التاريخ</t>
  </si>
  <si>
    <t>وقت الدخول</t>
  </si>
  <si>
    <t>وقت الخروج</t>
  </si>
  <si>
    <t>ساعات العمل</t>
  </si>
  <si>
    <t>التأخير (دقائق)</t>
  </si>
  <si>
    <t>ساعات إضافية</t>
  </si>
  <si>
    <t>حاضر</t>
  </si>
  <si>
    <t>متأخر</t>
  </si>
  <si>
    <t>غائب</t>
  </si>
  <si>
    <t>غياب بدون إذن</t>
  </si>
  <si>
    <t>💰 كشف الرواتب الشهري</t>
  </si>
  <si>
    <t>Monthly Payroll — محسوب تلقائياً من بيانات الموظفين والحضور</t>
  </si>
  <si>
    <t>أيام العمل</t>
  </si>
  <si>
    <t>المكافآت</t>
  </si>
  <si>
    <t>إجمالي المستحقات</t>
  </si>
  <si>
    <t>خصم الغياب</t>
  </si>
  <si>
    <t>خصم التأخير</t>
  </si>
  <si>
    <t>خصومات أخرى</t>
  </si>
  <si>
    <t>إجمالي الخصومات</t>
  </si>
  <si>
    <t>صافي الراتب</t>
  </si>
  <si>
    <t>حالة الصرف</t>
  </si>
  <si>
    <t>الإجمالي الكلي</t>
  </si>
  <si>
    <t>🌴 إدارة الإجازات والرصيد</t>
  </si>
  <si>
    <t>Leave Management — يتم تحديث الرصيد تلقائياً</t>
  </si>
  <si>
    <t>نوع الإجازة</t>
  </si>
  <si>
    <t>تاريخ البداية</t>
  </si>
  <si>
    <t>تاريخ النهاية</t>
  </si>
  <si>
    <t>عدد الأيام</t>
  </si>
  <si>
    <t>الرصيد المتبقي</t>
  </si>
  <si>
    <t>سبب الإجازة</t>
  </si>
  <si>
    <t>اعتمد من</t>
  </si>
  <si>
    <t>➕ الخصومات والمكافآت</t>
  </si>
  <si>
    <t>Deductions &amp; Bonuses — مرتبطة تلقائياً بكشف الرواتب</t>
  </si>
  <si>
    <t>النوع</t>
  </si>
  <si>
    <t>الفئة</t>
  </si>
  <si>
    <t>المبلغ</t>
  </si>
  <si>
    <t>الشهر المطبق</t>
  </si>
  <si>
    <t>السبب</t>
  </si>
  <si>
    <t>📊 مؤشرات الأداء الوظيفي KPI</t>
  </si>
  <si>
    <t>Performance Management — ربع سنوي ومرتبط بالرواتب</t>
  </si>
  <si>
    <t>الفترة</t>
  </si>
  <si>
    <t>جودة العمل /20</t>
  </si>
  <si>
    <t>الالتزام بالوقت /20</t>
  </si>
  <si>
    <t>التعاون /20</t>
  </si>
  <si>
    <t>الإنتاجية /20</t>
  </si>
  <si>
    <t>المبادرة /20</t>
  </si>
  <si>
    <t>المجموع /100</t>
  </si>
  <si>
    <t>التقييم</t>
  </si>
  <si>
    <t>المكافأة المقترحة</t>
  </si>
  <si>
    <t>ملاحظات المدير</t>
  </si>
  <si>
    <t>🎯 متابعة مسار التوظيف</t>
  </si>
  <si>
    <t>Recruitment Pipeline — من الطلب حتى التعيين</t>
  </si>
  <si>
    <t>رقم الطلب</t>
  </si>
  <si>
    <t>تاريخ الطلب</t>
  </si>
  <si>
    <t>المرحلة</t>
  </si>
  <si>
    <t>اسم المرشح</t>
  </si>
  <si>
    <t>مصدر التوظيف</t>
  </si>
  <si>
    <t>تاريخ المقابلة</t>
  </si>
  <si>
    <t>نتيجة المقابلة</t>
  </si>
  <si>
    <t>الراتب المطلوب</t>
  </si>
  <si>
    <t>الراتب المعروض</t>
  </si>
  <si>
    <t>تاريخ التعيين المتوقع</t>
  </si>
  <si>
    <t>📈 التقارير والتحليلات</t>
  </si>
  <si>
    <t>HR Analytics Dashboard — مُحدَّث تلقائياً من جميع الأوراق</t>
  </si>
  <si>
    <t>📊 ملخص الموظفين</t>
  </si>
  <si>
    <t>إجمالي الموظفين</t>
  </si>
  <si>
    <t>الموظفون النشطون</t>
  </si>
  <si>
    <t>إجمالي الرواتب الشهري</t>
  </si>
  <si>
    <t>معدل الحضور الشهري</t>
  </si>
  <si>
    <t>طلبات الإجازة المعلقة</t>
  </si>
  <si>
    <t>مرشحو التوظيف النشطون</t>
  </si>
  <si>
    <t>متوسط تقييم الأداء</t>
  </si>
  <si>
    <t>📋 توزيع الموظفين بالأقسام</t>
  </si>
  <si>
    <t>النسبة %</t>
  </si>
  <si>
    <t>⚙️ إعدادات النظام</t>
  </si>
  <si>
    <t>Source-of-truth — كل صيغ النظام تقرأ من هنا</t>
  </si>
  <si>
    <t>شهر التشغيل (1-12)</t>
  </si>
  <si>
    <t>سنة التشغيل</t>
  </si>
  <si>
    <t>فترة التشغيل (شهر-سنة)</t>
  </si>
  <si>
    <t>أيام العمل في الشهر</t>
  </si>
  <si>
    <t>ساعات العمل اليومية</t>
  </si>
  <si>
    <t>ساعات الشهر القياسية</t>
  </si>
  <si>
    <t>نسبة OT العادي</t>
  </si>
  <si>
    <t>نسبة OT العطل/الجمعة</t>
  </si>
  <si>
    <t>GOSI - حصة الموظف (سعودي)</t>
  </si>
  <si>
    <t>GOSI - حصة الشركة (سعودي)</t>
  </si>
  <si>
    <t>GOSI - الحد الأعلى (ريال)</t>
  </si>
  <si>
    <t>إجازة سنوية - أول 5 سنوات</t>
  </si>
  <si>
    <t>إجازة سنوية - بعد 5 سنوات</t>
  </si>
  <si>
    <t>العملة</t>
  </si>
  <si>
    <t>ريال</t>
  </si>
  <si>
    <t>تحذير انتهاء (يوم)</t>
  </si>
  <si>
    <t>قوائم القيم</t>
  </si>
  <si>
    <t>الأقسام</t>
  </si>
  <si>
    <t>حالة الموظف</t>
  </si>
  <si>
    <t>موقوف</t>
  </si>
  <si>
    <t>إجازة بدون راتب</t>
  </si>
  <si>
    <t>منتهي الخدمة</t>
  </si>
  <si>
    <t>حالة الحضور</t>
  </si>
  <si>
    <t>إجازة</t>
  </si>
  <si>
    <t>عطلة رسمية</t>
  </si>
  <si>
    <t>سنوية</t>
  </si>
  <si>
    <t>مرضية</t>
  </si>
  <si>
    <t>اضطرارية</t>
  </si>
  <si>
    <t>أمومة</t>
  </si>
  <si>
    <t>حج</t>
  </si>
  <si>
    <t>زواج</t>
  </si>
  <si>
    <t>وفاة</t>
  </si>
  <si>
    <t>بدون راتب</t>
  </si>
  <si>
    <t>نوع العقد</t>
  </si>
  <si>
    <t>دائم</t>
  </si>
  <si>
    <t>محدد المدة</t>
  </si>
  <si>
    <t>تجربة</t>
  </si>
  <si>
    <t>موسمي</t>
  </si>
  <si>
    <t>حالة الإجازة</t>
  </si>
  <si>
    <t>قيد المراجعة</t>
  </si>
  <si>
    <t>معتمدة</t>
  </si>
  <si>
    <t>مرفوضة</t>
  </si>
  <si>
    <t>ملغاة</t>
  </si>
  <si>
    <t>تنبيه</t>
  </si>
  <si>
    <t>إجازة سنوية مستحقة</t>
  </si>
  <si>
    <t>EOSB المستحقة</t>
  </si>
  <si>
    <t>التأمين الطبي</t>
  </si>
  <si>
    <t>IBAN</t>
  </si>
  <si>
    <t>رقم GOSI</t>
  </si>
  <si>
    <t>تاريخ انتهاء الإقامة</t>
  </si>
  <si>
    <t>نهاية فترة التجربة</t>
  </si>
  <si>
    <t>نهاية العقد</t>
  </si>
  <si>
    <t>بداية العقد</t>
  </si>
  <si>
    <t>SA0398765432109876543210</t>
  </si>
  <si>
    <t>SA0312345678901234567890</t>
  </si>
  <si>
    <t>SA0344445555666677778888</t>
  </si>
  <si>
    <t>SA0399998888777766665555</t>
  </si>
  <si>
    <t>SA0311112222333344445555</t>
  </si>
  <si>
    <t>شهر-سنة</t>
  </si>
  <si>
    <t>حصة GOSI (شركة)</t>
  </si>
  <si>
    <t>خصم GOSI (موظف)</t>
  </si>
  <si>
    <t>بدل OT</t>
  </si>
  <si>
    <t>OT (ساعات)</t>
  </si>
  <si>
    <t>EOSB استحقاق هذا الشهر</t>
  </si>
  <si>
    <t>قيد الصرف</t>
  </si>
  <si>
    <t>🚨  تنبيهات حرجة</t>
  </si>
  <si>
    <t>البند</t>
  </si>
  <si>
    <t>العدد</t>
  </si>
  <si>
    <t>تواصل مع الجوازات / مكتب العمل</t>
  </si>
  <si>
    <t>ابدأ إجراءات التجديد</t>
  </si>
  <si>
    <t>مراجعة سجل الإجازات</t>
  </si>
  <si>
    <t>إجراء تأديبي محتمل</t>
  </si>
  <si>
    <t>تتحدث تلقائياً من بيانات الموظفين والحضور</t>
  </si>
  <si>
    <t>ملاحظة</t>
  </si>
  <si>
    <t>🆔 إقامات تنتهي خلال 60 يوم</t>
  </si>
  <si>
    <t>📜 عقود تنتهي خلال 60 يوم</t>
  </si>
  <si>
    <t>🟡 فترات تجربة تنتهي خلال 30 يوم</t>
  </si>
  <si>
    <t>اتخاذ قرار التثبيت أو الإنهاء</t>
  </si>
  <si>
    <t>🌴 موظفون رصيد إجازتهم سالب</t>
  </si>
  <si>
    <t>❌ غيابات بدون إذن هذا الشهر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</si>
  <si>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</si>
  <si>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</si>
  <si>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</si>
  <si>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</si>
  <si>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</si>
  <si>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</si>
  <si>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</si>
  <si>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</si>
  <si>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</si>
  <si>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</si>
  <si>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</si>
  <si>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</si>
  <si>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</si>
  <si>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</si>
  <si>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</si>
  <si>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</si>
  <si>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</si>
  <si>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</si>
  <si>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</si>
  <si>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</si>
  <si>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</si>
  <si>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</si>
  <si>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</si>
  <si>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</si>
  <si>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</si>
  <si>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عبدالعزيز محمد العتيبي</t>
  </si>
  <si>
    <t>فاطمة سعد الزهراني</t>
  </si>
  <si>
    <t>خالد عبدالرحمن الدوسري</t>
  </si>
  <si>
    <t>سلطان فيصل القحطاني</t>
  </si>
  <si>
    <t>Rajesh Kumar Sharma</t>
  </si>
  <si>
    <t>Mohamed Ahmed Hassan</t>
  </si>
  <si>
    <t>نورة عبدالله الشمري</t>
  </si>
  <si>
    <t>عبدالرحمن خالد المالكي</t>
  </si>
  <si>
    <t>Ali Hassan Khan</t>
  </si>
  <si>
    <t>ريم سعود العنزي</t>
  </si>
  <si>
    <t>فهد عبدالله الشهري</t>
  </si>
  <si>
    <t>ماجد سلطان الغامدي</t>
  </si>
  <si>
    <t>سارة أحمد الحربي</t>
  </si>
  <si>
    <t>بدر فهد المطيري</t>
  </si>
  <si>
    <t>Omar Khalid Mansour</t>
  </si>
  <si>
    <t>هند ناصر القرشي</t>
  </si>
  <si>
    <t>عبدالملك سعد التميمي</t>
  </si>
  <si>
    <t>لمى محمد البرقاوي</t>
  </si>
  <si>
    <t>Maria Garcia Lopez</t>
  </si>
  <si>
    <t>حنان عبدالكريم الخميس</t>
  </si>
  <si>
    <t>ريان محمد العسيري</t>
  </si>
  <si>
    <t>عبدالله صالح الراشد</t>
  </si>
  <si>
    <t>منى عبدالله الجهني</t>
  </si>
  <si>
    <t>Hassan Ali Khoury</t>
  </si>
  <si>
    <t>ناصر علي الشمراني</t>
  </si>
  <si>
    <t>عبير ماجد الصاعدي</t>
  </si>
  <si>
    <t>Anwar Singh Rana</t>
  </si>
  <si>
    <t>Sara Mahmoud Ibrahim</t>
  </si>
  <si>
    <t>بندر مساعد الشهري</t>
  </si>
  <si>
    <t>ياسر سالم الزهراني</t>
  </si>
  <si>
    <t>هندي</t>
  </si>
  <si>
    <t>مصري</t>
  </si>
  <si>
    <t>باكستاني</t>
  </si>
  <si>
    <t>فلبينية</t>
  </si>
  <si>
    <t>لبناني</t>
  </si>
  <si>
    <t>مصرية</t>
  </si>
  <si>
    <t>الرئيس التنفيذي</t>
  </si>
  <si>
    <t>الرئيس التنفيذي للعمليات</t>
  </si>
  <si>
    <t>الرئيس التنفيذي للمالية</t>
  </si>
  <si>
    <t>الرئيس التقني</t>
  </si>
  <si>
    <t>مهندس برمجيات أول</t>
  </si>
  <si>
    <t>مهندس DevOps</t>
  </si>
  <si>
    <t>مهندسة برمجيات</t>
  </si>
  <si>
    <t>مهندس بيانات</t>
  </si>
  <si>
    <t>مهندس Frontend</t>
  </si>
  <si>
    <t>مهندسة QA</t>
  </si>
  <si>
    <t>مطور Junior</t>
  </si>
  <si>
    <t>مندوب مبيعات أول</t>
  </si>
  <si>
    <t>مندوب مبيعات Junior</t>
  </si>
  <si>
    <t>مدير التسويق</t>
  </si>
  <si>
    <t>أخصائية تسويق رقمي</t>
  </si>
  <si>
    <t>مصممة جرافيك</t>
  </si>
  <si>
    <t>مديرة الموارد البشرية</t>
  </si>
  <si>
    <t>أخصائي موارد بشرية</t>
  </si>
  <si>
    <t>مدير المحاسبة</t>
  </si>
  <si>
    <t>محاسب</t>
  </si>
  <si>
    <t>مشرف خدمة عملاء</t>
  </si>
  <si>
    <t>موظفة خدمة عملاء</t>
  </si>
  <si>
    <t>موظف خدمة عملاء</t>
  </si>
  <si>
    <t>محلل عمليات</t>
  </si>
  <si>
    <t>aziz.alotaibi@techvision.sa</t>
  </si>
  <si>
    <t>fatima.alzahrani@techvision.sa</t>
  </si>
  <si>
    <t>khalid.aldosari@techvision.sa</t>
  </si>
  <si>
    <t>sultan.alqahtani@techvision.sa</t>
  </si>
  <si>
    <t>rajesh.sharma@techvision.sa</t>
  </si>
  <si>
    <t>mohamed.hassan@techvision.sa</t>
  </si>
  <si>
    <t>noura.alshamri@techvision.sa</t>
  </si>
  <si>
    <t>abdulrahman.almaliki@techvision.sa</t>
  </si>
  <si>
    <t>ali.khan@techvision.sa</t>
  </si>
  <si>
    <t>reem.alanazi@techvision.sa</t>
  </si>
  <si>
    <t>fahd.alshehri@techvision.sa</t>
  </si>
  <si>
    <t>majed.alghamdi@techvision.sa</t>
  </si>
  <si>
    <t>sara.alharbi@techvision.sa</t>
  </si>
  <si>
    <t>badr.almutairi@techvision.sa</t>
  </si>
  <si>
    <t>omar.mansour@techvision.sa</t>
  </si>
  <si>
    <t>hind.alqarashi@techvision.sa</t>
  </si>
  <si>
    <t>abdulmalik.altamimi@techvision.sa</t>
  </si>
  <si>
    <t>lama.albarqawi@techvision.sa</t>
  </si>
  <si>
    <t>maria.lopez@techvision.sa</t>
  </si>
  <si>
    <t>hanan.alkhamis@techvision.sa</t>
  </si>
  <si>
    <t>rayan.alasiri@techvision.sa</t>
  </si>
  <si>
    <t>abdullah.alrashid@techvision.sa</t>
  </si>
  <si>
    <t>muna.aljuhani@techvision.sa</t>
  </si>
  <si>
    <t>hassan.khoury@techvision.sa</t>
  </si>
  <si>
    <t>nasser.alshamrani@techvision.sa</t>
  </si>
  <si>
    <t>abeer.alsaedi@techvision.sa</t>
  </si>
  <si>
    <t>anwar.rana@techvision.sa</t>
  </si>
  <si>
    <t>sara.ibrahim@techvision.sa</t>
  </si>
  <si>
    <t>bandar.alshehri@techvision.sa</t>
  </si>
  <si>
    <t>yasser.alzahrani@techvision.sa</t>
  </si>
  <si>
    <t>مجلس الإدارة</t>
  </si>
  <si>
    <t>عبدالعزيز العتيبي</t>
  </si>
  <si>
    <t>سلطان القحطاني</t>
  </si>
  <si>
    <t>فاطمة الزهراني</t>
  </si>
  <si>
    <t>ماجد الغامدي</t>
  </si>
  <si>
    <t>عبدالملك التميمي</t>
  </si>
  <si>
    <t>حنان الخميس</t>
  </si>
  <si>
    <t>خالد الدوسري</t>
  </si>
  <si>
    <t>عبدالله الراشد</t>
  </si>
  <si>
    <t>ناصر الشمراني</t>
  </si>
  <si>
    <t>بندر الشهري</t>
  </si>
  <si>
    <t>مؤسس مشارك</t>
  </si>
  <si>
    <t>إقامة تنتهي قريباً</t>
  </si>
  <si>
    <t>عائدة من إجازة أمومة</t>
  </si>
  <si>
    <t>موظف جديد - فترة تجربة</t>
  </si>
  <si>
    <t>موظفة الربع الأول 2026</t>
  </si>
  <si>
    <t>إنذار غياب متكرر</t>
  </si>
  <si>
    <t>إقامة وعقد ينتهيان قريباً</t>
  </si>
  <si>
    <t>فترة تجربة منتهية - بحاجة قرار</t>
  </si>
  <si>
    <t>حالياً في إجازة سنوية</t>
  </si>
  <si>
    <t>موقوفة عن العمل من 2026-04-15 لتحقيق إداري</t>
  </si>
  <si>
    <t>انتهت الخدمة في 2026-04-15 - استقالة</t>
  </si>
  <si>
    <t>SA0355556666777788889999</t>
  </si>
  <si>
    <t>SA0366667777888899990000</t>
  </si>
  <si>
    <t>SA0377778888999900001111</t>
  </si>
  <si>
    <t>SA0388889999000011112222</t>
  </si>
  <si>
    <t>SA0399990000111122223333</t>
  </si>
  <si>
    <t>SA0300001111222233334444</t>
  </si>
  <si>
    <t>SA0311112222333344445566</t>
  </si>
  <si>
    <t>SA0322223333444455556677</t>
  </si>
  <si>
    <t>SA0333334444555566667788</t>
  </si>
  <si>
    <t>SA0344445555666677778899</t>
  </si>
  <si>
    <t>SA0355556666777788889911</t>
  </si>
  <si>
    <t>SA0366667777888899990022</t>
  </si>
  <si>
    <t>SA0377778888999900001133</t>
  </si>
  <si>
    <t>SA0388889999000011112233</t>
  </si>
  <si>
    <t>SA0399990000111122223344</t>
  </si>
  <si>
    <t>SA0300001111222233334455</t>
  </si>
  <si>
    <t>بوبا - VIP بلاتينيوم</t>
  </si>
  <si>
    <t>بوبا - VIP</t>
  </si>
  <si>
    <t>ميدغلف - بلاتينيوم</t>
  </si>
  <si>
    <t>ميدغلف - VIP</t>
  </si>
  <si>
    <t>ميدغلف - فضي</t>
  </si>
  <si>
    <t>بوبا - فضي</t>
  </si>
  <si>
    <t>إجازة مرضية</t>
  </si>
  <si>
    <t>إجازة زواج</t>
  </si>
  <si>
    <t>إجازة سنوية</t>
  </si>
  <si>
    <t>إجازة اضطرارية</t>
  </si>
  <si>
    <t>إجازة سنوية مخططة</t>
  </si>
  <si>
    <t>عقد قرانه</t>
  </si>
  <si>
    <t>نزلة برد + تقرير طبي</t>
  </si>
  <si>
    <t>ظرف عائلي طارئ</t>
  </si>
  <si>
    <t>ولادة</t>
  </si>
  <si>
    <t>فريضة الحج</t>
  </si>
  <si>
    <t>سفر عائلي</t>
  </si>
  <si>
    <t>إجازة الصيف</t>
  </si>
  <si>
    <t>مراجعة طبية</t>
  </si>
  <si>
    <t>سفر</t>
  </si>
  <si>
    <t>انفلونزا</t>
  </si>
  <si>
    <t>وفاة قريب من الدرجة الثانية</t>
  </si>
  <si>
    <t>مناسبة عائلية</t>
  </si>
  <si>
    <t>مكافأة</t>
  </si>
  <si>
    <t>أداء</t>
  </si>
  <si>
    <t>2026-04</t>
  </si>
  <si>
    <t>موظفة الربع - تجاوز الهدف 130%</t>
  </si>
  <si>
    <t>عمولة مبيعات</t>
  </si>
  <si>
    <t>عمولة الربع الأول - مبيعات استثنائية</t>
  </si>
  <si>
    <t>مشروع</t>
  </si>
  <si>
    <t>إطلاق منصة العملاء قبل الموعد</t>
  </si>
  <si>
    <t>رضا العملاء</t>
  </si>
  <si>
    <t>نسبة رضا 4.8/5</t>
  </si>
  <si>
    <t>إغلاق سنوي</t>
  </si>
  <si>
    <t>إغلاق الحسابات في موعدها</t>
  </si>
  <si>
    <t>نظام HR الجديد - تقدير الإدارة</t>
  </si>
  <si>
    <t>قيادة</t>
  </si>
  <si>
    <t>مكافأة قيادية ربع سنوية</t>
  </si>
  <si>
    <t>ابتكار</t>
  </si>
  <si>
    <t>تحسين أداء النظام بنسبة 40%</t>
  </si>
  <si>
    <t>DevOps</t>
  </si>
  <si>
    <t>تقليل وقت النشر من ٤ ساعات إلى ١٥ دقيقة</t>
  </si>
  <si>
    <t>حملة تسويقية</t>
  </si>
  <si>
    <t>حملة Ramadan تجاوزت الـ ROI</t>
  </si>
  <si>
    <t>خصم</t>
  </si>
  <si>
    <t>جزاء تأخير</t>
  </si>
  <si>
    <t>تأخير متكرر - إنذار ثاني</t>
  </si>
  <si>
    <t>جزاء غياب</t>
  </si>
  <si>
    <t>٣ أيام غياب بدون إذن - مخالفة المادة ٧٢</t>
  </si>
  <si>
    <t>سلفة</t>
  </si>
  <si>
    <t>قسط سلفة شهرية (8/12)</t>
  </si>
  <si>
    <t>قرض شخصي</t>
  </si>
  <si>
    <t>قسط قرض الشركة (5/24)</t>
  </si>
  <si>
    <t>استرداد</t>
  </si>
  <si>
    <t>استرداد بدل سفر غير مستخدم</t>
  </si>
  <si>
    <t>مكافأة العيد</t>
  </si>
  <si>
    <t>مكافأة عيد الفطر</t>
  </si>
  <si>
    <t>تطوير</t>
  </si>
  <si>
    <t>استرداد دورة AWS Certified</t>
  </si>
  <si>
    <t>استرداد شهادة ISTQB</t>
  </si>
  <si>
    <t>2026-03</t>
  </si>
  <si>
    <t>تجاوز الهدف الشهري</t>
  </si>
  <si>
    <t>يوم غياب واحد</t>
  </si>
  <si>
    <t>Q1 2026</t>
  </si>
  <si>
    <t>ممتاز</t>
  </si>
  <si>
    <t>قيادة استثنائية</t>
  </si>
  <si>
    <t>أداء ممتاز - مرشحة لترقية</t>
  </si>
  <si>
    <t>إغلاق مالي بدون أخطاء</t>
  </si>
  <si>
    <t>إطلاق منتجين قبل الموعد</t>
  </si>
  <si>
    <t>جيد جداً</t>
  </si>
  <si>
    <t>تأخير متكرر يخفض التقييم رغم الجودة</t>
  </si>
  <si>
    <t>تحسين بنية DevOps</t>
  </si>
  <si>
    <t>عودة من الأمومة - أداء جيد</t>
  </si>
  <si>
    <t>مساهمة في مشروع البيانات</t>
  </si>
  <si>
    <t>تحسن منذ الانضمام</t>
  </si>
  <si>
    <t>جودة اختبارات عالية</t>
  </si>
  <si>
    <t>تجاوز الهدف ربعياً</t>
  </si>
  <si>
    <t>موظفة الربع الأول</t>
  </si>
  <si>
    <t>جيد</t>
  </si>
  <si>
    <t>غياب متكرر - يحتاج خطة تطوير</t>
  </si>
  <si>
    <t>أداء مستقر</t>
  </si>
  <si>
    <t>موظفة جديدة - بحاجة دعم</t>
  </si>
  <si>
    <t>نمو الحسابات الرقمية</t>
  </si>
  <si>
    <t>حملة Ramadan ناجحة</t>
  </si>
  <si>
    <t>جودة بصرية ممتازة</t>
  </si>
  <si>
    <t>تطوير نظام HR</t>
  </si>
  <si>
    <t>مساهمة فاعلة</t>
  </si>
  <si>
    <t>إغلاق ربعي بدون أخطاء</t>
  </si>
  <si>
    <t>أداء ثابت</t>
  </si>
  <si>
    <t>تأقلم سريع</t>
  </si>
  <si>
    <t>رضا عملاء عالي</t>
  </si>
  <si>
    <t>يحتاج تطوير</t>
  </si>
  <si>
    <t>موقوفة عن العمل - تحقيق إداري</t>
  </si>
  <si>
    <t>أداء مقبول</t>
  </si>
  <si>
    <t>موظفة جديدة</t>
  </si>
  <si>
    <t>إدارة عمليات سلسة</t>
  </si>
  <si>
    <t>انتهت خدمته في أبريل</t>
  </si>
  <si>
    <t>REQ-2026-001</t>
  </si>
  <si>
    <t>معيّن</t>
  </si>
  <si>
    <t>LinkedIn</t>
  </si>
  <si>
    <t>ناجح</t>
  </si>
  <si>
    <t>مغلق</t>
  </si>
  <si>
    <t>عُيّن كـ EMP011</t>
  </si>
  <si>
    <t>REQ-2026-002</t>
  </si>
  <si>
    <t>بوابة الشركة</t>
  </si>
  <si>
    <t>عُيّنت كـ EMP016</t>
  </si>
  <si>
    <t>REQ-2026-003</t>
  </si>
  <si>
    <t>مقابلة فنية</t>
  </si>
  <si>
    <t>مازن عبدالعزيز السبيعي</t>
  </si>
  <si>
    <t>قيد التقييم</t>
  </si>
  <si>
    <t>مرشح Backend - مرحلة ثانية</t>
  </si>
  <si>
    <t>فلترة CV</t>
  </si>
  <si>
    <t>Yousef Mahmoud Saeed</t>
  </si>
  <si>
    <t>Bayt</t>
  </si>
  <si>
    <t>بانتظار جدولة المقابلة</t>
  </si>
  <si>
    <t>REQ-2026-004</t>
  </si>
  <si>
    <t>عرض وظيفي</t>
  </si>
  <si>
    <t>ريما أحمد الفيصل</t>
  </si>
  <si>
    <t>إحالة موظف</t>
  </si>
  <si>
    <t>بانتظار قبول العرض</t>
  </si>
  <si>
    <t>REQ-2026-005</t>
  </si>
  <si>
    <t>مقابلة HR</t>
  </si>
  <si>
    <t>Khaled Mahmoud Naser</t>
  </si>
  <si>
    <t>مصمم UX/UI</t>
  </si>
  <si>
    <t>نوف محمد القاضي</t>
  </si>
  <si>
    <t>Lina Hassan Tariq</t>
  </si>
  <si>
    <t>ملف قوي</t>
  </si>
  <si>
    <t>REQ-2026-006</t>
  </si>
  <si>
    <t>مرفوض</t>
  </si>
  <si>
    <t>عبدالله سعيد القرني</t>
  </si>
  <si>
    <t>Indeed</t>
  </si>
  <si>
    <t>غير مناسب</t>
  </si>
  <si>
    <t>ضعف في SQL</t>
  </si>
  <si>
    <t>REQ-2026-007</t>
  </si>
  <si>
    <t>رفض المرشح</t>
  </si>
  <si>
    <t>Ahmed Ibrahim Khalil</t>
  </si>
  <si>
    <t>رفض العرض - راتب أعلى من شركة منافسة</t>
  </si>
  <si>
    <t>REQ-2026-008</t>
  </si>
  <si>
    <t>عبدالعزيز سعد الزهراني</t>
  </si>
  <si>
    <t>٢٥ مرشح في القائمة الكاملة</t>
  </si>
  <si>
    <t>Fatima Salam Khoury</t>
  </si>
  <si>
    <t>مرشحة جيدة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</si>
</sst>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\ &quot;ر.س&quot;"/>
    <numFmt numFmtId="166" formatCode="0.0"/>
    <numFmt numFmtId="167" formatCode="yyyy\-mm\-dd"/>
    <numFmt numFmtId="168" formatCode="0&quot; سنة&quot;"/>
    <numFmt numFmtId="169" formatCode="#,##0&quot; ريال&quot;"/>
    <numFmt numFmtId="170" formatCode="#,##0.00&quot; ريال&quot;"/>
    <numFmt numFmtId="171" formatCode="#,##0.0"/>
  </numFmts>
  <fonts count="57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20"/>
      <color rgb="FFFFFFFF"/>
      <name val="Calibri"/>
    </font>
    <font>
      <i/>
      <sz val="11"/>
      <color rgb="FFBDC3C7"/>
      <name val="Calibri"/>
    </font>
    <font>
      <b/>
      <sz val="11"/>
      <color rgb="FFFFFFFF"/>
      <name val="Calibri"/>
    </font>
    <font>
      <b/>
      <sz val="26"/>
      <color rgb="FF1B4F8A"/>
      <name val="Calibri"/>
    </font>
    <font>
      <i/>
      <sz val="8"/>
      <color rgb="FFBDC3C7"/>
      <name val="Calibri"/>
    </font>
    <font>
      <b/>
      <sz val="26"/>
      <color rgb="FF1E8449"/>
      <name val="Calibri"/>
    </font>
    <font>
      <b/>
      <sz val="26"/>
      <color rgb="FFCA6F1E"/>
      <name val="Calibri"/>
    </font>
    <font>
      <b/>
      <sz val="26"/>
      <color rgb="FFB7950B"/>
      <name val="Calibri"/>
    </font>
    <font>
      <b/>
      <sz val="26"/>
      <color rgb="FF117A65"/>
      <name val="Calibri"/>
    </font>
    <font>
      <b/>
      <sz val="26"/>
      <color rgb="FFC0392B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color rgb="FF1A1A2E"/>
      <name val="Calibri"/>
    </font>
    <font>
      <sz val="10"/>
      <color rgb="FF1A1A2E"/>
      <name val="Calibri"/>
    </font>
    <font>
      <b/>
      <sz val="11"/>
      <color rgb="FF1B4F8A"/>
      <name val="Calibri"/>
    </font>
    <font>
      <b/>
      <u/>
      <sz val="11"/>
      <color rgb="FF1B4F8A"/>
      <name val="Calibri"/>
    </font>
    <font>
      <i/>
      <sz val="9"/>
      <color rgb="FFBDC3C7"/>
      <name val="Calibri"/>
    </font>
    <font>
      <b/>
      <u/>
      <sz val="11"/>
      <color rgb="FF1E8449"/>
      <name val="Calibri"/>
    </font>
    <font>
      <b/>
      <u/>
      <sz val="11"/>
      <color rgb="FFCA6F1E"/>
      <name val="Calibri"/>
    </font>
    <font>
      <b/>
      <u/>
      <sz val="11"/>
      <color rgb="FF117A65"/>
      <name val="Calibri"/>
    </font>
    <font>
      <b/>
      <u/>
      <sz val="11"/>
      <color rgb="FFC0392B"/>
      <name val="Calibri"/>
    </font>
    <font>
      <b/>
      <u/>
      <sz val="11"/>
      <color rgb="FFB7950B"/>
      <name val="Calibri"/>
    </font>
    <font>
      <b/>
      <u/>
      <sz val="11"/>
      <color rgb="FF2980B9"/>
      <name val="Calibri"/>
    </font>
    <font>
      <b/>
      <u/>
      <sz val="11"/>
      <color rgb="FF0D1B2A"/>
      <name val="Calibri"/>
    </font>
    <font>
      <sz val="11"/>
      <color theme="0"/>
      <name val="Arial"/>
      <family val="2"/>
      <scheme val="minor"/>
    </font>
    <font>
      <b/>
      <sz val="10"/>
      <color theme="0"/>
      <name val="Calibri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22"/>
      <color rgb="FF0F172A"/>
      <name val="Tahoma"/>
      <family val="2"/>
    </font>
    <font>
      <i/>
      <sz val="10"/>
      <color rgb="FF64748B"/>
      <name val="Tahoma"/>
      <family val="2"/>
    </font>
    <font>
      <b/>
      <sz val="16"/>
      <color rgb="FF991B1B"/>
      <name val="Tahoma"/>
      <family val="2"/>
    </font>
    <font>
      <b/>
      <sz val="11"/>
      <color rgb="FFFFFFFF"/>
      <name val="Tahoma"/>
      <family val="2"/>
    </font>
    <font>
      <b/>
      <sz val="10"/>
      <color theme="1"/>
      <name val="Tahoma"/>
      <family val="2"/>
    </font>
    <font>
      <sz val="10"/>
      <color rgb="FF64748B"/>
      <name val="Tahoma"/>
      <family val="2"/>
    </font>
    <font>
      <b/>
      <sz val="20"/>
      <color rgb="FF0F172A"/>
      <name val="Tahoma"/>
      <family val="2"/>
    </font>
    <font>
      <sz val="10"/>
      <color theme="1"/>
      <name val="Tahoma"/>
      <family val="2"/>
    </font>
    <font>
      <b/>
      <sz val="11"/>
      <color rgb="FF312E81"/>
      <name val="Tahoma"/>
      <family val="2"/>
    </font>
    <font>
      <b/>
      <sz val="12"/>
      <color rgb="FF0F172A"/>
      <name val="Arial"/>
      <family val="2"/>
      <scheme val="minor"/>
    </font>
    <font>
      <b/>
      <sz val="18"/>
      <color rgb="FF0F172A"/>
      <name val="Tahoma"/>
      <family val="2"/>
    </font>
    <font>
      <sz val="10"/>
      <color rgb="FF000000"/>
      <name val="Tahoma"/>
      <family val="2"/>
    </font>
    <font>
      <b/>
      <sz val="10"/>
      <color rgb="FF1A6B3A"/>
      <name val="Tahoma"/>
      <family val="2"/>
    </font>
    <font>
      <b/>
      <sz val="10"/>
      <color rgb="FF312E81"/>
      <name val="Arial"/>
      <family val="2"/>
    </font>
    <font>
      <b/>
      <sz val="11"/>
      <color rgb="FF312E81"/>
      <name val="Arial"/>
      <family val="2"/>
      <scheme val="minor"/>
    </font>
    <font>
      <b/>
      <sz val="12"/>
      <color rgb="FF312E81"/>
      <name val="Arial"/>
      <family val="2"/>
    </font>
    <font>
      <b/>
      <sz val="14"/>
      <color rgb="FF312E81"/>
      <name val="Arial"/>
      <family val="2"/>
    </font>
    <font>
      <b/>
      <sz val="10"/>
      <color rgb="FF166534"/>
      <name val="Tahoma"/>
      <family val="2"/>
    </font>
    <font>
      <b/>
      <sz val="14"/>
      <color rgb="FF0F172A"/>
      <name val="Arial"/>
      <family val="2"/>
    </font>
    <font>
      <b/>
      <sz val="11"/>
      <color rgb="FF1B3A6B"/>
      <name val="Arial"/>
      <family val="2"/>
    </font>
    <font>
      <b/>
      <sz val="18"/>
      <color rgb="FF312E81"/>
      <name val="Arial"/>
      <family val="2"/>
    </font>
    <font>
      <b/>
      <sz val="11"/>
      <color rgb="FF1A6B3A"/>
      <name val="Arial"/>
      <family val="2"/>
    </font>
    <font>
      <b/>
      <sz val="11"/>
      <color rgb="FFE67E22"/>
      <name val="Arial"/>
      <family val="2"/>
    </font>
    <font>
      <b/>
      <sz val="11"/>
      <color rgb="FF2E6DA4"/>
      <name val="Arial"/>
      <family val="2"/>
    </font>
    <font>
      <b/>
      <sz val="10"/>
      <color rgb="FF000000"/>
      <name val="Tahoma"/>
      <family val="2"/>
    </font>
    <font>
      <b/>
      <sz val="10"/>
      <color rgb="FF1B3A6B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4F0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1A6B3A"/>
      </patternFill>
    </fill>
    <fill>
      <patternFill patternType="solid">
        <fgColor rgb="FFE67E22"/>
      </patternFill>
    </fill>
    <fill>
      <patternFill patternType="solid">
        <fgColor rgb="FFEBF4FB"/>
      </patternFill>
    </fill>
    <fill>
      <patternFill patternType="solid">
        <fgColor rgb="FFC0392B"/>
      </patternFill>
    </fill>
    <fill>
      <patternFill patternType="solid">
        <fgColor rgb="FFF8F9FA"/>
      </patternFill>
    </fill>
    <fill>
      <patternFill patternType="solid">
        <fgColor rgb="FF0D1B2A"/>
      </patternFill>
    </fill>
    <fill>
      <patternFill patternType="solid">
        <fgColor rgb="FF2980B9"/>
      </patternFill>
    </fill>
    <fill>
      <patternFill patternType="solid">
        <fgColor rgb="FFFDFEFE"/>
      </patternFill>
    </fill>
    <fill>
      <patternFill patternType="solid">
        <fgColor rgb="FF1B4F8A"/>
      </patternFill>
    </fill>
    <fill>
      <patternFill patternType="solid">
        <fgColor rgb="FF1E8449"/>
      </patternFill>
    </fill>
    <fill>
      <patternFill patternType="solid">
        <fgColor rgb="FFCA6F1E"/>
      </patternFill>
    </fill>
    <fill>
      <patternFill patternType="solid">
        <fgColor rgb="FFB7950B"/>
      </patternFill>
    </fill>
    <fill>
      <patternFill patternType="solid">
        <fgColor rgb="FF117A65"/>
      </patternFill>
    </fill>
    <fill>
      <patternFill patternType="solid">
        <fgColor rgb="FFEBF5FB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E2E8F0"/>
        <bgColor indexed="64"/>
      </patternFill>
    </fill>
  </fills>
  <borders count="5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1B4F8A"/>
      </left>
      <right/>
      <top/>
      <bottom/>
      <diagonal/>
    </border>
    <border>
      <left/>
      <right style="thin">
        <color rgb="FF1B4F8A"/>
      </right>
      <top/>
      <bottom/>
      <diagonal/>
    </border>
    <border>
      <left/>
      <right/>
      <top style="thin">
        <color rgb="FF1B4F8A"/>
      </top>
      <bottom/>
      <diagonal/>
    </border>
    <border>
      <left/>
      <right/>
      <top/>
      <bottom style="thin">
        <color rgb="FFBDC3C7"/>
      </bottom>
      <diagonal/>
    </border>
    <border>
      <left style="thin">
        <color rgb="FF1E8449"/>
      </left>
      <right/>
      <top/>
      <bottom/>
      <diagonal/>
    </border>
    <border>
      <left/>
      <right style="thin">
        <color rgb="FF1E8449"/>
      </right>
      <top/>
      <bottom/>
      <diagonal/>
    </border>
    <border>
      <left/>
      <right/>
      <top style="thin">
        <color rgb="FF1E8449"/>
      </top>
      <bottom/>
      <diagonal/>
    </border>
    <border>
      <left style="thin">
        <color rgb="FFCA6F1E"/>
      </left>
      <right/>
      <top/>
      <bottom/>
      <diagonal/>
    </border>
    <border>
      <left/>
      <right style="thin">
        <color rgb="FFCA6F1E"/>
      </right>
      <top/>
      <bottom/>
      <diagonal/>
    </border>
    <border>
      <left/>
      <right/>
      <top style="thin">
        <color rgb="FFCA6F1E"/>
      </top>
      <bottom/>
      <diagonal/>
    </border>
    <border>
      <left style="thin">
        <color rgb="FFB7950B"/>
      </left>
      <right/>
      <top/>
      <bottom/>
      <diagonal/>
    </border>
    <border>
      <left/>
      <right style="thin">
        <color rgb="FFB7950B"/>
      </right>
      <top/>
      <bottom/>
      <diagonal/>
    </border>
    <border>
      <left/>
      <right/>
      <top style="thin">
        <color rgb="FFB7950B"/>
      </top>
      <bottom/>
      <diagonal/>
    </border>
    <border>
      <left style="thin">
        <color rgb="FF117A65"/>
      </left>
      <right/>
      <top/>
      <bottom/>
      <diagonal/>
    </border>
    <border>
      <left/>
      <right style="thin">
        <color rgb="FF117A65"/>
      </right>
      <top/>
      <bottom/>
      <diagonal/>
    </border>
    <border>
      <left/>
      <right/>
      <top style="thin">
        <color rgb="FF117A65"/>
      </top>
      <bottom/>
      <diagonal/>
    </border>
    <border>
      <left style="thin">
        <color rgb="FFC0392B"/>
      </left>
      <right/>
      <top/>
      <bottom/>
      <diagonal/>
    </border>
    <border>
      <left/>
      <right style="thin">
        <color rgb="FFC0392B"/>
      </right>
      <top/>
      <bottom/>
      <diagonal/>
    </border>
    <border>
      <left/>
      <right/>
      <top style="thin">
        <color rgb="FFC0392B"/>
      </top>
      <bottom/>
      <diagonal/>
    </border>
    <border>
      <left style="thin">
        <color rgb="FF1B4F8A"/>
      </left>
      <right style="thin">
        <color rgb="FF1B4F8A"/>
      </right>
      <top style="thin">
        <color rgb="FF1B4F8A"/>
      </top>
      <bottom style="thin">
        <color rgb="FF1B4F8A"/>
      </bottom>
      <diagonal/>
    </border>
    <border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  <border>
      <left/>
      <right/>
      <top/>
      <bottom style="thin">
        <color rgb="FF1B4F8A"/>
      </bottom>
      <diagonal/>
    </border>
    <border>
      <left/>
      <right/>
      <top/>
      <bottom style="thin">
        <color rgb="FF1E8449"/>
      </bottom>
      <diagonal/>
    </border>
    <border>
      <left/>
      <right/>
      <top/>
      <bottom style="thin">
        <color rgb="FFCA6F1E"/>
      </bottom>
      <diagonal/>
    </border>
    <border>
      <left/>
      <right/>
      <top/>
      <bottom style="thin">
        <color rgb="FF117A65"/>
      </bottom>
      <diagonal/>
    </border>
    <border>
      <left/>
      <right/>
      <top/>
      <bottom style="thin">
        <color rgb="FFC0392B"/>
      </bottom>
      <diagonal/>
    </border>
    <border>
      <left/>
      <right/>
      <top/>
      <bottom style="thin">
        <color rgb="FFB7950B"/>
      </bottom>
      <diagonal/>
    </border>
    <border>
      <left style="thin">
        <color rgb="FF2980B9"/>
      </left>
      <right/>
      <top/>
      <bottom/>
      <diagonal/>
    </border>
    <border>
      <left/>
      <right style="thin">
        <color rgb="FF2980B9"/>
      </right>
      <top/>
      <bottom/>
      <diagonal/>
    </border>
    <border>
      <left/>
      <right/>
      <top style="thin">
        <color rgb="FF2980B9"/>
      </top>
      <bottom/>
      <diagonal/>
    </border>
    <border>
      <left/>
      <right/>
      <top/>
      <bottom style="thin">
        <color rgb="FF2980B9"/>
      </bottom>
      <diagonal/>
    </border>
    <border>
      <left style="thin">
        <color rgb="FF0D1B2A"/>
      </left>
      <right/>
      <top/>
      <bottom/>
      <diagonal/>
    </border>
    <border>
      <left/>
      <right style="thin">
        <color rgb="FF0D1B2A"/>
      </right>
      <top/>
      <bottom/>
      <diagonal/>
    </border>
    <border>
      <left/>
      <right/>
      <top style="thin">
        <color rgb="FF0D1B2A"/>
      </top>
      <bottom/>
      <diagonal/>
    </border>
    <border>
      <left/>
      <right/>
      <top/>
      <bottom style="thin">
        <color rgb="FF0D1B2A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1E293B"/>
      </left>
      <right style="thin">
        <color auto="1"/>
      </right>
      <top style="thin">
        <color rgb="FF1E293B"/>
      </top>
      <bottom/>
      <diagonal/>
    </border>
    <border>
      <left style="thin">
        <color auto="1"/>
      </left>
      <right style="thin">
        <color auto="1"/>
      </right>
      <top style="thin">
        <color rgb="FF1E293B"/>
      </top>
      <bottom/>
      <diagonal/>
    </border>
    <border>
      <left style="thin">
        <color auto="1"/>
      </left>
      <right style="thin">
        <color rgb="FF1E293B"/>
      </right>
      <top style="thin">
        <color rgb="FF1E293B"/>
      </top>
      <bottom/>
      <diagonal/>
    </border>
    <border>
      <left style="thin">
        <color rgb="FFCBD5E1"/>
      </left>
      <right style="thin">
        <color auto="1"/>
      </right>
      <top style="thin">
        <color rgb="FFCBD5E1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rgb="FFCBD5E1"/>
      </top>
      <bottom style="thin">
        <color rgb="FFCBD5E1"/>
      </bottom>
      <diagonal/>
    </border>
    <border>
      <left style="thin">
        <color auto="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1E293B"/>
      </left>
      <right style="thick">
        <color rgb="FF1E293B"/>
      </right>
      <top style="thick">
        <color rgb="FF1E293B"/>
      </top>
      <bottom style="thick">
        <color rgb="FF1E293B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4" borderId="4" xfId="0" applyFill="1" applyBorder="1"/>
    <xf numFmtId="0" fontId="0" fillId="15" borderId="8" xfId="0" applyFill="1" applyBorder="1"/>
    <xf numFmtId="0" fontId="0" fillId="16" borderId="11" xfId="0" applyFill="1" applyBorder="1"/>
    <xf numFmtId="0" fontId="0" fillId="14" borderId="7" xfId="0" applyFill="1" applyBorder="1"/>
    <xf numFmtId="0" fontId="0" fillId="13" borderId="7" xfId="0" applyFill="1" applyBorder="1"/>
    <xf numFmtId="0" fontId="0" fillId="15" borderId="7" xfId="0" applyFill="1" applyBorder="1"/>
    <xf numFmtId="0" fontId="0" fillId="16" borderId="7" xfId="0" applyFill="1" applyBorder="1"/>
    <xf numFmtId="0" fontId="0" fillId="17" borderId="14" xfId="0" applyFill="1" applyBorder="1"/>
    <xf numFmtId="0" fontId="0" fillId="18" borderId="17" xfId="0" applyFill="1" applyBorder="1"/>
    <xf numFmtId="0" fontId="0" fillId="9" borderId="20" xfId="0" applyFill="1" applyBorder="1"/>
    <xf numFmtId="0" fontId="0" fillId="17" borderId="7" xfId="0" applyFill="1" applyBorder="1"/>
    <xf numFmtId="0" fontId="0" fillId="18" borderId="7" xfId="0" applyFill="1" applyBorder="1"/>
    <xf numFmtId="0" fontId="0" fillId="9" borderId="7" xfId="0" applyFill="1" applyBorder="1"/>
    <xf numFmtId="0" fontId="0" fillId="14" borderId="6" xfId="0" applyFill="1" applyBorder="1"/>
    <xf numFmtId="0" fontId="0" fillId="15" borderId="10" xfId="0" applyFill="1" applyBorder="1"/>
    <xf numFmtId="0" fontId="0" fillId="16" borderId="13" xfId="0" applyFill="1" applyBorder="1"/>
    <xf numFmtId="0" fontId="0" fillId="18" borderId="19" xfId="0" applyFill="1" applyBorder="1"/>
    <xf numFmtId="0" fontId="0" fillId="14" borderId="25" xfId="0" applyFill="1" applyBorder="1"/>
    <xf numFmtId="0" fontId="0" fillId="15" borderId="26" xfId="0" applyFill="1" applyBorder="1"/>
    <xf numFmtId="0" fontId="0" fillId="16" borderId="27" xfId="0" applyFill="1" applyBorder="1"/>
    <xf numFmtId="0" fontId="0" fillId="18" borderId="28" xfId="0" applyFill="1" applyBorder="1"/>
    <xf numFmtId="0" fontId="0" fillId="9" borderId="22" xfId="0" applyFill="1" applyBorder="1"/>
    <xf numFmtId="0" fontId="0" fillId="17" borderId="16" xfId="0" applyFill="1" applyBorder="1"/>
    <xf numFmtId="0" fontId="0" fillId="12" borderId="33" xfId="0" applyFill="1" applyBorder="1"/>
    <xf numFmtId="0" fontId="0" fillId="11" borderId="37" xfId="0" applyFill="1" applyBorder="1"/>
    <xf numFmtId="0" fontId="0" fillId="9" borderId="29" xfId="0" applyFill="1" applyBorder="1"/>
    <xf numFmtId="0" fontId="0" fillId="17" borderId="30" xfId="0" applyFill="1" applyBorder="1"/>
    <xf numFmtId="0" fontId="0" fillId="12" borderId="34" xfId="0" applyFill="1" applyBorder="1"/>
    <xf numFmtId="0" fontId="0" fillId="11" borderId="38" xfId="0" applyFill="1" applyBorder="1"/>
    <xf numFmtId="0" fontId="31" fillId="10" borderId="0" xfId="0" applyFont="1" applyFill="1"/>
    <xf numFmtId="0" fontId="32" fillId="10" borderId="0" xfId="0" applyFont="1" applyFill="1"/>
    <xf numFmtId="0" fontId="34" fillId="20" borderId="39" xfId="0" applyFont="1" applyFill="1" applyBorder="1" applyAlignment="1">
      <alignment horizontal="center" vertical="center" wrapText="1"/>
    </xf>
    <xf numFmtId="0" fontId="34" fillId="20" borderId="45" xfId="0" applyFont="1" applyFill="1" applyBorder="1" applyAlignment="1">
      <alignment horizontal="center" vertical="center" wrapText="1"/>
    </xf>
    <xf numFmtId="0" fontId="34" fillId="20" borderId="46" xfId="0" applyFont="1" applyFill="1" applyBorder="1" applyAlignment="1">
      <alignment horizontal="center" vertical="center" wrapText="1"/>
    </xf>
    <xf numFmtId="0" fontId="34" fillId="20" borderId="47" xfId="0" applyFont="1" applyFill="1" applyBorder="1" applyAlignment="1">
      <alignment horizontal="center" vertical="center" wrapText="1"/>
    </xf>
    <xf numFmtId="0" fontId="35" fillId="0" borderId="48" xfId="0" applyFont="1" applyBorder="1" applyAlignment="1">
      <alignment horizontal="right" vertical="center"/>
    </xf>
    <xf numFmtId="0" fontId="35" fillId="0" borderId="49" xfId="0" applyFont="1" applyBorder="1" applyAlignment="1">
      <alignment horizontal="center" vertical="center"/>
    </xf>
    <xf numFmtId="0" fontId="35" fillId="21" borderId="48" xfId="0" applyFont="1" applyFill="1" applyBorder="1" applyAlignment="1">
      <alignment horizontal="right" vertical="center"/>
    </xf>
    <xf numFmtId="0" fontId="35" fillId="21" borderId="49" xfId="0" applyFont="1" applyFill="1" applyBorder="1" applyAlignment="1">
      <alignment horizontal="center" vertical="center"/>
    </xf>
    <xf numFmtId="0" fontId="35" fillId="22" borderId="40" xfId="0" applyFont="1" applyFill="1" applyBorder="1" applyAlignment="1">
      <alignment horizontal="right" vertical="center"/>
    </xf>
    <xf numFmtId="1" fontId="38" fillId="0" borderId="40" xfId="0" applyNumberFormat="1" applyFont="1" applyBorder="1" applyAlignment="1">
      <alignment horizontal="center" vertical="center"/>
    </xf>
    <xf numFmtId="1" fontId="39" fillId="0" borderId="40" xfId="0" applyNumberFormat="1" applyFont="1" applyBorder="1" applyAlignment="1">
      <alignment horizontal="center" vertical="center"/>
    </xf>
    <xf numFmtId="49" fontId="39" fillId="0" borderId="40" xfId="0" applyNumberFormat="1" applyFont="1" applyBorder="1" applyAlignment="1">
      <alignment horizontal="center" vertical="center"/>
    </xf>
    <xf numFmtId="166" fontId="39" fillId="0" borderId="40" xfId="0" applyNumberFormat="1" applyFont="1" applyBorder="1" applyAlignment="1">
      <alignment horizontal="center" vertical="center"/>
    </xf>
    <xf numFmtId="164" fontId="39" fillId="0" borderId="40" xfId="0" applyNumberFormat="1" applyFont="1" applyBorder="1" applyAlignment="1">
      <alignment horizontal="center" vertical="center"/>
    </xf>
    <xf numFmtId="3" fontId="39" fillId="0" borderId="40" xfId="0" applyNumberFormat="1" applyFont="1" applyBorder="1" applyAlignment="1">
      <alignment horizontal="center" vertical="center"/>
    </xf>
    <xf numFmtId="0" fontId="38" fillId="0" borderId="40" xfId="0" applyFont="1" applyBorder="1" applyAlignment="1">
      <alignment vertical="center"/>
    </xf>
    <xf numFmtId="0" fontId="38" fillId="0" borderId="40" xfId="0" applyFont="1" applyBorder="1" applyAlignment="1">
      <alignment horizontal="center" vertical="center"/>
    </xf>
    <xf numFmtId="0" fontId="38" fillId="21" borderId="40" xfId="0" applyFont="1" applyFill="1" applyBorder="1" applyAlignment="1">
      <alignment horizontal="center" vertical="center"/>
    </xf>
    <xf numFmtId="0" fontId="42" fillId="8" borderId="40" xfId="0" applyFont="1" applyFill="1" applyBorder="1" applyAlignment="1">
      <alignment horizontal="center" vertical="center"/>
    </xf>
    <xf numFmtId="165" fontId="42" fillId="8" borderId="40" xfId="0" applyNumberFormat="1" applyFont="1" applyFill="1" applyBorder="1" applyAlignment="1">
      <alignment horizontal="center" vertical="center"/>
    </xf>
    <xf numFmtId="167" fontId="42" fillId="8" borderId="40" xfId="0" applyNumberFormat="1" applyFont="1" applyFill="1" applyBorder="1" applyAlignment="1">
      <alignment horizontal="center" vertical="center"/>
    </xf>
    <xf numFmtId="168" fontId="42" fillId="8" borderId="40" xfId="0" applyNumberFormat="1" applyFont="1" applyFill="1" applyBorder="1" applyAlignment="1">
      <alignment horizontal="center" vertical="center"/>
    </xf>
    <xf numFmtId="0" fontId="42" fillId="21" borderId="40" xfId="0" applyFont="1" applyFill="1" applyBorder="1" applyAlignment="1">
      <alignment horizontal="center" vertical="center"/>
    </xf>
    <xf numFmtId="165" fontId="42" fillId="21" borderId="40" xfId="0" applyNumberFormat="1" applyFont="1" applyFill="1" applyBorder="1" applyAlignment="1">
      <alignment horizontal="center" vertical="center"/>
    </xf>
    <xf numFmtId="167" fontId="42" fillId="21" borderId="40" xfId="0" applyNumberFormat="1" applyFont="1" applyFill="1" applyBorder="1" applyAlignment="1">
      <alignment horizontal="center" vertical="center"/>
    </xf>
    <xf numFmtId="168" fontId="42" fillId="21" borderId="40" xfId="0" applyNumberFormat="1" applyFont="1" applyFill="1" applyBorder="1" applyAlignment="1">
      <alignment horizontal="center" vertical="center"/>
    </xf>
    <xf numFmtId="0" fontId="38" fillId="21" borderId="40" xfId="0" applyFont="1" applyFill="1" applyBorder="1" applyAlignment="1">
      <alignment vertical="center"/>
    </xf>
    <xf numFmtId="169" fontId="42" fillId="8" borderId="40" xfId="0" applyNumberFormat="1" applyFont="1" applyFill="1" applyBorder="1" applyAlignment="1">
      <alignment horizontal="center" vertical="center"/>
    </xf>
    <xf numFmtId="169" fontId="42" fillId="21" borderId="40" xfId="0" applyNumberFormat="1" applyFont="1" applyFill="1" applyBorder="1" applyAlignment="1">
      <alignment horizontal="center" vertical="center"/>
    </xf>
    <xf numFmtId="169" fontId="43" fillId="8" borderId="40" xfId="0" applyNumberFormat="1" applyFont="1" applyFill="1" applyBorder="1" applyAlignment="1">
      <alignment horizontal="center" vertical="center"/>
    </xf>
    <xf numFmtId="169" fontId="43" fillId="21" borderId="40" xfId="0" applyNumberFormat="1" applyFont="1" applyFill="1" applyBorder="1" applyAlignment="1">
      <alignment horizontal="center" vertical="center"/>
    </xf>
    <xf numFmtId="169" fontId="38" fillId="21" borderId="40" xfId="0" applyNumberFormat="1" applyFont="1" applyFill="1" applyBorder="1" applyAlignment="1">
      <alignment vertical="center"/>
    </xf>
    <xf numFmtId="169" fontId="38" fillId="0" borderId="40" xfId="0" applyNumberFormat="1" applyFont="1" applyBorder="1" applyAlignment="1">
      <alignment vertical="center"/>
    </xf>
    <xf numFmtId="1" fontId="42" fillId="8" borderId="40" xfId="0" applyNumberFormat="1" applyFont="1" applyFill="1" applyBorder="1" applyAlignment="1">
      <alignment horizontal="center" vertical="center"/>
    </xf>
    <xf numFmtId="1" fontId="42" fillId="21" borderId="40" xfId="0" applyNumberFormat="1" applyFont="1" applyFill="1" applyBorder="1" applyAlignment="1">
      <alignment horizontal="center" vertical="center"/>
    </xf>
    <xf numFmtId="168" fontId="38" fillId="21" borderId="40" xfId="0" applyNumberFormat="1" applyFont="1" applyFill="1" applyBorder="1" applyAlignment="1">
      <alignment horizontal="center" vertical="center"/>
    </xf>
    <xf numFmtId="168" fontId="38" fillId="0" borderId="40" xfId="0" applyNumberFormat="1" applyFont="1" applyBorder="1" applyAlignment="1">
      <alignment horizontal="center" vertical="center"/>
    </xf>
    <xf numFmtId="167" fontId="38" fillId="0" borderId="40" xfId="0" applyNumberFormat="1" applyFont="1" applyBorder="1" applyAlignment="1">
      <alignment horizontal="center" vertical="center"/>
    </xf>
    <xf numFmtId="167" fontId="38" fillId="21" borderId="40" xfId="0" applyNumberFormat="1" applyFont="1" applyFill="1" applyBorder="1" applyAlignment="1">
      <alignment horizontal="center" vertical="center"/>
    </xf>
    <xf numFmtId="1" fontId="38" fillId="21" borderId="40" xfId="0" applyNumberFormat="1" applyFont="1" applyFill="1" applyBorder="1" applyAlignment="1">
      <alignment horizontal="center" vertical="center"/>
    </xf>
    <xf numFmtId="20" fontId="42" fillId="8" borderId="40" xfId="0" applyNumberFormat="1" applyFont="1" applyFill="1" applyBorder="1" applyAlignment="1">
      <alignment horizontal="center" vertical="center"/>
    </xf>
    <xf numFmtId="2" fontId="42" fillId="8" borderId="40" xfId="0" applyNumberFormat="1" applyFont="1" applyFill="1" applyBorder="1" applyAlignment="1">
      <alignment horizontal="center" vertical="center"/>
    </xf>
    <xf numFmtId="20" fontId="42" fillId="21" borderId="40" xfId="0" applyNumberFormat="1" applyFont="1" applyFill="1" applyBorder="1" applyAlignment="1">
      <alignment horizontal="center" vertical="center"/>
    </xf>
    <xf numFmtId="2" fontId="42" fillId="21" borderId="40" xfId="0" applyNumberFormat="1" applyFont="1" applyFill="1" applyBorder="1" applyAlignment="1">
      <alignment horizontal="center" vertical="center"/>
    </xf>
    <xf numFmtId="0" fontId="42" fillId="21" borderId="41" xfId="0" applyFont="1" applyFill="1" applyBorder="1" applyAlignment="1">
      <alignment horizontal="center" vertical="center"/>
    </xf>
    <xf numFmtId="0" fontId="29" fillId="24" borderId="51" xfId="0" applyFont="1" applyFill="1" applyBorder="1"/>
    <xf numFmtId="2" fontId="29" fillId="24" borderId="51" xfId="0" applyNumberFormat="1" applyFont="1" applyFill="1" applyBorder="1"/>
    <xf numFmtId="170" fontId="42" fillId="8" borderId="40" xfId="0" applyNumberFormat="1" applyFont="1" applyFill="1" applyBorder="1" applyAlignment="1">
      <alignment horizontal="center" vertical="center"/>
    </xf>
    <xf numFmtId="170" fontId="42" fillId="21" borderId="40" xfId="0" applyNumberFormat="1" applyFont="1" applyFill="1" applyBorder="1" applyAlignment="1">
      <alignment horizontal="center" vertical="center"/>
    </xf>
    <xf numFmtId="170" fontId="42" fillId="21" borderId="41" xfId="0" applyNumberFormat="1" applyFont="1" applyFill="1" applyBorder="1" applyAlignment="1">
      <alignment horizontal="center" vertical="center"/>
    </xf>
    <xf numFmtId="170" fontId="30" fillId="24" borderId="51" xfId="0" applyNumberFormat="1" applyFont="1" applyFill="1" applyBorder="1" applyAlignment="1">
      <alignment horizontal="center" vertical="center"/>
    </xf>
    <xf numFmtId="170" fontId="29" fillId="24" borderId="51" xfId="0" applyNumberFormat="1" applyFont="1" applyFill="1" applyBorder="1"/>
    <xf numFmtId="1" fontId="42" fillId="21" borderId="41" xfId="0" applyNumberFormat="1" applyFont="1" applyFill="1" applyBorder="1" applyAlignment="1">
      <alignment horizontal="center" vertical="center"/>
    </xf>
    <xf numFmtId="2" fontId="38" fillId="0" borderId="40" xfId="0" applyNumberFormat="1" applyFont="1" applyBorder="1" applyAlignment="1">
      <alignment horizontal="center" vertical="center"/>
    </xf>
    <xf numFmtId="170" fontId="38" fillId="0" borderId="40" xfId="0" applyNumberFormat="1" applyFont="1" applyBorder="1" applyAlignment="1">
      <alignment horizontal="center" vertical="center"/>
    </xf>
    <xf numFmtId="2" fontId="38" fillId="21" borderId="40" xfId="0" applyNumberFormat="1" applyFont="1" applyFill="1" applyBorder="1" applyAlignment="1">
      <alignment horizontal="center" vertical="center"/>
    </xf>
    <xf numFmtId="170" fontId="38" fillId="21" borderId="40" xfId="0" applyNumberFormat="1" applyFont="1" applyFill="1" applyBorder="1" applyAlignment="1">
      <alignment horizontal="center" vertical="center"/>
    </xf>
    <xf numFmtId="2" fontId="38" fillId="21" borderId="41" xfId="0" applyNumberFormat="1" applyFont="1" applyFill="1" applyBorder="1" applyAlignment="1">
      <alignment horizontal="center" vertical="center"/>
    </xf>
    <xf numFmtId="170" fontId="38" fillId="21" borderId="41" xfId="0" applyNumberFormat="1" applyFont="1" applyFill="1" applyBorder="1" applyAlignment="1">
      <alignment horizontal="center" vertical="center"/>
    </xf>
    <xf numFmtId="170" fontId="48" fillId="8" borderId="40" xfId="0" applyNumberFormat="1" applyFont="1" applyFill="1" applyBorder="1" applyAlignment="1">
      <alignment horizontal="center" vertical="center"/>
    </xf>
    <xf numFmtId="170" fontId="48" fillId="21" borderId="40" xfId="0" applyNumberFormat="1" applyFont="1" applyFill="1" applyBorder="1" applyAlignment="1">
      <alignment horizontal="center" vertical="center"/>
    </xf>
    <xf numFmtId="170" fontId="48" fillId="21" borderId="41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1" fontId="6" fillId="13" borderId="0" xfId="0" applyNumberFormat="1" applyFont="1" applyFill="1" applyAlignment="1">
      <alignment horizontal="center" vertical="center"/>
    </xf>
    <xf numFmtId="0" fontId="0" fillId="0" borderId="0" xfId="0"/>
    <xf numFmtId="0" fontId="0" fillId="0" borderId="5" xfId="0" applyBorder="1"/>
    <xf numFmtId="164" fontId="8" fillId="13" borderId="0" xfId="0" applyNumberFormat="1" applyFont="1" applyFill="1" applyAlignment="1">
      <alignment horizontal="center" vertical="center"/>
    </xf>
    <xf numFmtId="0" fontId="0" fillId="0" borderId="9" xfId="0" applyBorder="1"/>
    <xf numFmtId="3" fontId="9" fillId="13" borderId="0" xfId="0" applyNumberFormat="1" applyFont="1" applyFill="1" applyAlignment="1">
      <alignment horizontal="center" vertical="center"/>
    </xf>
    <xf numFmtId="0" fontId="0" fillId="0" borderId="12" xfId="0" applyBorder="1"/>
    <xf numFmtId="166" fontId="16" fillId="19" borderId="1" xfId="0" applyNumberFormat="1" applyFont="1" applyFill="1" applyBorder="1" applyAlignment="1">
      <alignment horizontal="center" vertical="center"/>
    </xf>
    <xf numFmtId="0" fontId="3" fillId="11" borderId="0" xfId="0" applyFont="1" applyFill="1" applyAlignment="1">
      <alignment horizontal="right" vertical="center"/>
    </xf>
    <xf numFmtId="1" fontId="15" fillId="13" borderId="1" xfId="0" applyNumberFormat="1" applyFont="1" applyFill="1" applyBorder="1" applyAlignment="1">
      <alignment horizontal="center" vertical="center"/>
    </xf>
    <xf numFmtId="1" fontId="12" fillId="13" borderId="0" xfId="0" applyNumberFormat="1" applyFont="1" applyFill="1" applyAlignment="1">
      <alignment horizontal="center" vertical="center"/>
    </xf>
    <xf numFmtId="0" fontId="0" fillId="0" borderId="21" xfId="0" applyBorder="1"/>
    <xf numFmtId="0" fontId="5" fillId="16" borderId="13" xfId="0" applyFont="1" applyFill="1" applyBorder="1" applyAlignment="1">
      <alignment horizontal="right" vertical="center"/>
    </xf>
    <xf numFmtId="0" fontId="0" fillId="0" borderId="13" xfId="0" applyBorder="1"/>
    <xf numFmtId="0" fontId="0" fillId="0" borderId="11" xfId="0" applyBorder="1"/>
    <xf numFmtId="0" fontId="28" fillId="16" borderId="1" xfId="0" applyFont="1" applyFill="1" applyBorder="1" applyAlignment="1">
      <alignment horizontal="right" vertical="center"/>
    </xf>
    <xf numFmtId="0" fontId="27" fillId="0" borderId="0" xfId="0" applyFont="1"/>
    <xf numFmtId="165" fontId="16" fillId="19" borderId="1" xfId="0" applyNumberFormat="1" applyFont="1" applyFill="1" applyBorder="1" applyAlignment="1">
      <alignment horizontal="center" vertical="center"/>
    </xf>
    <xf numFmtId="166" fontId="16" fillId="13" borderId="1" xfId="0" applyNumberFormat="1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right" vertical="center"/>
    </xf>
    <xf numFmtId="0" fontId="0" fillId="0" borderId="10" xfId="0" applyBorder="1"/>
    <xf numFmtId="0" fontId="0" fillId="0" borderId="8" xfId="0" applyBorder="1"/>
    <xf numFmtId="0" fontId="28" fillId="15" borderId="1" xfId="0" applyFont="1" applyFill="1" applyBorder="1" applyAlignment="1">
      <alignment horizontal="right" vertical="center"/>
    </xf>
    <xf numFmtId="0" fontId="5" fillId="17" borderId="16" xfId="0" applyFont="1" applyFill="1" applyBorder="1" applyAlignment="1">
      <alignment horizontal="right" vertical="center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7" fillId="13" borderId="0" xfId="0" applyFont="1" applyFill="1" applyAlignment="1">
      <alignment horizontal="center" vertical="center"/>
    </xf>
    <xf numFmtId="0" fontId="14" fillId="12" borderId="23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right" vertical="center"/>
    </xf>
    <xf numFmtId="0" fontId="0" fillId="0" borderId="18" xfId="0" applyBorder="1"/>
    <xf numFmtId="165" fontId="16" fillId="13" borderId="1" xfId="0" applyNumberFormat="1" applyFont="1" applyFill="1" applyBorder="1" applyAlignment="1">
      <alignment horizontal="center" vertical="center"/>
    </xf>
    <xf numFmtId="0" fontId="13" fillId="14" borderId="0" xfId="0" applyFont="1" applyFill="1" applyAlignment="1">
      <alignment horizontal="right" vertical="center"/>
    </xf>
    <xf numFmtId="1" fontId="10" fillId="13" borderId="0" xfId="0" applyNumberFormat="1" applyFont="1" applyFill="1" applyAlignment="1">
      <alignment horizontal="center" vertical="center"/>
    </xf>
    <xf numFmtId="164" fontId="16" fillId="19" borderId="1" xfId="0" applyNumberFormat="1" applyFont="1" applyFill="1" applyBorder="1" applyAlignment="1">
      <alignment horizontal="center" vertical="center"/>
    </xf>
    <xf numFmtId="164" fontId="16" fillId="13" borderId="1" xfId="0" applyNumberFormat="1" applyFont="1" applyFill="1" applyBorder="1" applyAlignment="1">
      <alignment horizontal="center" vertical="center"/>
    </xf>
    <xf numFmtId="0" fontId="14" fillId="11" borderId="24" xfId="0" applyFont="1" applyFill="1" applyBorder="1" applyAlignment="1">
      <alignment horizontal="center" vertical="center"/>
    </xf>
    <xf numFmtId="0" fontId="5" fillId="18" borderId="19" xfId="0" applyFont="1" applyFill="1" applyBorder="1" applyAlignment="1">
      <alignment horizontal="right" vertical="center"/>
    </xf>
    <xf numFmtId="0" fontId="0" fillId="0" borderId="19" xfId="0" applyBorder="1"/>
    <xf numFmtId="0" fontId="0" fillId="0" borderId="17" xfId="0" applyBorder="1"/>
    <xf numFmtId="1" fontId="15" fillId="19" borderId="1" xfId="0" applyNumberFormat="1" applyFont="1" applyFill="1" applyBorder="1" applyAlignment="1">
      <alignment horizontal="center" vertical="center"/>
    </xf>
    <xf numFmtId="0" fontId="19" fillId="13" borderId="35" xfId="0" applyFont="1" applyFill="1" applyBorder="1" applyAlignment="1">
      <alignment horizontal="center" vertical="center"/>
    </xf>
    <xf numFmtId="0" fontId="0" fillId="0" borderId="36" xfId="0" applyBorder="1"/>
    <xf numFmtId="0" fontId="19" fillId="13" borderId="20" xfId="0" applyFont="1" applyFill="1" applyBorder="1" applyAlignment="1">
      <alignment horizontal="center" vertical="center"/>
    </xf>
    <xf numFmtId="0" fontId="24" fillId="13" borderId="14" xfId="0" applyFont="1" applyFill="1" applyBorder="1" applyAlignment="1">
      <alignment horizontal="center" vertical="center"/>
    </xf>
    <xf numFmtId="0" fontId="19" fillId="13" borderId="31" xfId="0" applyFont="1" applyFill="1" applyBorder="1" applyAlignment="1">
      <alignment horizontal="center" vertical="center"/>
    </xf>
    <xf numFmtId="0" fontId="0" fillId="0" borderId="32" xfId="0" applyBorder="1"/>
    <xf numFmtId="0" fontId="19" fillId="13" borderId="14" xfId="0" applyFont="1" applyFill="1" applyBorder="1" applyAlignment="1">
      <alignment horizontal="center" vertical="center"/>
    </xf>
    <xf numFmtId="0" fontId="23" fillId="13" borderId="20" xfId="0" applyFont="1" applyFill="1" applyBorder="1" applyAlignment="1">
      <alignment horizontal="center" vertical="center"/>
    </xf>
    <xf numFmtId="0" fontId="22" fillId="13" borderId="17" xfId="0" applyFont="1" applyFill="1" applyBorder="1" applyAlignment="1">
      <alignment horizontal="center" vertical="center"/>
    </xf>
    <xf numFmtId="0" fontId="17" fillId="19" borderId="0" xfId="0" applyFont="1" applyFill="1" applyAlignment="1">
      <alignment horizontal="right" vertical="center"/>
    </xf>
    <xf numFmtId="0" fontId="19" fillId="13" borderId="8" xfId="0" applyFont="1" applyFill="1" applyBorder="1" applyAlignment="1">
      <alignment horizontal="center" vertical="center"/>
    </xf>
    <xf numFmtId="0" fontId="19" fillId="13" borderId="17" xfId="0" applyFont="1" applyFill="1" applyBorder="1" applyAlignment="1">
      <alignment horizontal="center" vertical="center"/>
    </xf>
    <xf numFmtId="0" fontId="20" fillId="13" borderId="8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right" vertical="center"/>
    </xf>
    <xf numFmtId="0" fontId="0" fillId="0" borderId="22" xfId="0" applyBorder="1"/>
    <xf numFmtId="0" fontId="0" fillId="0" borderId="20" xfId="0" applyBorder="1"/>
    <xf numFmtId="0" fontId="19" fillId="13" borderId="4" xfId="0" applyFont="1" applyFill="1" applyBorder="1" applyAlignment="1">
      <alignment horizontal="center" vertical="center"/>
    </xf>
    <xf numFmtId="0" fontId="14" fillId="11" borderId="24" xfId="0" applyFont="1" applyFill="1" applyBorder="1" applyAlignment="1">
      <alignment horizontal="right" vertical="center"/>
    </xf>
    <xf numFmtId="0" fontId="19" fillId="13" borderId="11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21" fillId="13" borderId="11" xfId="0" applyFont="1" applyFill="1" applyBorder="1" applyAlignment="1">
      <alignment horizontal="center" vertical="center"/>
    </xf>
    <xf numFmtId="1" fontId="5" fillId="11" borderId="24" xfId="0" applyNumberFormat="1" applyFont="1" applyFill="1" applyBorder="1" applyAlignment="1">
      <alignment horizontal="center" vertical="center"/>
    </xf>
    <xf numFmtId="165" fontId="5" fillId="11" borderId="24" xfId="0" applyNumberFormat="1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right" vertical="center"/>
    </xf>
    <xf numFmtId="0" fontId="28" fillId="18" borderId="1" xfId="0" applyFont="1" applyFill="1" applyBorder="1" applyAlignment="1">
      <alignment horizontal="right" vertical="center"/>
    </xf>
    <xf numFmtId="0" fontId="36" fillId="21" borderId="49" xfId="0" applyFont="1" applyFill="1" applyBorder="1" applyAlignment="1">
      <alignment horizontal="right" vertical="center"/>
    </xf>
    <xf numFmtId="0" fontId="36" fillId="21" borderId="50" xfId="0" applyFont="1" applyFill="1" applyBorder="1" applyAlignment="1">
      <alignment horizontal="right" vertical="center"/>
    </xf>
    <xf numFmtId="0" fontId="36" fillId="0" borderId="49" xfId="0" applyFont="1" applyBorder="1" applyAlignment="1">
      <alignment horizontal="right" vertical="center"/>
    </xf>
    <xf numFmtId="0" fontId="36" fillId="0" borderId="50" xfId="0" applyFont="1" applyBorder="1" applyAlignment="1">
      <alignment horizontal="right" vertical="center"/>
    </xf>
    <xf numFmtId="0" fontId="33" fillId="0" borderId="42" xfId="0" applyFont="1" applyBorder="1"/>
    <xf numFmtId="0" fontId="33" fillId="0" borderId="43" xfId="0" applyFont="1" applyBorder="1"/>
    <xf numFmtId="0" fontId="33" fillId="0" borderId="44" xfId="0" applyFont="1" applyBorder="1"/>
    <xf numFmtId="0" fontId="32" fillId="0" borderId="42" xfId="0" applyFont="1" applyBorder="1"/>
    <xf numFmtId="0" fontId="32" fillId="0" borderId="43" xfId="0" applyFont="1" applyBorder="1"/>
    <xf numFmtId="0" fontId="32" fillId="0" borderId="44" xfId="0" applyFont="1" applyBorder="1"/>
    <xf numFmtId="0" fontId="4" fillId="11" borderId="0" xfId="0" applyFont="1" applyFill="1" applyAlignment="1">
      <alignment horizontal="left" vertical="center"/>
    </xf>
    <xf numFmtId="0" fontId="25" fillId="13" borderId="31" xfId="0" applyFont="1" applyFill="1" applyBorder="1" applyAlignment="1">
      <alignment horizontal="center" vertical="center"/>
    </xf>
    <xf numFmtId="166" fontId="11" fillId="13" borderId="0" xfId="0" applyNumberFormat="1" applyFont="1" applyFill="1" applyAlignment="1">
      <alignment horizontal="center" vertical="center"/>
    </xf>
    <xf numFmtId="0" fontId="28" fillId="17" borderId="1" xfId="0" applyFont="1" applyFill="1" applyBorder="1" applyAlignment="1">
      <alignment horizontal="right" vertical="center"/>
    </xf>
    <xf numFmtId="0" fontId="26" fillId="13" borderId="35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right" vertical="center"/>
    </xf>
    <xf numFmtId="0" fontId="28" fillId="11" borderId="1" xfId="0" applyFont="1" applyFill="1" applyBorder="1" applyAlignment="1">
      <alignment horizontal="right" vertical="center"/>
    </xf>
    <xf numFmtId="0" fontId="5" fillId="14" borderId="6" xfId="0" applyFont="1" applyFill="1" applyBorder="1" applyAlignment="1">
      <alignment horizontal="right" vertical="center"/>
    </xf>
    <xf numFmtId="0" fontId="0" fillId="0" borderId="6" xfId="0" applyBorder="1"/>
    <xf numFmtId="0" fontId="0" fillId="0" borderId="4" xfId="0" applyBorder="1"/>
    <xf numFmtId="0" fontId="37" fillId="0" borderId="0" xfId="0" applyFont="1"/>
    <xf numFmtId="0" fontId="32" fillId="0" borderId="0" xfId="0" applyFont="1"/>
    <xf numFmtId="0" fontId="40" fillId="0" borderId="0" xfId="0" applyFont="1" applyAlignment="1">
      <alignment horizontal="center"/>
    </xf>
    <xf numFmtId="0" fontId="41" fillId="2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46" fillId="23" borderId="0" xfId="0" applyFont="1" applyFill="1"/>
    <xf numFmtId="0" fontId="45" fillId="23" borderId="0" xfId="0" applyFont="1" applyFill="1"/>
    <xf numFmtId="0" fontId="44" fillId="23" borderId="0" xfId="0" applyFont="1" applyFill="1" applyAlignment="1">
      <alignment horizontal="right"/>
    </xf>
    <xf numFmtId="0" fontId="45" fillId="23" borderId="0" xfId="0" applyFont="1" applyFill="1" applyAlignment="1">
      <alignment horizontal="right"/>
    </xf>
    <xf numFmtId="0" fontId="30" fillId="24" borderId="51" xfId="0" applyFont="1" applyFill="1" applyBorder="1" applyAlignment="1">
      <alignment horizontal="center" vertical="center"/>
    </xf>
    <xf numFmtId="0" fontId="29" fillId="24" borderId="51" xfId="0" applyFont="1" applyFill="1" applyBorder="1"/>
    <xf numFmtId="0" fontId="47" fillId="23" borderId="0" xfId="0" applyFont="1" applyFill="1" applyAlignment="1">
      <alignment horizontal="center"/>
    </xf>
    <xf numFmtId="0" fontId="50" fillId="3" borderId="40" xfId="0" applyFont="1" applyFill="1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164" fontId="42" fillId="21" borderId="40" xfId="0" applyNumberFormat="1" applyFont="1" applyFill="1" applyBorder="1" applyAlignment="1">
      <alignment horizontal="center" vertical="center"/>
    </xf>
    <xf numFmtId="0" fontId="0" fillId="0" borderId="3" xfId="0" applyBorder="1"/>
    <xf numFmtId="0" fontId="54" fillId="5" borderId="40" xfId="0" applyFont="1" applyFill="1" applyBorder="1" applyAlignment="1">
      <alignment horizontal="right" vertical="center"/>
    </xf>
    <xf numFmtId="0" fontId="34" fillId="20" borderId="39" xfId="0" applyFont="1" applyFill="1" applyBorder="1" applyAlignment="1">
      <alignment horizontal="center" vertical="center" wrapText="1"/>
    </xf>
    <xf numFmtId="171" fontId="51" fillId="5" borderId="40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9" fontId="42" fillId="8" borderId="40" xfId="0" applyNumberFormat="1" applyFont="1" applyFill="1" applyBorder="1" applyAlignment="1">
      <alignment horizontal="center" vertical="center"/>
    </xf>
    <xf numFmtId="0" fontId="38" fillId="0" borderId="40" xfId="0" applyFont="1" applyBorder="1" applyAlignment="1">
      <alignment vertical="center"/>
    </xf>
    <xf numFmtId="169" fontId="42" fillId="21" borderId="40" xfId="0" applyNumberFormat="1" applyFont="1" applyFill="1" applyBorder="1" applyAlignment="1">
      <alignment horizontal="center" vertical="center"/>
    </xf>
    <xf numFmtId="0" fontId="38" fillId="21" borderId="40" xfId="0" applyFont="1" applyFill="1" applyBorder="1" applyAlignment="1">
      <alignment vertical="center"/>
    </xf>
    <xf numFmtId="171" fontId="51" fillId="3" borderId="40" xfId="0" applyNumberFormat="1" applyFont="1" applyFill="1" applyBorder="1" applyAlignment="1">
      <alignment horizontal="center" vertical="center"/>
    </xf>
    <xf numFmtId="0" fontId="53" fillId="5" borderId="40" xfId="0" applyFont="1" applyFill="1" applyBorder="1" applyAlignment="1">
      <alignment horizontal="right" vertical="center"/>
    </xf>
    <xf numFmtId="0" fontId="56" fillId="8" borderId="40" xfId="0" applyFont="1" applyFill="1" applyBorder="1" applyAlignment="1">
      <alignment horizontal="center" vertical="center"/>
    </xf>
    <xf numFmtId="0" fontId="52" fillId="3" borderId="40" xfId="0" applyFont="1" applyFill="1" applyBorder="1" applyAlignment="1">
      <alignment horizontal="right" vertical="center"/>
    </xf>
    <xf numFmtId="0" fontId="55" fillId="8" borderId="40" xfId="0" applyFont="1" applyFill="1" applyBorder="1" applyAlignment="1">
      <alignment horizontal="center" vertical="center"/>
    </xf>
    <xf numFmtId="0" fontId="53" fillId="3" borderId="40" xfId="0" applyFont="1" applyFill="1" applyBorder="1" applyAlignment="1">
      <alignment horizontal="right" vertical="center"/>
    </xf>
    <xf numFmtId="0" fontId="49" fillId="23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164" fontId="42" fillId="8" borderId="40" xfId="0" applyNumberFormat="1" applyFont="1" applyFill="1" applyBorder="1" applyAlignment="1">
      <alignment horizontal="center" vertical="center"/>
    </xf>
    <xf numFmtId="0" fontId="54" fillId="3" borderId="40" xfId="0" applyFont="1" applyFill="1" applyBorder="1" applyAlignment="1">
      <alignment horizontal="right" vertical="center"/>
    </xf>
    <xf numFmtId="0" fontId="55" fillId="21" borderId="40" xfId="0" applyFont="1" applyFill="1" applyBorder="1" applyAlignment="1">
      <alignment horizontal="center" vertical="center"/>
    </xf>
    <xf numFmtId="0" fontId="56" fillId="21" borderId="40" xfId="0" applyFont="1" applyFill="1" applyBorder="1" applyAlignment="1">
      <alignment horizontal="center" vertical="center"/>
    </xf>
    <xf numFmtId="0" fontId="52" fillId="5" borderId="40" xfId="0" applyFont="1" applyFill="1" applyBorder="1" applyAlignment="1">
      <alignment horizontal="right" vertical="center"/>
    </xf>
    <xf numFmtId="0" fontId="49" fillId="23" borderId="7" xfId="0" applyFont="1" applyFill="1" applyBorder="1" applyAlignment="1">
      <alignment horizontal="center" vertical="center"/>
    </xf>
  </cellXfs>
  <cellStyles count="1">
    <cellStyle name="عادي" xfId="0" builtinId="0"/>
  </cellStyles>
  <dxfs count="11"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b/>
        <i val="0"/>
        <color rgb="FF991B1B"/>
      </font>
      <fill>
        <patternFill>
          <bgColor rgb="FFFEE2E2"/>
        </patternFill>
      </fill>
    </dxf>
    <dxf>
      <font>
        <b/>
        <i val="0"/>
        <color rgb="FF166534"/>
      </font>
      <fill>
        <patternFill>
          <bgColor rgb="FFDCFCE7"/>
        </patternFill>
      </fill>
    </dxf>
    <dxf>
      <font>
        <b/>
        <i val="0"/>
        <color rgb="FF991B1B"/>
      </font>
      <fill>
        <patternFill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93B"/>
  </sheetPr>
  <dimension ref="A1:Z79"/>
  <sheetViews>
    <sheetView showGridLines="0" rightToLeft="1" zoomScaleNormal="100" workbookViewId="0">
      <pane ySplit="8" topLeftCell="A9" activePane="bottomLeft" state="frozen"/>
      <selection pane="bottomLeft" activeCell="D50" sqref="D50"/>
    </sheetView>
  </sheetViews>
  <sheetFormatPr defaultRowHeight="14.25" x14ac:dyDescent="0.2"/>
  <cols>
    <col min="1" max="1" width="38.625" customWidth="1"/>
    <col min="2" max="2" width="10.625" customWidth="1"/>
    <col min="3" max="6" width="20.625" customWidth="1"/>
    <col min="7" max="25" width="3.25" customWidth="1"/>
    <col min="26" max="26" width="1.5" customWidth="1"/>
    <col min="27" max="39" width="3.25" customWidth="1"/>
  </cols>
  <sheetData>
    <row r="1" spans="1:26" ht="38.1" customHeight="1" x14ac:dyDescent="0.35">
      <c r="A1" s="3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 x14ac:dyDescent="0.2">
      <c r="A2" s="3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1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2">
      <c r="A4" s="2"/>
      <c r="B4" s="110" t="s">
        <v>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78" t="s">
        <v>1</v>
      </c>
      <c r="R4" s="103"/>
      <c r="S4" s="103"/>
      <c r="T4" s="103"/>
      <c r="U4" s="103"/>
      <c r="V4" s="103"/>
      <c r="W4" s="103"/>
      <c r="X4" s="103"/>
      <c r="Y4" s="103"/>
      <c r="Z4" s="2"/>
    </row>
    <row r="5" spans="1:26" ht="18" customHeight="1" x14ac:dyDescent="0.2">
      <c r="A5" s="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2"/>
    </row>
    <row r="6" spans="1:26" ht="18" customHeight="1" x14ac:dyDescent="0.2">
      <c r="A6" s="2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2"/>
    </row>
    <row r="7" spans="1:26" ht="18" customHeight="1" x14ac:dyDescent="0.2">
      <c r="A7" s="2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2"/>
    </row>
    <row r="8" spans="1:26" ht="4.1500000000000004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8.1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149999999999999" customHeight="1" x14ac:dyDescent="0.2">
      <c r="A10" s="1"/>
      <c r="B10" s="185" t="s">
        <v>2</v>
      </c>
      <c r="C10" s="186"/>
      <c r="D10" s="186"/>
      <c r="E10" s="186"/>
      <c r="F10" s="186"/>
      <c r="G10" s="186"/>
      <c r="H10" s="186"/>
      <c r="I10" s="186"/>
      <c r="J10" s="121" t="s">
        <v>3</v>
      </c>
      <c r="K10" s="122"/>
      <c r="L10" s="122"/>
      <c r="M10" s="122"/>
      <c r="N10" s="122"/>
      <c r="O10" s="122"/>
      <c r="P10" s="122"/>
      <c r="Q10" s="122"/>
      <c r="R10" s="114" t="s">
        <v>4</v>
      </c>
      <c r="S10" s="115"/>
      <c r="T10" s="115"/>
      <c r="U10" s="115"/>
      <c r="V10" s="115"/>
      <c r="W10" s="115"/>
      <c r="X10" s="115"/>
      <c r="Y10" s="115"/>
      <c r="Z10" s="1"/>
    </row>
    <row r="11" spans="1:26" ht="16.149999999999999" customHeight="1" x14ac:dyDescent="0.2">
      <c r="A11" s="1"/>
      <c r="B11" s="187"/>
      <c r="C11" s="103"/>
      <c r="D11" s="103"/>
      <c r="E11" s="103"/>
      <c r="F11" s="103"/>
      <c r="G11" s="103"/>
      <c r="H11" s="103"/>
      <c r="I11" s="104"/>
      <c r="J11" s="123"/>
      <c r="K11" s="103"/>
      <c r="L11" s="103"/>
      <c r="M11" s="103"/>
      <c r="N11" s="103"/>
      <c r="O11" s="103"/>
      <c r="P11" s="103"/>
      <c r="Q11" s="106"/>
      <c r="R11" s="116"/>
      <c r="S11" s="103"/>
      <c r="T11" s="103"/>
      <c r="U11" s="103"/>
      <c r="V11" s="103"/>
      <c r="W11" s="103"/>
      <c r="X11" s="103"/>
      <c r="Y11" s="108"/>
      <c r="Z11" s="1"/>
    </row>
    <row r="12" spans="1:26" ht="22.15" customHeight="1" x14ac:dyDescent="0.2">
      <c r="A12" s="1"/>
      <c r="B12" s="4"/>
      <c r="C12" s="102">
        <f>COUNTA('👥 بيانات الموظفين'!B5:B200)</f>
        <v>30</v>
      </c>
      <c r="D12" s="103"/>
      <c r="E12" s="103"/>
      <c r="F12" s="103"/>
      <c r="G12" s="103"/>
      <c r="H12" s="103"/>
      <c r="I12" s="104"/>
      <c r="J12" s="5"/>
      <c r="K12" s="105">
        <f>IFERROR(COUNTIF('📅 الحضور'!E5:E500,"حاضر")/MAX(1,COUNTA('📅 الحضور'!B5:B500)),0)</f>
        <v>0.84309133489461363</v>
      </c>
      <c r="L12" s="103"/>
      <c r="M12" s="103"/>
      <c r="N12" s="103"/>
      <c r="O12" s="103"/>
      <c r="P12" s="103"/>
      <c r="Q12" s="106"/>
      <c r="R12" s="6"/>
      <c r="S12" s="107">
        <f>IFERROR(SUM('💰 الرواتب'!O5:O204),0)</f>
        <v>597533.54166666663</v>
      </c>
      <c r="T12" s="103"/>
      <c r="U12" s="103"/>
      <c r="V12" s="103"/>
      <c r="W12" s="103"/>
      <c r="X12" s="103"/>
      <c r="Y12" s="108"/>
      <c r="Z12" s="1"/>
    </row>
    <row r="13" spans="1:26" ht="22.15" customHeight="1" x14ac:dyDescent="0.2">
      <c r="A13" s="1"/>
      <c r="B13" s="4"/>
      <c r="C13" s="103"/>
      <c r="D13" s="103"/>
      <c r="E13" s="103"/>
      <c r="F13" s="103"/>
      <c r="G13" s="103"/>
      <c r="H13" s="103"/>
      <c r="I13" s="104"/>
      <c r="J13" s="5"/>
      <c r="K13" s="103"/>
      <c r="L13" s="103"/>
      <c r="M13" s="103"/>
      <c r="N13" s="103"/>
      <c r="O13" s="103"/>
      <c r="P13" s="103"/>
      <c r="Q13" s="106"/>
      <c r="R13" s="6"/>
      <c r="S13" s="103"/>
      <c r="T13" s="103"/>
      <c r="U13" s="103"/>
      <c r="V13" s="103"/>
      <c r="W13" s="103"/>
      <c r="X13" s="103"/>
      <c r="Y13" s="108"/>
      <c r="Z13" s="1"/>
    </row>
    <row r="14" spans="1:26" ht="14.1" customHeight="1" x14ac:dyDescent="0.2">
      <c r="A14" s="1"/>
      <c r="B14" s="4"/>
      <c r="C14" s="129" t="s">
        <v>5</v>
      </c>
      <c r="D14" s="103"/>
      <c r="E14" s="103"/>
      <c r="F14" s="103"/>
      <c r="G14" s="103"/>
      <c r="H14" s="103"/>
      <c r="I14" s="104"/>
      <c r="J14" s="5"/>
      <c r="K14" s="129" t="s">
        <v>5</v>
      </c>
      <c r="L14" s="103"/>
      <c r="M14" s="103"/>
      <c r="N14" s="103"/>
      <c r="O14" s="103"/>
      <c r="P14" s="103"/>
      <c r="Q14" s="106"/>
      <c r="R14" s="6"/>
      <c r="S14" s="129" t="s">
        <v>5</v>
      </c>
      <c r="T14" s="103"/>
      <c r="U14" s="103"/>
      <c r="V14" s="103"/>
      <c r="W14" s="103"/>
      <c r="X14" s="103"/>
      <c r="Y14" s="108"/>
      <c r="Z14" s="1"/>
    </row>
    <row r="15" spans="1:26" ht="6" customHeight="1" x14ac:dyDescent="0.2">
      <c r="A15" s="1"/>
      <c r="B15" s="7"/>
      <c r="C15" s="8"/>
      <c r="D15" s="8"/>
      <c r="E15" s="8"/>
      <c r="F15" s="8"/>
      <c r="G15" s="8"/>
      <c r="H15" s="8"/>
      <c r="I15" s="8"/>
      <c r="J15" s="9"/>
      <c r="K15" s="8"/>
      <c r="L15" s="8"/>
      <c r="M15" s="8"/>
      <c r="N15" s="8"/>
      <c r="O15" s="8"/>
      <c r="P15" s="8"/>
      <c r="Q15" s="8"/>
      <c r="R15" s="10"/>
      <c r="S15" s="8"/>
      <c r="T15" s="8"/>
      <c r="U15" s="8"/>
      <c r="V15" s="8"/>
      <c r="W15" s="8"/>
      <c r="X15" s="8"/>
      <c r="Y15" s="8"/>
      <c r="Z15" s="1"/>
    </row>
    <row r="16" spans="1:26" ht="18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149999999999999" customHeight="1" x14ac:dyDescent="0.2">
      <c r="A17" s="1"/>
      <c r="B17" s="125" t="s">
        <v>6</v>
      </c>
      <c r="C17" s="126"/>
      <c r="D17" s="126"/>
      <c r="E17" s="126"/>
      <c r="F17" s="126"/>
      <c r="G17" s="126"/>
      <c r="H17" s="126"/>
      <c r="I17" s="126"/>
      <c r="J17" s="139" t="s">
        <v>7</v>
      </c>
      <c r="K17" s="140"/>
      <c r="L17" s="140"/>
      <c r="M17" s="140"/>
      <c r="N17" s="140"/>
      <c r="O17" s="140"/>
      <c r="P17" s="140"/>
      <c r="Q17" s="140"/>
      <c r="R17" s="156" t="s">
        <v>8</v>
      </c>
      <c r="S17" s="157"/>
      <c r="T17" s="157"/>
      <c r="U17" s="157"/>
      <c r="V17" s="157"/>
      <c r="W17" s="157"/>
      <c r="X17" s="157"/>
      <c r="Y17" s="157"/>
      <c r="Z17" s="1"/>
    </row>
    <row r="18" spans="1:26" ht="16.149999999999999" customHeight="1" x14ac:dyDescent="0.2">
      <c r="A18" s="1"/>
      <c r="B18" s="127"/>
      <c r="C18" s="103"/>
      <c r="D18" s="103"/>
      <c r="E18" s="103"/>
      <c r="F18" s="103"/>
      <c r="G18" s="103"/>
      <c r="H18" s="103"/>
      <c r="I18" s="128"/>
      <c r="J18" s="141"/>
      <c r="K18" s="103"/>
      <c r="L18" s="103"/>
      <c r="M18" s="103"/>
      <c r="N18" s="103"/>
      <c r="O18" s="103"/>
      <c r="P18" s="103"/>
      <c r="Q18" s="132"/>
      <c r="R18" s="158"/>
      <c r="S18" s="103"/>
      <c r="T18" s="103"/>
      <c r="U18" s="103"/>
      <c r="V18" s="103"/>
      <c r="W18" s="103"/>
      <c r="X18" s="103"/>
      <c r="Y18" s="113"/>
      <c r="Z18" s="1"/>
    </row>
    <row r="19" spans="1:26" ht="22.15" customHeight="1" x14ac:dyDescent="0.2">
      <c r="A19" s="1"/>
      <c r="B19" s="11"/>
      <c r="C19" s="135">
        <f>COUNTIF('🌴 الإجازات'!F5:F500,"قيد المراجعة")</f>
        <v>0</v>
      </c>
      <c r="D19" s="103"/>
      <c r="E19" s="103"/>
      <c r="F19" s="103"/>
      <c r="G19" s="103"/>
      <c r="H19" s="103"/>
      <c r="I19" s="128"/>
      <c r="J19" s="12"/>
      <c r="K19" s="180">
        <f>IFERROR(AVERAGE('📊 KPI الأداء'!K5:K300),0)</f>
        <v>85.533333333333331</v>
      </c>
      <c r="L19" s="103"/>
      <c r="M19" s="103"/>
      <c r="N19" s="103"/>
      <c r="O19" s="103"/>
      <c r="P19" s="103"/>
      <c r="Q19" s="132"/>
      <c r="R19" s="13"/>
      <c r="S19" s="112">
        <f>COUNTIF('🎯 التوظيف'!N5:N300,"نشط")</f>
        <v>0</v>
      </c>
      <c r="T19" s="103"/>
      <c r="U19" s="103"/>
      <c r="V19" s="103"/>
      <c r="W19" s="103"/>
      <c r="X19" s="103"/>
      <c r="Y19" s="113"/>
      <c r="Z19" s="1"/>
    </row>
    <row r="20" spans="1:26" ht="22.15" customHeight="1" x14ac:dyDescent="0.2">
      <c r="A20" s="1"/>
      <c r="B20" s="11"/>
      <c r="C20" s="103"/>
      <c r="D20" s="103"/>
      <c r="E20" s="103"/>
      <c r="F20" s="103"/>
      <c r="G20" s="103"/>
      <c r="H20" s="103"/>
      <c r="I20" s="128"/>
      <c r="J20" s="12"/>
      <c r="K20" s="103"/>
      <c r="L20" s="103"/>
      <c r="M20" s="103"/>
      <c r="N20" s="103"/>
      <c r="O20" s="103"/>
      <c r="P20" s="103"/>
      <c r="Q20" s="132"/>
      <c r="R20" s="13"/>
      <c r="S20" s="103"/>
      <c r="T20" s="103"/>
      <c r="U20" s="103"/>
      <c r="V20" s="103"/>
      <c r="W20" s="103"/>
      <c r="X20" s="103"/>
      <c r="Y20" s="113"/>
      <c r="Z20" s="1"/>
    </row>
    <row r="21" spans="1:26" ht="14.1" customHeight="1" x14ac:dyDescent="0.2">
      <c r="A21" s="1"/>
      <c r="B21" s="11"/>
      <c r="C21" s="129" t="s">
        <v>5</v>
      </c>
      <c r="D21" s="103"/>
      <c r="E21" s="103"/>
      <c r="F21" s="103"/>
      <c r="G21" s="103"/>
      <c r="H21" s="103"/>
      <c r="I21" s="128"/>
      <c r="J21" s="12"/>
      <c r="K21" s="129" t="s">
        <v>5</v>
      </c>
      <c r="L21" s="103"/>
      <c r="M21" s="103"/>
      <c r="N21" s="103"/>
      <c r="O21" s="103"/>
      <c r="P21" s="103"/>
      <c r="Q21" s="132"/>
      <c r="R21" s="13"/>
      <c r="S21" s="129" t="s">
        <v>5</v>
      </c>
      <c r="T21" s="103"/>
      <c r="U21" s="103"/>
      <c r="V21" s="103"/>
      <c r="W21" s="103"/>
      <c r="X21" s="103"/>
      <c r="Y21" s="113"/>
      <c r="Z21" s="1"/>
    </row>
    <row r="22" spans="1:26" ht="6" customHeight="1" x14ac:dyDescent="0.2">
      <c r="A22" s="1"/>
      <c r="B22" s="14"/>
      <c r="C22" s="8"/>
      <c r="D22" s="8"/>
      <c r="E22" s="8"/>
      <c r="F22" s="8"/>
      <c r="G22" s="8"/>
      <c r="H22" s="8"/>
      <c r="I22" s="8"/>
      <c r="J22" s="15"/>
      <c r="K22" s="8"/>
      <c r="L22" s="8"/>
      <c r="M22" s="8"/>
      <c r="N22" s="8"/>
      <c r="O22" s="8"/>
      <c r="P22" s="8"/>
      <c r="Q22" s="8"/>
      <c r="R22" s="16"/>
      <c r="S22" s="8"/>
      <c r="T22" s="8"/>
      <c r="U22" s="8"/>
      <c r="V22" s="8"/>
      <c r="W22" s="8"/>
      <c r="X22" s="8"/>
      <c r="Y22" s="8"/>
      <c r="Z22" s="1"/>
    </row>
    <row r="23" spans="1:26" ht="18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.1500000000000004" customHeight="1" x14ac:dyDescent="0.2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"/>
    </row>
    <row r="25" spans="1:26" ht="8.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15" customHeight="1" x14ac:dyDescent="0.2">
      <c r="A26" s="1"/>
      <c r="B26" s="134" t="s">
        <v>9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"/>
    </row>
    <row r="27" spans="1:26" ht="20.100000000000001" customHeight="1" x14ac:dyDescent="0.2">
      <c r="A27" s="1"/>
      <c r="B27" s="130" t="s">
        <v>10</v>
      </c>
      <c r="C27" s="103"/>
      <c r="D27" s="103"/>
      <c r="E27" s="103"/>
      <c r="F27" s="103"/>
      <c r="G27" s="130" t="s">
        <v>11</v>
      </c>
      <c r="H27" s="103"/>
      <c r="I27" s="103"/>
      <c r="J27" s="103"/>
      <c r="K27" s="130" t="s">
        <v>12</v>
      </c>
      <c r="L27" s="103"/>
      <c r="M27" s="103"/>
      <c r="N27" s="103"/>
      <c r="O27" s="130" t="s">
        <v>13</v>
      </c>
      <c r="P27" s="103"/>
      <c r="Q27" s="103"/>
      <c r="R27" s="103"/>
      <c r="S27" s="130" t="s">
        <v>14</v>
      </c>
      <c r="T27" s="103"/>
      <c r="U27" s="103"/>
      <c r="V27" s="103"/>
      <c r="W27" s="130" t="s">
        <v>15</v>
      </c>
      <c r="X27" s="103"/>
      <c r="Y27" s="103"/>
      <c r="Z27" s="1"/>
    </row>
    <row r="28" spans="1:26" ht="19.149999999999999" customHeight="1" x14ac:dyDescent="0.2">
      <c r="A28" s="1"/>
      <c r="B28" s="131" t="s">
        <v>16</v>
      </c>
      <c r="C28" s="118"/>
      <c r="D28" s="118"/>
      <c r="E28" s="118"/>
      <c r="F28" s="118"/>
      <c r="G28" s="142">
        <f>COUNTIF('👥 بيانات الموظفين'!E5:E200,"الموارد البشرية")</f>
        <v>2</v>
      </c>
      <c r="H28" s="103"/>
      <c r="I28" s="103"/>
      <c r="J28" s="103"/>
      <c r="K28" s="119">
        <f>SUMIF('👥 بيانات الموظفين'!E5:E200,"الموارد البشرية",'👥 بيانات الموظفين'!K5:K200)</f>
        <v>32425</v>
      </c>
      <c r="L28" s="103"/>
      <c r="M28" s="103"/>
      <c r="N28" s="103"/>
      <c r="O28" s="119">
        <f>IFERROR(SUMIF('👥 بيانات الموظفين'!E5:E200,"الموارد البشرية",'👥 بيانات الموظفين'!K5:K200)/COUNTIF('👥 بيانات الموظفين'!E5:E200,"الموارد البشرية"),0)</f>
        <v>16212.5</v>
      </c>
      <c r="P28" s="103"/>
      <c r="Q28" s="103"/>
      <c r="R28" s="103"/>
      <c r="S28" s="136">
        <f>IFERROR(COUNTIF('👥 بيانات الموظفين'!E5:E200,"الموارد البشرية")/MAX(1,COUNTA('👥 بيانات الموظفين'!B5:B200)),0)</f>
        <v>6.6666666666666666E-2</v>
      </c>
      <c r="T28" s="103"/>
      <c r="U28" s="103"/>
      <c r="V28" s="103"/>
      <c r="W28" s="109">
        <f>IFERROR(AVERAGEIF('📊 KPI الأداء'!D5:D300,"الموارد البشرية",'📊 KPI الأداء'!K5:K300),0)</f>
        <v>0</v>
      </c>
      <c r="X28" s="103"/>
      <c r="Y28" s="103"/>
      <c r="Z28" s="1"/>
    </row>
    <row r="29" spans="1:26" ht="19.149999999999999" customHeight="1" x14ac:dyDescent="0.2">
      <c r="A29" s="1"/>
      <c r="B29" s="167" t="s">
        <v>17</v>
      </c>
      <c r="C29" s="118"/>
      <c r="D29" s="118"/>
      <c r="E29" s="118"/>
      <c r="F29" s="118"/>
      <c r="G29" s="111">
        <f>COUNTIF('👥 بيانات الموظفين'!E5:E200,"المحاسبة")</f>
        <v>3</v>
      </c>
      <c r="H29" s="103"/>
      <c r="I29" s="103"/>
      <c r="J29" s="103"/>
      <c r="K29" s="133">
        <f>SUMIF('👥 بيانات الموظفين'!E5:E200,"المحاسبة",'👥 بيانات الموظفين'!K5:K200)</f>
        <v>45675</v>
      </c>
      <c r="L29" s="103"/>
      <c r="M29" s="103"/>
      <c r="N29" s="103"/>
      <c r="O29" s="133">
        <f>IFERROR(SUMIF('👥 بيانات الموظفين'!E5:E200,"المحاسبة",'👥 بيانات الموظفين'!K5:K200)/COUNTIF('👥 بيانات الموظفين'!E5:E200,"المحاسبة"),0)</f>
        <v>15225</v>
      </c>
      <c r="P29" s="103"/>
      <c r="Q29" s="103"/>
      <c r="R29" s="103"/>
      <c r="S29" s="137">
        <f>IFERROR(COUNTIF('👥 بيانات الموظفين'!E5:E200,"المحاسبة")/MAX(1,COUNTA('👥 بيانات الموظفين'!B5:B200)),0)</f>
        <v>0.1</v>
      </c>
      <c r="T29" s="103"/>
      <c r="U29" s="103"/>
      <c r="V29" s="103"/>
      <c r="W29" s="120">
        <f>IFERROR(AVERAGEIF('📊 KPI الأداء'!D5:D300,"المحاسبة",'📊 KPI الأداء'!K5:K300),0)</f>
        <v>0</v>
      </c>
      <c r="X29" s="103"/>
      <c r="Y29" s="103"/>
      <c r="Z29" s="1"/>
    </row>
    <row r="30" spans="1:26" ht="19.149999999999999" customHeight="1" x14ac:dyDescent="0.2">
      <c r="A30" s="1"/>
      <c r="B30" s="124" t="s">
        <v>18</v>
      </c>
      <c r="C30" s="118"/>
      <c r="D30" s="118"/>
      <c r="E30" s="118"/>
      <c r="F30" s="118"/>
      <c r="G30" s="142">
        <f>COUNTIF('👥 بيانات الموظفين'!E5:E200,"المبيعات")</f>
        <v>5</v>
      </c>
      <c r="H30" s="103"/>
      <c r="I30" s="103"/>
      <c r="J30" s="103"/>
      <c r="K30" s="119">
        <f>SUMIF('👥 بيانات الموظفين'!E5:E200,"المبيعات",'👥 بيانات الموظفين'!K5:K200)</f>
        <v>69750</v>
      </c>
      <c r="L30" s="103"/>
      <c r="M30" s="103"/>
      <c r="N30" s="103"/>
      <c r="O30" s="119">
        <f>IFERROR(SUMIF('👥 بيانات الموظفين'!E5:E200,"المبيعات",'👥 بيانات الموظفين'!K5:K200)/COUNTIF('👥 بيانات الموظفين'!E5:E200,"المبيعات"),0)</f>
        <v>13950</v>
      </c>
      <c r="P30" s="103"/>
      <c r="Q30" s="103"/>
      <c r="R30" s="103"/>
      <c r="S30" s="136">
        <f>IFERROR(COUNTIF('👥 بيانات الموظفين'!E5:E200,"المبيعات")/MAX(1,COUNTA('👥 بيانات الموظفين'!B5:B200)),0)</f>
        <v>0.16666666666666666</v>
      </c>
      <c r="T30" s="103"/>
      <c r="U30" s="103"/>
      <c r="V30" s="103"/>
      <c r="W30" s="109">
        <f>IFERROR(AVERAGEIF('📊 KPI الأداء'!D5:D300,"المبيعات",'📊 KPI الأداء'!K5:K300),0)</f>
        <v>0</v>
      </c>
      <c r="X30" s="103"/>
      <c r="Y30" s="103"/>
      <c r="Z30" s="1"/>
    </row>
    <row r="31" spans="1:26" ht="19.149999999999999" customHeight="1" x14ac:dyDescent="0.2">
      <c r="A31" s="1"/>
      <c r="B31" s="117" t="s">
        <v>19</v>
      </c>
      <c r="C31" s="118"/>
      <c r="D31" s="118"/>
      <c r="E31" s="118"/>
      <c r="F31" s="118"/>
      <c r="G31" s="111">
        <f>COUNTIF('👥 بيانات الموظفين'!E5:E200,"خدمة العملاء")</f>
        <v>4</v>
      </c>
      <c r="H31" s="103"/>
      <c r="I31" s="103"/>
      <c r="J31" s="103"/>
      <c r="K31" s="133">
        <f>SUMIF('👥 بيانات الموظفين'!E5:E200,"خدمة العملاء",'👥 بيانات الموظفين'!K5:K200)</f>
        <v>38025</v>
      </c>
      <c r="L31" s="103"/>
      <c r="M31" s="103"/>
      <c r="N31" s="103"/>
      <c r="O31" s="133">
        <f>IFERROR(SUMIF('👥 بيانات الموظفين'!E5:E200,"خدمة العملاء",'👥 بيانات الموظفين'!K5:K200)/COUNTIF('👥 بيانات الموظفين'!E5:E200,"خدمة العملاء"),0)</f>
        <v>9506.25</v>
      </c>
      <c r="P31" s="103"/>
      <c r="Q31" s="103"/>
      <c r="R31" s="103"/>
      <c r="S31" s="137">
        <f>IFERROR(COUNTIF('👥 بيانات الموظفين'!E5:E200,"خدمة العملاء")/MAX(1,COUNTA('👥 بيانات الموظفين'!B5:B200)),0)</f>
        <v>0.13333333333333333</v>
      </c>
      <c r="T31" s="103"/>
      <c r="U31" s="103"/>
      <c r="V31" s="103"/>
      <c r="W31" s="120">
        <f>IFERROR(AVERAGEIF('📊 KPI الأداء'!D5:D300,"خدمة العملاء",'📊 KPI الأداء'!K5:K300),0)</f>
        <v>0</v>
      </c>
      <c r="X31" s="103"/>
      <c r="Y31" s="103"/>
      <c r="Z31" s="1"/>
    </row>
    <row r="32" spans="1:26" ht="19.149999999999999" customHeight="1" x14ac:dyDescent="0.2">
      <c r="A32" s="1"/>
      <c r="B32" s="183" t="s">
        <v>20</v>
      </c>
      <c r="C32" s="118"/>
      <c r="D32" s="118"/>
      <c r="E32" s="118"/>
      <c r="F32" s="118"/>
      <c r="G32" s="142">
        <f>COUNTIF('👥 بيانات الموظفين'!E5:E200,"تقنية المعلومات")</f>
        <v>8</v>
      </c>
      <c r="H32" s="103"/>
      <c r="I32" s="103"/>
      <c r="J32" s="103"/>
      <c r="K32" s="119">
        <f>SUMIF('👥 بيانات الموظفين'!E5:E200,"تقنية المعلومات",'👥 بيانات الموظفين'!K5:K200)</f>
        <v>149025</v>
      </c>
      <c r="L32" s="103"/>
      <c r="M32" s="103"/>
      <c r="N32" s="103"/>
      <c r="O32" s="119">
        <f>IFERROR(SUMIF('👥 بيانات الموظفين'!E5:E200,"تقنية المعلومات",'👥 بيانات الموظفين'!K5:K200)/COUNTIF('👥 بيانات الموظفين'!E5:E200,"تقنية المعلومات"),0)</f>
        <v>18628.125</v>
      </c>
      <c r="P32" s="103"/>
      <c r="Q32" s="103"/>
      <c r="R32" s="103"/>
      <c r="S32" s="136">
        <f>IFERROR(COUNTIF('👥 بيانات الموظفين'!E5:E200,"تقنية المعلومات")/MAX(1,COUNTA('👥 بيانات الموظفين'!B5:B200)),0)</f>
        <v>0.26666666666666666</v>
      </c>
      <c r="T32" s="103"/>
      <c r="U32" s="103"/>
      <c r="V32" s="103"/>
      <c r="W32" s="109">
        <f>IFERROR(AVERAGEIF('📊 KPI الأداء'!D5:D300,"تقنية المعلومات",'📊 KPI الأداء'!K5:K300),0)</f>
        <v>0</v>
      </c>
      <c r="X32" s="103"/>
      <c r="Y32" s="103"/>
      <c r="Z32" s="1"/>
    </row>
    <row r="33" spans="1:26" ht="19.149999999999999" customHeight="1" x14ac:dyDescent="0.2">
      <c r="A33" s="1"/>
      <c r="B33" s="181" t="s">
        <v>21</v>
      </c>
      <c r="C33" s="118"/>
      <c r="D33" s="118"/>
      <c r="E33" s="118"/>
      <c r="F33" s="118"/>
      <c r="G33" s="111">
        <f>COUNTIF('👥 بيانات الموظفين'!E5:E200,"العمليات")</f>
        <v>2</v>
      </c>
      <c r="H33" s="103"/>
      <c r="I33" s="103"/>
      <c r="J33" s="103"/>
      <c r="K33" s="133">
        <f>SUMIF('👥 بيانات الموظفين'!E5:E200,"العمليات",'👥 بيانات الموظفين'!K5:K200)</f>
        <v>31075</v>
      </c>
      <c r="L33" s="103"/>
      <c r="M33" s="103"/>
      <c r="N33" s="103"/>
      <c r="O33" s="133">
        <f>IFERROR(SUMIF('👥 بيانات الموظفين'!E5:E200,"العمليات",'👥 بيانات الموظفين'!K5:K200)/COUNTIF('👥 بيانات الموظفين'!E5:E200,"العمليات"),0)</f>
        <v>15537.5</v>
      </c>
      <c r="P33" s="103"/>
      <c r="Q33" s="103"/>
      <c r="R33" s="103"/>
      <c r="S33" s="137">
        <f>IFERROR(COUNTIF('👥 بيانات الموظفين'!E5:E200,"العمليات")/MAX(1,COUNTA('👥 بيانات الموظفين'!B5:B200)),0)</f>
        <v>6.6666666666666666E-2</v>
      </c>
      <c r="T33" s="103"/>
      <c r="U33" s="103"/>
      <c r="V33" s="103"/>
      <c r="W33" s="120">
        <f>IFERROR(AVERAGEIF('📊 KPI الأداء'!D5:D300,"العمليات",'📊 KPI الأداء'!K5:K300),0)</f>
        <v>0</v>
      </c>
      <c r="X33" s="103"/>
      <c r="Y33" s="103"/>
      <c r="Z33" s="1"/>
    </row>
    <row r="34" spans="1:26" ht="19.149999999999999" customHeight="1" x14ac:dyDescent="0.2">
      <c r="A34" s="1"/>
      <c r="B34" s="166" t="s">
        <v>22</v>
      </c>
      <c r="C34" s="118"/>
      <c r="D34" s="118"/>
      <c r="E34" s="118"/>
      <c r="F34" s="118"/>
      <c r="G34" s="142">
        <f>COUNTIF('👥 بيانات الموظفين'!E5:E200,"التسويق")</f>
        <v>3</v>
      </c>
      <c r="H34" s="103"/>
      <c r="I34" s="103"/>
      <c r="J34" s="103"/>
      <c r="K34" s="119">
        <f>SUMIF('👥 بيانات الموظفين'!E5:E200,"التسويق",'👥 بيانات الموظفين'!K5:K200)</f>
        <v>48375</v>
      </c>
      <c r="L34" s="103"/>
      <c r="M34" s="103"/>
      <c r="N34" s="103"/>
      <c r="O34" s="119">
        <f>IFERROR(SUMIF('👥 بيانات الموظفين'!E5:E200,"التسويق",'👥 بيانات الموظفين'!K5:K200)/COUNTIF('👥 بيانات الموظفين'!E5:E200,"التسويق"),0)</f>
        <v>16125</v>
      </c>
      <c r="P34" s="103"/>
      <c r="Q34" s="103"/>
      <c r="R34" s="103"/>
      <c r="S34" s="136">
        <f>IFERROR(COUNTIF('👥 بيانات الموظفين'!E5:E200,"التسويق")/MAX(1,COUNTA('👥 بيانات الموظفين'!B5:B200)),0)</f>
        <v>0.1</v>
      </c>
      <c r="T34" s="103"/>
      <c r="U34" s="103"/>
      <c r="V34" s="103"/>
      <c r="W34" s="109">
        <f>IFERROR(AVERAGEIF('📊 KPI الأداء'!D5:D300,"التسويق",'📊 KPI الأداء'!K5:K300),0)</f>
        <v>0</v>
      </c>
      <c r="X34" s="103"/>
      <c r="Y34" s="103"/>
      <c r="Z34" s="1"/>
    </row>
    <row r="35" spans="1:26" ht="19.149999999999999" customHeight="1" x14ac:dyDescent="0.2">
      <c r="A35" s="1"/>
      <c r="B35" s="184" t="s">
        <v>23</v>
      </c>
      <c r="C35" s="118"/>
      <c r="D35" s="118"/>
      <c r="E35" s="118"/>
      <c r="F35" s="118"/>
      <c r="G35" s="111">
        <f>COUNTIF('👥 بيانات الموظفين'!E5:E200,"الإدارة")</f>
        <v>3</v>
      </c>
      <c r="H35" s="103"/>
      <c r="I35" s="103"/>
      <c r="J35" s="103"/>
      <c r="K35" s="133">
        <f>SUMIF('👥 بيانات الموظفين'!E5:E200,"الإدارة",'👥 بيانات الموظفين'!K5:K200)</f>
        <v>140050</v>
      </c>
      <c r="L35" s="103"/>
      <c r="M35" s="103"/>
      <c r="N35" s="103"/>
      <c r="O35" s="133">
        <f>IFERROR(SUMIF('👥 بيانات الموظفين'!E5:E200,"الإدارة",'👥 بيانات الموظفين'!K5:K200)/COUNTIF('👥 بيانات الموظفين'!E5:E200,"الإدارة"),0)</f>
        <v>46683.333333333336</v>
      </c>
      <c r="P35" s="103"/>
      <c r="Q35" s="103"/>
      <c r="R35" s="103"/>
      <c r="S35" s="137">
        <f>IFERROR(COUNTIF('👥 بيانات الموظفين'!E5:E200,"الإدارة")/MAX(1,COUNTA('👥 بيانات الموظفين'!B5:B200)),0)</f>
        <v>0.1</v>
      </c>
      <c r="T35" s="103"/>
      <c r="U35" s="103"/>
      <c r="V35" s="103"/>
      <c r="W35" s="120">
        <f>IFERROR(AVERAGEIF('📊 KPI الأداء'!D5:D300,"الإدارة",'📊 KPI الأداء'!K5:K300),0)</f>
        <v>0</v>
      </c>
      <c r="X35" s="103"/>
      <c r="Y35" s="103"/>
      <c r="Z35" s="1"/>
    </row>
    <row r="36" spans="1:26" ht="20.100000000000001" customHeight="1" x14ac:dyDescent="0.2">
      <c r="A36" s="1"/>
      <c r="B36" s="160" t="s">
        <v>24</v>
      </c>
      <c r="C36" s="103"/>
      <c r="D36" s="103"/>
      <c r="E36" s="103"/>
      <c r="F36" s="103"/>
      <c r="G36" s="164">
        <f>COUNTA('👥 بيانات الموظفين'!B5:B200)</f>
        <v>30</v>
      </c>
      <c r="H36" s="103"/>
      <c r="I36" s="103"/>
      <c r="J36" s="103"/>
      <c r="K36" s="165">
        <f>IFERROR(SUM('👥 بيانات الموظفين'!K5:K200),0)</f>
        <v>554400</v>
      </c>
      <c r="L36" s="103"/>
      <c r="M36" s="103"/>
      <c r="N36" s="103"/>
      <c r="O36" s="138" t="s">
        <v>25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"/>
    </row>
    <row r="37" spans="1:26" ht="4.1500000000000004" customHeight="1" x14ac:dyDescent="0.2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1"/>
    </row>
    <row r="38" spans="1:26" ht="8.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 x14ac:dyDescent="0.2">
      <c r="A39" s="1"/>
      <c r="B39" s="152" t="s">
        <v>26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"/>
    </row>
    <row r="40" spans="1:26" ht="18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8.1" customHeight="1" x14ac:dyDescent="0.2">
      <c r="A41" s="1"/>
      <c r="B41" s="17"/>
      <c r="C41" s="17"/>
      <c r="D41" s="17"/>
      <c r="E41" s="17"/>
      <c r="F41" s="17"/>
      <c r="G41" s="17"/>
      <c r="H41" s="18"/>
      <c r="I41" s="18"/>
      <c r="J41" s="18"/>
      <c r="K41" s="18"/>
      <c r="L41" s="18"/>
      <c r="M41" s="18"/>
      <c r="N41" s="19"/>
      <c r="O41" s="19"/>
      <c r="P41" s="19"/>
      <c r="Q41" s="19"/>
      <c r="R41" s="19"/>
      <c r="S41" s="19"/>
      <c r="T41" s="20"/>
      <c r="U41" s="20"/>
      <c r="V41" s="20"/>
      <c r="W41" s="20"/>
      <c r="X41" s="20"/>
      <c r="Y41" s="20"/>
      <c r="Z41" s="1"/>
    </row>
    <row r="42" spans="1:26" ht="20.100000000000001" customHeight="1" x14ac:dyDescent="0.2">
      <c r="A42" s="1"/>
      <c r="B42" s="162" t="s">
        <v>27</v>
      </c>
      <c r="C42" s="103"/>
      <c r="D42" s="103"/>
      <c r="E42" s="103"/>
      <c r="F42" s="103"/>
      <c r="G42" s="104"/>
      <c r="H42" s="155" t="s">
        <v>28</v>
      </c>
      <c r="I42" s="103"/>
      <c r="J42" s="103"/>
      <c r="K42" s="103"/>
      <c r="L42" s="103"/>
      <c r="M42" s="106"/>
      <c r="N42" s="163" t="s">
        <v>29</v>
      </c>
      <c r="O42" s="103"/>
      <c r="P42" s="103"/>
      <c r="Q42" s="103"/>
      <c r="R42" s="103"/>
      <c r="S42" s="108"/>
      <c r="T42" s="151" t="s">
        <v>30</v>
      </c>
      <c r="U42" s="103"/>
      <c r="V42" s="103"/>
      <c r="W42" s="103"/>
      <c r="X42" s="103"/>
      <c r="Y42" s="132"/>
      <c r="Z42" s="1"/>
    </row>
    <row r="43" spans="1:26" ht="15" customHeight="1" x14ac:dyDescent="0.2">
      <c r="A43" s="1"/>
      <c r="B43" s="159" t="s">
        <v>31</v>
      </c>
      <c r="C43" s="103"/>
      <c r="D43" s="103"/>
      <c r="E43" s="103"/>
      <c r="F43" s="103"/>
      <c r="G43" s="104"/>
      <c r="H43" s="153" t="s">
        <v>32</v>
      </c>
      <c r="I43" s="103"/>
      <c r="J43" s="103"/>
      <c r="K43" s="103"/>
      <c r="L43" s="103"/>
      <c r="M43" s="106"/>
      <c r="N43" s="161" t="s">
        <v>33</v>
      </c>
      <c r="O43" s="103"/>
      <c r="P43" s="103"/>
      <c r="Q43" s="103"/>
      <c r="R43" s="103"/>
      <c r="S43" s="108"/>
      <c r="T43" s="154" t="s">
        <v>34</v>
      </c>
      <c r="U43" s="103"/>
      <c r="V43" s="103"/>
      <c r="W43" s="103"/>
      <c r="X43" s="103"/>
      <c r="Y43" s="132"/>
      <c r="Z43" s="1"/>
    </row>
    <row r="44" spans="1:26" ht="5.0999999999999996" customHeight="1" x14ac:dyDescent="0.2">
      <c r="A44" s="1"/>
      <c r="B44" s="21"/>
      <c r="C44" s="21"/>
      <c r="D44" s="21"/>
      <c r="E44" s="21"/>
      <c r="F44" s="21"/>
      <c r="G44" s="21"/>
      <c r="H44" s="22"/>
      <c r="I44" s="22"/>
      <c r="J44" s="22"/>
      <c r="K44" s="22"/>
      <c r="L44" s="22"/>
      <c r="M44" s="22"/>
      <c r="N44" s="23"/>
      <c r="O44" s="23"/>
      <c r="P44" s="23"/>
      <c r="Q44" s="23"/>
      <c r="R44" s="23"/>
      <c r="S44" s="23"/>
      <c r="T44" s="24"/>
      <c r="U44" s="24"/>
      <c r="V44" s="24"/>
      <c r="W44" s="24"/>
      <c r="X44" s="24"/>
      <c r="Y44" s="24"/>
      <c r="Z44" s="1"/>
    </row>
    <row r="45" spans="1:26" ht="6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8.1" customHeight="1" x14ac:dyDescent="0.2">
      <c r="A46" s="1"/>
      <c r="B46" s="25"/>
      <c r="C46" s="25"/>
      <c r="D46" s="25"/>
      <c r="E46" s="25"/>
      <c r="F46" s="25"/>
      <c r="G46" s="25"/>
      <c r="H46" s="26"/>
      <c r="I46" s="26"/>
      <c r="J46" s="26"/>
      <c r="K46" s="26"/>
      <c r="L46" s="26"/>
      <c r="M46" s="26"/>
      <c r="N46" s="27"/>
      <c r="O46" s="27"/>
      <c r="P46" s="27"/>
      <c r="Q46" s="27"/>
      <c r="R46" s="27"/>
      <c r="S46" s="27"/>
      <c r="T46" s="28"/>
      <c r="U46" s="28"/>
      <c r="V46" s="28"/>
      <c r="W46" s="28"/>
      <c r="X46" s="28"/>
      <c r="Y46" s="28"/>
      <c r="Z46" s="1"/>
    </row>
    <row r="47" spans="1:26" ht="20.100000000000001" customHeight="1" x14ac:dyDescent="0.2">
      <c r="A47" s="1"/>
      <c r="B47" s="150" t="s">
        <v>35</v>
      </c>
      <c r="C47" s="103"/>
      <c r="D47" s="103"/>
      <c r="E47" s="103"/>
      <c r="F47" s="103"/>
      <c r="G47" s="113"/>
      <c r="H47" s="146" t="s">
        <v>36</v>
      </c>
      <c r="I47" s="103"/>
      <c r="J47" s="103"/>
      <c r="K47" s="103"/>
      <c r="L47" s="103"/>
      <c r="M47" s="128"/>
      <c r="N47" s="179" t="s">
        <v>37</v>
      </c>
      <c r="O47" s="103"/>
      <c r="P47" s="103"/>
      <c r="Q47" s="103"/>
      <c r="R47" s="103"/>
      <c r="S47" s="148"/>
      <c r="T47" s="182" t="s">
        <v>38</v>
      </c>
      <c r="U47" s="103"/>
      <c r="V47" s="103"/>
      <c r="W47" s="103"/>
      <c r="X47" s="103"/>
      <c r="Y47" s="144"/>
      <c r="Z47" s="1"/>
    </row>
    <row r="48" spans="1:26" ht="15" customHeight="1" x14ac:dyDescent="0.2">
      <c r="A48" s="1"/>
      <c r="B48" s="145" t="s">
        <v>39</v>
      </c>
      <c r="C48" s="103"/>
      <c r="D48" s="103"/>
      <c r="E48" s="103"/>
      <c r="F48" s="103"/>
      <c r="G48" s="113"/>
      <c r="H48" s="149" t="s">
        <v>40</v>
      </c>
      <c r="I48" s="103"/>
      <c r="J48" s="103"/>
      <c r="K48" s="103"/>
      <c r="L48" s="103"/>
      <c r="M48" s="128"/>
      <c r="N48" s="147" t="s">
        <v>41</v>
      </c>
      <c r="O48" s="103"/>
      <c r="P48" s="103"/>
      <c r="Q48" s="103"/>
      <c r="R48" s="103"/>
      <c r="S48" s="148"/>
      <c r="T48" s="143" t="s">
        <v>42</v>
      </c>
      <c r="U48" s="103"/>
      <c r="V48" s="103"/>
      <c r="W48" s="103"/>
      <c r="X48" s="103"/>
      <c r="Y48" s="144"/>
      <c r="Z48" s="1"/>
    </row>
    <row r="49" spans="1:26" ht="5.0999999999999996" customHeight="1" x14ac:dyDescent="0.2">
      <c r="A49" s="1"/>
      <c r="B49" s="29"/>
      <c r="C49" s="29"/>
      <c r="D49" s="29"/>
      <c r="E49" s="29"/>
      <c r="F49" s="29"/>
      <c r="G49" s="29"/>
      <c r="H49" s="30"/>
      <c r="I49" s="30"/>
      <c r="J49" s="30"/>
      <c r="K49" s="30"/>
      <c r="L49" s="30"/>
      <c r="M49" s="30"/>
      <c r="N49" s="31"/>
      <c r="O49" s="31"/>
      <c r="P49" s="31"/>
      <c r="Q49" s="31"/>
      <c r="R49" s="31"/>
      <c r="S49" s="31"/>
      <c r="T49" s="32"/>
      <c r="U49" s="32"/>
      <c r="V49" s="32"/>
      <c r="W49" s="32"/>
      <c r="X49" s="32"/>
      <c r="Y49" s="32"/>
      <c r="Z49" s="1"/>
    </row>
    <row r="50" spans="1:26" ht="18" customHeight="1" x14ac:dyDescent="0.2"/>
    <row r="51" spans="1:26" ht="16.149999999999999" customHeight="1" x14ac:dyDescent="0.2"/>
    <row r="52" spans="1:26" ht="14.1" customHeight="1" x14ac:dyDescent="0.2"/>
    <row r="53" spans="1:26" ht="18" customHeight="1" x14ac:dyDescent="0.2"/>
    <row r="54" spans="1:26" ht="18" customHeight="1" x14ac:dyDescent="0.2"/>
    <row r="55" spans="1:26" ht="18" customHeight="1" x14ac:dyDescent="0.2"/>
    <row r="56" spans="1:26" ht="18" customHeight="1" x14ac:dyDescent="0.2"/>
    <row r="57" spans="1:26" ht="18" customHeight="1" x14ac:dyDescent="0.2"/>
    <row r="58" spans="1:26" ht="18" customHeight="1" x14ac:dyDescent="0.2"/>
    <row r="59" spans="1:26" ht="18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6" ht="38.1" customHeight="1" x14ac:dyDescent="0.25">
      <c r="A65" s="172" t="s">
        <v>221</v>
      </c>
      <c r="B65" s="173"/>
      <c r="C65" s="173"/>
      <c r="D65" s="173"/>
      <c r="E65" s="173"/>
      <c r="F65" s="174"/>
    </row>
    <row r="66" spans="1:6" ht="20.100000000000001" customHeight="1" x14ac:dyDescent="0.2">
      <c r="A66" s="175" t="s">
        <v>228</v>
      </c>
      <c r="B66" s="176"/>
      <c r="C66" s="176"/>
      <c r="D66" s="176"/>
      <c r="E66" s="176"/>
      <c r="F66" s="177"/>
    </row>
    <row r="67" spans="1:6" ht="28.15" customHeight="1" x14ac:dyDescent="0.2">
      <c r="A67" s="36" t="s">
        <v>222</v>
      </c>
      <c r="B67" s="37" t="s">
        <v>223</v>
      </c>
      <c r="C67" s="37" t="s">
        <v>229</v>
      </c>
      <c r="D67" s="37"/>
      <c r="E67" s="37"/>
      <c r="F67" s="38"/>
    </row>
    <row r="68" spans="1:6" ht="30" customHeight="1" x14ac:dyDescent="0.2">
      <c r="A68" s="39" t="s">
        <v>230</v>
      </c>
      <c r="B68" s="40">
        <f ca="1">SUMPRODUCT(('👥 بيانات الموظفين'!$X$5:$X$204&lt;&gt;"")*('👥 بيانات الموظفين'!$X$5:$X$204-TODAY()&lt;=ExpiryWarnDays)*('👥 بيانات الموظفين'!$X$5:$X$204-TODAY()&gt;=0))</f>
        <v>2</v>
      </c>
      <c r="C68" s="170" t="s">
        <v>224</v>
      </c>
      <c r="D68" s="170"/>
      <c r="E68" s="170"/>
      <c r="F68" s="171"/>
    </row>
    <row r="69" spans="1:6" ht="30" customHeight="1" x14ac:dyDescent="0.2">
      <c r="A69" s="41" t="s">
        <v>231</v>
      </c>
      <c r="B69" s="42">
        <f ca="1">SUMPRODUCT(('👥 بيانات الموظفين'!$V$5:$V$204&lt;&gt;"")*('👥 بيانات الموظفين'!$V$5:$V$204-TODAY()&lt;=ExpiryWarnDays)*('👥 بيانات الموظفين'!$V$5:$V$204-TODAY()&gt;=0))</f>
        <v>1</v>
      </c>
      <c r="C69" s="168" t="s">
        <v>225</v>
      </c>
      <c r="D69" s="168"/>
      <c r="E69" s="168"/>
      <c r="F69" s="169"/>
    </row>
    <row r="70" spans="1:6" ht="30" customHeight="1" x14ac:dyDescent="0.2">
      <c r="A70" s="39" t="s">
        <v>232</v>
      </c>
      <c r="B70" s="40">
        <f ca="1">SUMPRODUCT(('👥 بيانات الموظفين'!$W$5:$W$204&lt;&gt;"")*('👥 بيانات الموظفين'!$W$5:$W$204-TODAY()&lt;=30)*('👥 بيانات الموظفين'!$W$5:$W$204-TODAY()&gt;=0))</f>
        <v>0</v>
      </c>
      <c r="C70" s="170" t="s">
        <v>233</v>
      </c>
      <c r="D70" s="170"/>
      <c r="E70" s="170"/>
      <c r="F70" s="171"/>
    </row>
    <row r="71" spans="1:6" ht="30" customHeight="1" x14ac:dyDescent="0.2">
      <c r="A71" s="41" t="s">
        <v>234</v>
      </c>
      <c r="B71" s="42">
        <f ca="1">SUMPRODUCT(('👥 بيانات الموظفين'!$Q$5:$Q$204&lt;0)*1)</f>
        <v>1</v>
      </c>
      <c r="C71" s="168" t="s">
        <v>226</v>
      </c>
      <c r="D71" s="168"/>
      <c r="E71" s="168"/>
      <c r="F71" s="169"/>
    </row>
    <row r="72" spans="1:6" ht="30" customHeight="1" x14ac:dyDescent="0.2">
      <c r="A72" s="39" t="s">
        <v>235</v>
      </c>
      <c r="B72" s="40">
        <f>COUNTIFS('📅 الحضور'!$E:$E,"غائب",'📅 الحضور'!$L:$L,PayPeriod)</f>
        <v>3</v>
      </c>
      <c r="C72" s="170" t="s">
        <v>227</v>
      </c>
      <c r="D72" s="170"/>
      <c r="E72" s="170"/>
      <c r="F72" s="171"/>
    </row>
    <row r="73" spans="1:6" ht="18" customHeight="1" x14ac:dyDescent="0.2"/>
    <row r="74" spans="1:6" ht="18" customHeight="1" x14ac:dyDescent="0.2"/>
    <row r="75" spans="1:6" ht="18" customHeight="1" x14ac:dyDescent="0.2"/>
    <row r="76" spans="1:6" ht="18" customHeight="1" x14ac:dyDescent="0.2"/>
    <row r="77" spans="1:6" ht="18" customHeight="1" x14ac:dyDescent="0.2"/>
    <row r="78" spans="1:6" ht="18" customHeight="1" x14ac:dyDescent="0.2"/>
    <row r="79" spans="1:6" ht="18" customHeight="1" x14ac:dyDescent="0.2"/>
  </sheetData>
  <mergeCells count="103">
    <mergeCell ref="C71:F71"/>
    <mergeCell ref="C72:F72"/>
    <mergeCell ref="A65:F65"/>
    <mergeCell ref="A66:F66"/>
    <mergeCell ref="C68:F68"/>
    <mergeCell ref="C69:F69"/>
    <mergeCell ref="C70:F70"/>
    <mergeCell ref="Q4:Y7"/>
    <mergeCell ref="G28:J28"/>
    <mergeCell ref="N47:S47"/>
    <mergeCell ref="K19:Q20"/>
    <mergeCell ref="B33:F33"/>
    <mergeCell ref="G30:J30"/>
    <mergeCell ref="T47:Y47"/>
    <mergeCell ref="B32:F32"/>
    <mergeCell ref="B35:F35"/>
    <mergeCell ref="B10:I11"/>
    <mergeCell ref="S32:V32"/>
    <mergeCell ref="W27:Y27"/>
    <mergeCell ref="K34:N34"/>
    <mergeCell ref="S21:Y21"/>
    <mergeCell ref="G27:J27"/>
    <mergeCell ref="O33:R33"/>
    <mergeCell ref="W34:Y34"/>
    <mergeCell ref="B36:F36"/>
    <mergeCell ref="N43:S43"/>
    <mergeCell ref="G33:J33"/>
    <mergeCell ref="G35:J35"/>
    <mergeCell ref="B42:G42"/>
    <mergeCell ref="N42:S42"/>
    <mergeCell ref="G36:J36"/>
    <mergeCell ref="K36:N36"/>
    <mergeCell ref="O29:R29"/>
    <mergeCell ref="K32:N32"/>
    <mergeCell ref="B34:F34"/>
    <mergeCell ref="B29:F29"/>
    <mergeCell ref="T48:Y48"/>
    <mergeCell ref="B48:G48"/>
    <mergeCell ref="H47:M47"/>
    <mergeCell ref="N48:S48"/>
    <mergeCell ref="H48:M48"/>
    <mergeCell ref="B47:G47"/>
    <mergeCell ref="T42:Y42"/>
    <mergeCell ref="B39:Y39"/>
    <mergeCell ref="H43:M43"/>
    <mergeCell ref="T43:Y43"/>
    <mergeCell ref="H42:M42"/>
    <mergeCell ref="B43:G43"/>
    <mergeCell ref="O36:Y36"/>
    <mergeCell ref="O34:R34"/>
    <mergeCell ref="O32:R32"/>
    <mergeCell ref="J17:Q18"/>
    <mergeCell ref="S27:V27"/>
    <mergeCell ref="K33:N33"/>
    <mergeCell ref="K35:N35"/>
    <mergeCell ref="K31:N31"/>
    <mergeCell ref="K14:Q14"/>
    <mergeCell ref="W32:Y32"/>
    <mergeCell ref="S29:V29"/>
    <mergeCell ref="G32:J32"/>
    <mergeCell ref="S31:V31"/>
    <mergeCell ref="O35:R35"/>
    <mergeCell ref="G34:J34"/>
    <mergeCell ref="S34:V34"/>
    <mergeCell ref="R17:Y18"/>
    <mergeCell ref="S30:V30"/>
    <mergeCell ref="K29:N29"/>
    <mergeCell ref="B26:Y26"/>
    <mergeCell ref="C19:I20"/>
    <mergeCell ref="S28:V28"/>
    <mergeCell ref="S14:Y14"/>
    <mergeCell ref="O31:R31"/>
    <mergeCell ref="W33:Y33"/>
    <mergeCell ref="K27:N27"/>
    <mergeCell ref="W35:Y35"/>
    <mergeCell ref="S33:V33"/>
    <mergeCell ref="W31:Y31"/>
    <mergeCell ref="S35:V35"/>
    <mergeCell ref="B27:F27"/>
    <mergeCell ref="C12:I13"/>
    <mergeCell ref="K12:Q13"/>
    <mergeCell ref="S12:Y13"/>
    <mergeCell ref="W28:Y28"/>
    <mergeCell ref="B4:P7"/>
    <mergeCell ref="G31:J31"/>
    <mergeCell ref="S19:Y20"/>
    <mergeCell ref="R10:Y11"/>
    <mergeCell ref="B31:F31"/>
    <mergeCell ref="K28:N28"/>
    <mergeCell ref="K30:N30"/>
    <mergeCell ref="O28:R28"/>
    <mergeCell ref="W29:Y29"/>
    <mergeCell ref="O30:R30"/>
    <mergeCell ref="J10:Q11"/>
    <mergeCell ref="B30:F30"/>
    <mergeCell ref="B17:I18"/>
    <mergeCell ref="C21:I21"/>
    <mergeCell ref="W30:Y30"/>
    <mergeCell ref="O27:R27"/>
    <mergeCell ref="C14:I14"/>
    <mergeCell ref="B28:F28"/>
    <mergeCell ref="K21:Q21"/>
    <mergeCell ref="G29:J29"/>
  </mergeCells>
  <conditionalFormatting sqref="B68:B72">
    <cfRule type="expression" dxfId="10" priority="1" stopIfTrue="1">
      <formula>0</formula>
    </cfRule>
  </conditionalFormatting>
  <hyperlinks>
    <hyperlink ref="B42" location="'👥 بيانات الموظفين'!A1" display="👥 بيانات الموظفين" xr:uid="{00000000-0004-0000-0000-000000000000}"/>
    <hyperlink ref="H42" location="'📅 الحضور'!A1" display="📅 الحضور" xr:uid="{00000000-0004-0000-0000-000001000000}"/>
    <hyperlink ref="N42" location="'💰 الرواتب'!A1" display="💰 الرواتب" xr:uid="{00000000-0004-0000-0000-000002000000}"/>
    <hyperlink ref="T42" location="'🌴 الإجازات'!A1" display="🌴 الإجازات" xr:uid="{00000000-0004-0000-0000-000003000000}"/>
    <hyperlink ref="B47" location="'➕ الخصومات والمكافآت'!A1" display="➕ الخصومات" xr:uid="{00000000-0004-0000-0000-000004000000}"/>
    <hyperlink ref="H47" location="'📊 KPI الأداء'!A1" display="📊 KPI الأداء" xr:uid="{00000000-0004-0000-0000-000005000000}"/>
    <hyperlink ref="N47" location="'🎯 التوظيف'!A1" display="🎯 التوظيف" xr:uid="{00000000-0004-0000-0000-000006000000}"/>
    <hyperlink ref="T47" location="'📈 التقارير'!A1" display="📈 التقارير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CC80-1790-40E6-BBCA-C1E1BFEB252F}">
  <sheetPr>
    <tabColor rgb="FF1E293B"/>
  </sheetPr>
  <dimension ref="A1:I18"/>
  <sheetViews>
    <sheetView showGridLines="0" rightToLeft="1" zoomScale="160" zoomScaleNormal="160" workbookViewId="0">
      <pane ySplit="3" topLeftCell="A4" activePane="bottomLeft" state="frozenSplit"/>
      <selection pane="bottomLeft" sqref="A1:I1"/>
    </sheetView>
  </sheetViews>
  <sheetFormatPr defaultRowHeight="14.25" x14ac:dyDescent="0.2"/>
  <cols>
    <col min="1" max="1" width="34.625" customWidth="1"/>
    <col min="2" max="2" width="18.625" customWidth="1"/>
    <col min="3" max="3" width="2.625" customWidth="1"/>
    <col min="4" max="5" width="22.625" customWidth="1"/>
    <col min="6" max="7" width="20.625" customWidth="1"/>
    <col min="8" max="8" width="18.625" customWidth="1"/>
    <col min="9" max="9" width="22.625" customWidth="1"/>
  </cols>
  <sheetData>
    <row r="1" spans="1:9" ht="38.1" customHeight="1" x14ac:dyDescent="0.35">
      <c r="A1" s="188" t="s">
        <v>154</v>
      </c>
      <c r="B1" s="188"/>
      <c r="C1" s="188"/>
      <c r="D1" s="188"/>
      <c r="E1" s="188"/>
      <c r="F1" s="188"/>
      <c r="G1" s="188"/>
      <c r="H1" s="188"/>
      <c r="I1" s="188"/>
    </row>
    <row r="2" spans="1:9" ht="20.100000000000001" customHeight="1" x14ac:dyDescent="0.2">
      <c r="A2" s="189" t="s">
        <v>155</v>
      </c>
      <c r="B2" s="189"/>
      <c r="C2" s="189"/>
      <c r="D2" s="189"/>
      <c r="E2" s="189"/>
      <c r="F2" s="189"/>
      <c r="G2" s="189"/>
      <c r="H2" s="189"/>
      <c r="I2" s="189"/>
    </row>
    <row r="3" spans="1:9" ht="15.75" x14ac:dyDescent="0.25">
      <c r="D3" s="190" t="s">
        <v>172</v>
      </c>
      <c r="E3" s="190"/>
      <c r="F3" s="190"/>
      <c r="G3" s="190"/>
      <c r="H3" s="190"/>
      <c r="I3" s="190"/>
    </row>
    <row r="4" spans="1:9" ht="26.1" customHeight="1" x14ac:dyDescent="0.2">
      <c r="A4" s="43" t="s">
        <v>156</v>
      </c>
      <c r="B4" s="45">
        <v>4</v>
      </c>
      <c r="D4" s="35" t="s">
        <v>173</v>
      </c>
      <c r="E4" s="35" t="s">
        <v>174</v>
      </c>
      <c r="F4" s="35" t="s">
        <v>178</v>
      </c>
      <c r="G4" s="35" t="s">
        <v>104</v>
      </c>
      <c r="H4" s="35" t="s">
        <v>189</v>
      </c>
      <c r="I4" s="35" t="s">
        <v>194</v>
      </c>
    </row>
    <row r="5" spans="1:9" ht="22.15" customHeight="1" x14ac:dyDescent="0.2">
      <c r="A5" s="43" t="s">
        <v>157</v>
      </c>
      <c r="B5" s="45">
        <v>2026</v>
      </c>
      <c r="D5" s="51" t="s">
        <v>16</v>
      </c>
      <c r="E5" s="51" t="s">
        <v>65</v>
      </c>
      <c r="F5" s="51" t="s">
        <v>86</v>
      </c>
      <c r="G5" s="51" t="s">
        <v>181</v>
      </c>
      <c r="H5" s="51" t="s">
        <v>190</v>
      </c>
      <c r="I5" s="51" t="s">
        <v>195</v>
      </c>
    </row>
    <row r="6" spans="1:9" ht="22.15" customHeight="1" x14ac:dyDescent="0.2">
      <c r="A6" s="43" t="s">
        <v>158</v>
      </c>
      <c r="B6" s="46" t="str">
        <f>TEXT(DATE(B5,B4,1),"yyyy-mm")</f>
        <v>2026-04</v>
      </c>
      <c r="D6" s="52" t="s">
        <v>17</v>
      </c>
      <c r="E6" s="52" t="s">
        <v>175</v>
      </c>
      <c r="F6" s="52" t="s">
        <v>87</v>
      </c>
      <c r="G6" s="52" t="s">
        <v>182</v>
      </c>
      <c r="H6" s="52" t="s">
        <v>191</v>
      </c>
      <c r="I6" s="52" t="s">
        <v>196</v>
      </c>
    </row>
    <row r="7" spans="1:9" ht="22.15" customHeight="1" x14ac:dyDescent="0.2">
      <c r="A7" s="43" t="s">
        <v>159</v>
      </c>
      <c r="B7" s="45">
        <v>30</v>
      </c>
      <c r="D7" s="51" t="s">
        <v>18</v>
      </c>
      <c r="E7" s="51" t="s">
        <v>176</v>
      </c>
      <c r="F7" s="51" t="s">
        <v>88</v>
      </c>
      <c r="G7" s="51" t="s">
        <v>183</v>
      </c>
      <c r="H7" s="51" t="s">
        <v>192</v>
      </c>
      <c r="I7" s="51" t="s">
        <v>197</v>
      </c>
    </row>
    <row r="8" spans="1:9" ht="22.15" customHeight="1" x14ac:dyDescent="0.2">
      <c r="A8" s="43" t="s">
        <v>160</v>
      </c>
      <c r="B8" s="45">
        <v>8</v>
      </c>
      <c r="D8" s="52" t="s">
        <v>19</v>
      </c>
      <c r="E8" s="52" t="s">
        <v>177</v>
      </c>
      <c r="F8" s="52" t="s">
        <v>179</v>
      </c>
      <c r="G8" s="52" t="s">
        <v>184</v>
      </c>
      <c r="H8" s="52" t="s">
        <v>193</v>
      </c>
      <c r="I8" s="52" t="s">
        <v>198</v>
      </c>
    </row>
    <row r="9" spans="1:9" ht="22.15" customHeight="1" x14ac:dyDescent="0.2">
      <c r="A9" s="43" t="s">
        <v>161</v>
      </c>
      <c r="B9" s="45">
        <f>B7*B8</f>
        <v>240</v>
      </c>
      <c r="D9" s="51" t="s">
        <v>20</v>
      </c>
      <c r="E9" s="51"/>
      <c r="F9" s="51" t="s">
        <v>180</v>
      </c>
      <c r="G9" s="51" t="s">
        <v>185</v>
      </c>
      <c r="H9" s="51"/>
      <c r="I9" s="51"/>
    </row>
    <row r="10" spans="1:9" ht="22.15" customHeight="1" x14ac:dyDescent="0.2">
      <c r="A10" s="43" t="s">
        <v>162</v>
      </c>
      <c r="B10" s="47">
        <v>1.5</v>
      </c>
      <c r="D10" s="52" t="s">
        <v>21</v>
      </c>
      <c r="E10" s="52"/>
      <c r="F10" s="52"/>
      <c r="G10" s="52" t="s">
        <v>186</v>
      </c>
      <c r="H10" s="52"/>
      <c r="I10" s="52"/>
    </row>
    <row r="11" spans="1:9" ht="22.15" customHeight="1" x14ac:dyDescent="0.2">
      <c r="A11" s="43" t="s">
        <v>163</v>
      </c>
      <c r="B11" s="47">
        <v>2</v>
      </c>
      <c r="D11" s="51" t="s">
        <v>22</v>
      </c>
      <c r="E11" s="51"/>
      <c r="F11" s="51"/>
      <c r="G11" s="51" t="s">
        <v>187</v>
      </c>
      <c r="H11" s="51"/>
      <c r="I11" s="51"/>
    </row>
    <row r="12" spans="1:9" ht="22.15" customHeight="1" x14ac:dyDescent="0.2">
      <c r="A12" s="43" t="s">
        <v>164</v>
      </c>
      <c r="B12" s="48">
        <v>0.1</v>
      </c>
      <c r="D12" s="52" t="s">
        <v>23</v>
      </c>
      <c r="E12" s="52"/>
      <c r="F12" s="52"/>
      <c r="G12" s="52" t="s">
        <v>188</v>
      </c>
      <c r="H12" s="52"/>
      <c r="I12" s="52"/>
    </row>
    <row r="13" spans="1:9" ht="24" customHeight="1" x14ac:dyDescent="0.2">
      <c r="A13" s="43" t="s">
        <v>165</v>
      </c>
      <c r="B13" s="48">
        <v>0.12</v>
      </c>
    </row>
    <row r="14" spans="1:9" ht="24" customHeight="1" x14ac:dyDescent="0.2">
      <c r="A14" s="43" t="s">
        <v>166</v>
      </c>
      <c r="B14" s="49">
        <v>45000</v>
      </c>
    </row>
    <row r="15" spans="1:9" ht="24" customHeight="1" x14ac:dyDescent="0.2">
      <c r="A15" s="43" t="s">
        <v>167</v>
      </c>
      <c r="B15" s="45">
        <v>21</v>
      </c>
    </row>
    <row r="16" spans="1:9" ht="24" customHeight="1" x14ac:dyDescent="0.2">
      <c r="A16" s="43" t="s">
        <v>168</v>
      </c>
      <c r="B16" s="45">
        <v>30</v>
      </c>
    </row>
    <row r="17" spans="1:2" ht="24" customHeight="1" x14ac:dyDescent="0.2">
      <c r="A17" s="43" t="s">
        <v>169</v>
      </c>
      <c r="B17" s="46" t="s">
        <v>170</v>
      </c>
    </row>
    <row r="18" spans="1:2" ht="24" customHeight="1" x14ac:dyDescent="0.2">
      <c r="A18" s="43" t="s">
        <v>171</v>
      </c>
      <c r="B18" s="45">
        <v>60</v>
      </c>
    </row>
  </sheetData>
  <mergeCells count="3">
    <mergeCell ref="A1:I1"/>
    <mergeCell ref="A2:I2"/>
    <mergeCell ref="D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93B"/>
  </sheetPr>
  <dimension ref="A1:AD204"/>
  <sheetViews>
    <sheetView showGridLines="0" rightToLeft="1" zoomScaleNormal="100"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activeCell="B34" sqref="B34"/>
    </sheetView>
  </sheetViews>
  <sheetFormatPr defaultRowHeight="14.25" x14ac:dyDescent="0.2"/>
  <cols>
    <col min="1" max="1" width="5.625" customWidth="1"/>
    <col min="2" max="2" width="12.625" customWidth="1"/>
    <col min="3" max="3" width="24.625" customWidth="1"/>
    <col min="4" max="4" width="10.625" customWidth="1"/>
    <col min="5" max="6" width="20.625" customWidth="1"/>
    <col min="7" max="7" width="12.625" customWidth="1"/>
    <col min="8" max="8" width="14.625" customWidth="1"/>
    <col min="9" max="10" width="12.625" customWidth="1"/>
    <col min="11" max="12" width="14.625" customWidth="1"/>
    <col min="13" max="13" width="10.625" customWidth="1"/>
    <col min="14" max="14" width="15.625" customWidth="1"/>
    <col min="15" max="15" width="14.625" customWidth="1"/>
    <col min="16" max="16" width="22.625" customWidth="1"/>
    <col min="17" max="17" width="10.625" customWidth="1"/>
    <col min="18" max="18" width="18.625" customWidth="1"/>
    <col min="19" max="19" width="22.625" customWidth="1"/>
    <col min="20" max="23" width="14.625" customWidth="1"/>
    <col min="24" max="24" width="15.625" customWidth="1"/>
    <col min="25" max="25" width="16.625" customWidth="1"/>
    <col min="26" max="26" width="24.625" customWidth="1"/>
    <col min="27" max="27" width="20.625" customWidth="1"/>
    <col min="28" max="28" width="15.625" customWidth="1"/>
    <col min="29" max="29" width="10.625" customWidth="1"/>
    <col min="30" max="30" width="28.625" customWidth="1"/>
  </cols>
  <sheetData>
    <row r="1" spans="1:30" ht="38.1" customHeight="1" x14ac:dyDescent="0.2">
      <c r="A1" s="191" t="s">
        <v>43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</row>
    <row r="2" spans="1:30" ht="20.100000000000001" customHeight="1" x14ac:dyDescent="0.2">
      <c r="A2" s="192" t="s">
        <v>44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</row>
    <row r="3" spans="1:30" ht="15" customHeight="1" x14ac:dyDescent="0.2"/>
    <row r="4" spans="1:30" ht="36" customHeight="1" x14ac:dyDescent="0.2">
      <c r="A4" s="35" t="s">
        <v>45</v>
      </c>
      <c r="B4" s="35" t="s">
        <v>46</v>
      </c>
      <c r="C4" s="35" t="s">
        <v>47</v>
      </c>
      <c r="D4" s="35" t="s">
        <v>48</v>
      </c>
      <c r="E4" s="35" t="s">
        <v>10</v>
      </c>
      <c r="F4" s="35" t="s">
        <v>49</v>
      </c>
      <c r="G4" s="35" t="s">
        <v>50</v>
      </c>
      <c r="H4" s="35" t="s">
        <v>51</v>
      </c>
      <c r="I4" s="35" t="s">
        <v>52</v>
      </c>
      <c r="J4" s="35" t="s">
        <v>53</v>
      </c>
      <c r="K4" s="35" t="s">
        <v>54</v>
      </c>
      <c r="L4" s="35" t="s">
        <v>55</v>
      </c>
      <c r="M4" s="35" t="s">
        <v>56</v>
      </c>
      <c r="N4" s="35" t="s">
        <v>57</v>
      </c>
      <c r="O4" s="35" t="s">
        <v>58</v>
      </c>
      <c r="P4" s="35" t="s">
        <v>59</v>
      </c>
      <c r="Q4" s="35" t="s">
        <v>60</v>
      </c>
      <c r="R4" s="35" t="s">
        <v>61</v>
      </c>
      <c r="S4" s="35" t="s">
        <v>62</v>
      </c>
      <c r="T4" s="35" t="s">
        <v>189</v>
      </c>
      <c r="U4" s="35" t="s">
        <v>208</v>
      </c>
      <c r="V4" s="35" t="s">
        <v>207</v>
      </c>
      <c r="W4" s="35" t="s">
        <v>206</v>
      </c>
      <c r="X4" s="35" t="s">
        <v>205</v>
      </c>
      <c r="Y4" s="35" t="s">
        <v>204</v>
      </c>
      <c r="Z4" s="35" t="s">
        <v>203</v>
      </c>
      <c r="AA4" s="35" t="s">
        <v>202</v>
      </c>
      <c r="AB4" s="35" t="s">
        <v>201</v>
      </c>
      <c r="AC4" s="35" t="s">
        <v>200</v>
      </c>
      <c r="AD4" s="35" t="s">
        <v>199</v>
      </c>
    </row>
    <row r="5" spans="1:30" ht="22.15" customHeight="1" x14ac:dyDescent="0.2">
      <c r="A5" s="53">
        <v>1</v>
      </c>
      <c r="B5" s="53" t="s">
        <v>63</v>
      </c>
      <c r="C5" s="53" t="s">
        <v>261</v>
      </c>
      <c r="D5" s="53" t="s">
        <v>64</v>
      </c>
      <c r="E5" s="53" t="s">
        <v>23</v>
      </c>
      <c r="F5" s="53" t="s">
        <v>297</v>
      </c>
      <c r="G5" s="53" t="s">
        <v>65</v>
      </c>
      <c r="H5" s="62">
        <v>42000</v>
      </c>
      <c r="I5" s="62">
        <v>10500</v>
      </c>
      <c r="J5" s="62">
        <v>2500</v>
      </c>
      <c r="K5" s="64">
        <f>H5+I5+J5</f>
        <v>55000</v>
      </c>
      <c r="L5" s="55">
        <f>DATEVALUE("2017-01-15")</f>
        <v>42750</v>
      </c>
      <c r="M5" s="56">
        <f t="shared" ref="M5:M36" ca="1" si="0">IF(L5&lt;&gt;"",DATEDIF(L5,TODAY(),"Y"),"")</f>
        <v>9</v>
      </c>
      <c r="N5" s="53">
        <v>1023456789</v>
      </c>
      <c r="O5" s="53">
        <v>501112222</v>
      </c>
      <c r="P5" s="53" t="s">
        <v>321</v>
      </c>
      <c r="Q5" s="68">
        <f ca="1">IF(B5="","",AC5-IFERROR(SUMIFS('🌴 الإجازات'!$G:$G,'🌴 الإجازات'!$B:$B,B5,'🌴 الإجازات'!$K:$K,"معتمدة"),0))</f>
        <v>30</v>
      </c>
      <c r="R5" s="53" t="s">
        <v>351</v>
      </c>
      <c r="S5" s="53" t="s">
        <v>362</v>
      </c>
      <c r="T5" s="50" t="s">
        <v>190</v>
      </c>
      <c r="U5" s="72">
        <f>DATEVALUE("2017-01-15")</f>
        <v>42750</v>
      </c>
      <c r="V5" s="72"/>
      <c r="W5" s="72"/>
      <c r="X5" s="72"/>
      <c r="Y5" s="50">
        <v>100200300401</v>
      </c>
      <c r="Z5" s="50" t="s">
        <v>210</v>
      </c>
      <c r="AA5" s="50" t="s">
        <v>389</v>
      </c>
      <c r="AB5" s="67">
        <f t="shared" ref="AB5:AB36" ca="1" si="1">IF(AND(B5&lt;&gt;"",L5&lt;&gt;""),(0.5*H5*MIN(M5,5))+(1*H5*MAX(0,M5-5)),"")</f>
        <v>273000</v>
      </c>
      <c r="AC5" s="44">
        <f t="shared" ref="AC5:AC36" ca="1" si="2">IF(B5&lt;&gt;"",IF(IFERROR(M5,0)&gt;=5,LeaveDaysSenior,LeaveDaysJunior),"")</f>
        <v>30</v>
      </c>
      <c r="AD5" s="50" t="str">
        <f t="shared" ref="AD5:AD36" ca="1" si="3">IF(B5="","",IF(AND(X5&lt;&gt;"",X5-TODAY()&lt;=ExpiryWarnDays,X5-TODAY()&gt;=0),"⚠️ إقامة تنتهي خلال "&amp;(X5-TODAY())&amp;" يوم",IF(AND(V5&lt;&gt;"",V5-TODAY()&lt;=ExpiryWarnDays,V5-TODAY()&gt;=0),"⚠️ عقد ينتهي خلال "&amp;(V5-TODAY())&amp;" يوم",IF(AND(W5&lt;&gt;"",W5-TODAY()&lt;=30,W5-TODAY()&gt;=0),"🟡 تجربة تنتهي خلال "&amp;(W5-TODAY())&amp;" يوم",""))))</f>
        <v/>
      </c>
    </row>
    <row r="6" spans="1:30" ht="22.15" customHeight="1" x14ac:dyDescent="0.2">
      <c r="A6" s="57">
        <v>2</v>
      </c>
      <c r="B6" s="57" t="s">
        <v>66</v>
      </c>
      <c r="C6" s="57" t="s">
        <v>262</v>
      </c>
      <c r="D6" s="57" t="s">
        <v>67</v>
      </c>
      <c r="E6" s="57" t="s">
        <v>23</v>
      </c>
      <c r="F6" s="57" t="s">
        <v>298</v>
      </c>
      <c r="G6" s="57" t="s">
        <v>65</v>
      </c>
      <c r="H6" s="63">
        <v>35000</v>
      </c>
      <c r="I6" s="63">
        <v>8750</v>
      </c>
      <c r="J6" s="63">
        <v>2000</v>
      </c>
      <c r="K6" s="65">
        <f>H6+I6+J6</f>
        <v>45750</v>
      </c>
      <c r="L6" s="59">
        <f>DATEVALUE("2018-06-01")</f>
        <v>43252</v>
      </c>
      <c r="M6" s="60">
        <f t="shared" ca="1" si="0"/>
        <v>7</v>
      </c>
      <c r="N6" s="57">
        <v>2034567890</v>
      </c>
      <c r="O6" s="57">
        <v>552223333</v>
      </c>
      <c r="P6" s="57" t="s">
        <v>322</v>
      </c>
      <c r="Q6" s="69">
        <f ca="1">IF(B6="","",AC6-IFERROR(SUMIFS('🌴 الإجازات'!$G:$G,'🌴 الإجازات'!$B:$B,B6,'🌴 الإجازات'!$K:$K,"معتمدة"),0))</f>
        <v>30</v>
      </c>
      <c r="R6" s="57" t="s">
        <v>352</v>
      </c>
      <c r="S6" s="57"/>
      <c r="T6" s="61" t="s">
        <v>190</v>
      </c>
      <c r="U6" s="73">
        <f>DATEVALUE("2018-06-01")</f>
        <v>43252</v>
      </c>
      <c r="V6" s="73"/>
      <c r="W6" s="73"/>
      <c r="X6" s="73"/>
      <c r="Y6" s="61">
        <v>100200300402</v>
      </c>
      <c r="Z6" s="61" t="s">
        <v>209</v>
      </c>
      <c r="AA6" s="61" t="s">
        <v>389</v>
      </c>
      <c r="AB6" s="66">
        <f t="shared" ca="1" si="1"/>
        <v>157500</v>
      </c>
      <c r="AC6" s="74">
        <f t="shared" ca="1" si="2"/>
        <v>30</v>
      </c>
      <c r="AD6" s="61" t="str">
        <f t="shared" ca="1" si="3"/>
        <v/>
      </c>
    </row>
    <row r="7" spans="1:30" ht="22.15" customHeight="1" x14ac:dyDescent="0.2">
      <c r="A7" s="53">
        <v>3</v>
      </c>
      <c r="B7" s="53" t="s">
        <v>69</v>
      </c>
      <c r="C7" s="53" t="s">
        <v>263</v>
      </c>
      <c r="D7" s="53" t="s">
        <v>64</v>
      </c>
      <c r="E7" s="53" t="s">
        <v>23</v>
      </c>
      <c r="F7" s="53" t="s">
        <v>299</v>
      </c>
      <c r="G7" s="53" t="s">
        <v>65</v>
      </c>
      <c r="H7" s="62">
        <v>30000</v>
      </c>
      <c r="I7" s="62">
        <v>7500</v>
      </c>
      <c r="J7" s="62">
        <v>1800</v>
      </c>
      <c r="K7" s="64">
        <f>H7+I7+J7</f>
        <v>39300</v>
      </c>
      <c r="L7" s="55">
        <f>DATEVALUE("2019-03-10")</f>
        <v>43534</v>
      </c>
      <c r="M7" s="56">
        <f t="shared" ca="1" si="0"/>
        <v>7</v>
      </c>
      <c r="N7" s="53">
        <v>1045678901</v>
      </c>
      <c r="O7" s="53">
        <v>533334444</v>
      </c>
      <c r="P7" s="53" t="s">
        <v>323</v>
      </c>
      <c r="Q7" s="68">
        <f ca="1">IF(B7="","",AC7-IFERROR(SUMIFS('🌴 الإجازات'!$G:$G,'🌴 الإجازات'!$B:$B,B7,'🌴 الإجازات'!$K:$K,"معتمدة"),0))</f>
        <v>30</v>
      </c>
      <c r="R7" s="53" t="s">
        <v>352</v>
      </c>
      <c r="S7" s="53"/>
      <c r="T7" s="50" t="s">
        <v>190</v>
      </c>
      <c r="U7" s="72">
        <f>DATEVALUE("2019-03-10")</f>
        <v>43534</v>
      </c>
      <c r="V7" s="72"/>
      <c r="W7" s="72"/>
      <c r="X7" s="72"/>
      <c r="Y7" s="50">
        <v>100200300403</v>
      </c>
      <c r="Z7" s="50" t="s">
        <v>213</v>
      </c>
      <c r="AA7" s="50" t="s">
        <v>390</v>
      </c>
      <c r="AB7" s="67">
        <f t="shared" ca="1" si="1"/>
        <v>135000</v>
      </c>
      <c r="AC7" s="44">
        <f t="shared" ca="1" si="2"/>
        <v>30</v>
      </c>
      <c r="AD7" s="50" t="str">
        <f t="shared" ca="1" si="3"/>
        <v/>
      </c>
    </row>
    <row r="8" spans="1:30" ht="22.15" customHeight="1" x14ac:dyDescent="0.2">
      <c r="A8" s="57">
        <v>4</v>
      </c>
      <c r="B8" s="57" t="s">
        <v>72</v>
      </c>
      <c r="C8" s="57" t="s">
        <v>264</v>
      </c>
      <c r="D8" s="57" t="s">
        <v>64</v>
      </c>
      <c r="E8" s="57" t="s">
        <v>20</v>
      </c>
      <c r="F8" s="57" t="s">
        <v>300</v>
      </c>
      <c r="G8" s="57" t="s">
        <v>65</v>
      </c>
      <c r="H8" s="63">
        <v>28000</v>
      </c>
      <c r="I8" s="63">
        <v>7000</v>
      </c>
      <c r="J8" s="63">
        <v>1500</v>
      </c>
      <c r="K8" s="65">
        <f>H8+I8+J8</f>
        <v>36500</v>
      </c>
      <c r="L8" s="59">
        <f>DATEVALUE("2018-09-15")</f>
        <v>43358</v>
      </c>
      <c r="M8" s="60">
        <f t="shared" ca="1" si="0"/>
        <v>7</v>
      </c>
      <c r="N8" s="57">
        <v>1056789012</v>
      </c>
      <c r="O8" s="57">
        <v>544445555</v>
      </c>
      <c r="P8" s="57" t="s">
        <v>324</v>
      </c>
      <c r="Q8" s="69">
        <f ca="1">IF(B8="","",AC8-IFERROR(SUMIFS('🌴 الإجازات'!$G:$G,'🌴 الإجازات'!$B:$B,B8,'🌴 الإجازات'!$K:$K,"معتمدة"),0))</f>
        <v>19</v>
      </c>
      <c r="R8" s="57" t="s">
        <v>352</v>
      </c>
      <c r="S8" s="57"/>
      <c r="T8" s="61" t="s">
        <v>190</v>
      </c>
      <c r="U8" s="73">
        <f>DATEVALUE("2018-09-15")</f>
        <v>43358</v>
      </c>
      <c r="V8" s="73"/>
      <c r="W8" s="73"/>
      <c r="X8" s="73"/>
      <c r="Y8" s="61">
        <v>100200300404</v>
      </c>
      <c r="Z8" s="61" t="s">
        <v>212</v>
      </c>
      <c r="AA8" s="61" t="s">
        <v>390</v>
      </c>
      <c r="AB8" s="66">
        <f t="shared" ca="1" si="1"/>
        <v>126000</v>
      </c>
      <c r="AC8" s="74">
        <f t="shared" ca="1" si="2"/>
        <v>30</v>
      </c>
      <c r="AD8" s="61" t="str">
        <f t="shared" ca="1" si="3"/>
        <v/>
      </c>
    </row>
    <row r="9" spans="1:30" ht="22.15" customHeight="1" x14ac:dyDescent="0.2">
      <c r="A9" s="53">
        <v>5</v>
      </c>
      <c r="B9" s="53" t="s">
        <v>74</v>
      </c>
      <c r="C9" s="53" t="s">
        <v>265</v>
      </c>
      <c r="D9" s="53" t="s">
        <v>291</v>
      </c>
      <c r="E9" s="53" t="s">
        <v>20</v>
      </c>
      <c r="F9" s="53" t="s">
        <v>301</v>
      </c>
      <c r="G9" s="53" t="s">
        <v>65</v>
      </c>
      <c r="H9" s="62">
        <v>18000</v>
      </c>
      <c r="I9" s="62">
        <v>4500</v>
      </c>
      <c r="J9" s="62">
        <v>1000</v>
      </c>
      <c r="K9" s="64">
        <f>H9+I9+J9</f>
        <v>23500</v>
      </c>
      <c r="L9" s="55">
        <f>DATEVALUE("2020-02-20")</f>
        <v>43881</v>
      </c>
      <c r="M9" s="56">
        <f t="shared" ca="1" si="0"/>
        <v>6</v>
      </c>
      <c r="N9" s="53">
        <v>2456789012345</v>
      </c>
      <c r="O9" s="53">
        <v>555556666</v>
      </c>
      <c r="P9" s="53" t="s">
        <v>325</v>
      </c>
      <c r="Q9" s="68">
        <f ca="1">IF(B9="","",AC9-IFERROR(SUMIFS('🌴 الإجازات'!$G:$G,'🌴 الإجازات'!$B:$B,B9,'🌴 الإجازات'!$K:$K,"معتمدة"),0))</f>
        <v>30</v>
      </c>
      <c r="R9" s="53" t="s">
        <v>353</v>
      </c>
      <c r="S9" s="53" t="s">
        <v>363</v>
      </c>
      <c r="T9" s="50" t="s">
        <v>190</v>
      </c>
      <c r="U9" s="72">
        <f>DATEVALUE("2020-02-20")</f>
        <v>43881</v>
      </c>
      <c r="V9" s="72"/>
      <c r="W9" s="72"/>
      <c r="X9" s="72">
        <f>DATEVALUE("2026-06-15")</f>
        <v>46188</v>
      </c>
      <c r="Y9" s="50"/>
      <c r="Z9" s="50" t="s">
        <v>211</v>
      </c>
      <c r="AA9" s="50" t="s">
        <v>391</v>
      </c>
      <c r="AB9" s="67">
        <f t="shared" ca="1" si="1"/>
        <v>63000</v>
      </c>
      <c r="AC9" s="44">
        <f t="shared" ca="1" si="2"/>
        <v>30</v>
      </c>
      <c r="AD9" s="50" t="str">
        <f t="shared" ca="1" si="3"/>
        <v>⚠️ إقامة تنتهي خلال 42 يوم</v>
      </c>
    </row>
    <row r="10" spans="1:30" ht="22.15" customHeight="1" x14ac:dyDescent="0.2">
      <c r="A10" s="57">
        <v>6</v>
      </c>
      <c r="B10" s="57" t="s">
        <v>236</v>
      </c>
      <c r="C10" s="57" t="s">
        <v>266</v>
      </c>
      <c r="D10" s="57" t="s">
        <v>292</v>
      </c>
      <c r="E10" s="57" t="s">
        <v>20</v>
      </c>
      <c r="F10" s="57" t="s">
        <v>302</v>
      </c>
      <c r="G10" s="57" t="s">
        <v>65</v>
      </c>
      <c r="H10" s="63">
        <v>15000</v>
      </c>
      <c r="I10" s="63">
        <v>3750</v>
      </c>
      <c r="J10" s="63">
        <v>1000</v>
      </c>
      <c r="K10" s="66">
        <f t="shared" ref="K10:K41" si="4">IF(H10&lt;&gt;"",H10+I10+J10,"")</f>
        <v>19750</v>
      </c>
      <c r="L10" s="59">
        <f>DATEVALUE("2021-04-12")</f>
        <v>44298</v>
      </c>
      <c r="M10" s="70">
        <f t="shared" ca="1" si="0"/>
        <v>5</v>
      </c>
      <c r="N10" s="57">
        <v>2567890123456</v>
      </c>
      <c r="O10" s="57">
        <v>566667777</v>
      </c>
      <c r="P10" s="57" t="s">
        <v>326</v>
      </c>
      <c r="Q10" s="69">
        <f ca="1">IF(B10="","",AC10-IFERROR(SUMIFS('🌴 الإجازات'!$G:$G,'🌴 الإجازات'!$B:$B,B10,'🌴 الإجازات'!$K:$K,"معتمدة"),0))</f>
        <v>30</v>
      </c>
      <c r="R10" s="57" t="s">
        <v>353</v>
      </c>
      <c r="S10" s="57"/>
      <c r="T10" s="61" t="s">
        <v>190</v>
      </c>
      <c r="U10" s="73">
        <f>DATEVALUE("2021-04-12")</f>
        <v>44298</v>
      </c>
      <c r="V10" s="73"/>
      <c r="W10" s="73"/>
      <c r="X10" s="73">
        <f>DATEVALUE("2027-03-20")</f>
        <v>46466</v>
      </c>
      <c r="Y10" s="61"/>
      <c r="Z10" s="61" t="s">
        <v>373</v>
      </c>
      <c r="AA10" s="61" t="s">
        <v>392</v>
      </c>
      <c r="AB10" s="66">
        <f t="shared" ca="1" si="1"/>
        <v>37500</v>
      </c>
      <c r="AC10" s="74">
        <f t="shared" ca="1" si="2"/>
        <v>30</v>
      </c>
      <c r="AD10" s="61" t="str">
        <f t="shared" ca="1" si="3"/>
        <v/>
      </c>
    </row>
    <row r="11" spans="1:30" ht="22.15" customHeight="1" x14ac:dyDescent="0.2">
      <c r="A11" s="53">
        <v>7</v>
      </c>
      <c r="B11" s="53" t="s">
        <v>237</v>
      </c>
      <c r="C11" s="53" t="s">
        <v>267</v>
      </c>
      <c r="D11" s="53" t="s">
        <v>67</v>
      </c>
      <c r="E11" s="53" t="s">
        <v>20</v>
      </c>
      <c r="F11" s="53" t="s">
        <v>303</v>
      </c>
      <c r="G11" s="53" t="s">
        <v>65</v>
      </c>
      <c r="H11" s="62">
        <v>12000</v>
      </c>
      <c r="I11" s="62">
        <v>3000</v>
      </c>
      <c r="J11" s="62">
        <v>800</v>
      </c>
      <c r="K11" s="67">
        <f t="shared" si="4"/>
        <v>15800</v>
      </c>
      <c r="L11" s="55">
        <f>DATEVALUE("2022-08-01")</f>
        <v>44774</v>
      </c>
      <c r="M11" s="71">
        <f t="shared" ca="1" si="0"/>
        <v>3</v>
      </c>
      <c r="N11" s="53">
        <v>2078901234</v>
      </c>
      <c r="O11" s="53">
        <v>577778888</v>
      </c>
      <c r="P11" s="53" t="s">
        <v>327</v>
      </c>
      <c r="Q11" s="68">
        <f ca="1">IF(B11="","",AC11-IFERROR(SUMIFS('🌴 الإجازات'!$G:$G,'🌴 الإجازات'!$B:$B,B11,'🌴 الإجازات'!$K:$K,"معتمدة"),0))</f>
        <v>-44</v>
      </c>
      <c r="R11" s="53" t="s">
        <v>353</v>
      </c>
      <c r="S11" s="53" t="s">
        <v>364</v>
      </c>
      <c r="T11" s="50" t="s">
        <v>190</v>
      </c>
      <c r="U11" s="72">
        <f>DATEVALUE("2022-08-01")</f>
        <v>44774</v>
      </c>
      <c r="V11" s="72"/>
      <c r="W11" s="72"/>
      <c r="X11" s="72"/>
      <c r="Y11" s="50">
        <v>100200300407</v>
      </c>
      <c r="Z11" s="50" t="s">
        <v>374</v>
      </c>
      <c r="AA11" s="50" t="s">
        <v>390</v>
      </c>
      <c r="AB11" s="67">
        <f t="shared" ca="1" si="1"/>
        <v>18000</v>
      </c>
      <c r="AC11" s="44">
        <f t="shared" ca="1" si="2"/>
        <v>21</v>
      </c>
      <c r="AD11" s="50" t="str">
        <f t="shared" ca="1" si="3"/>
        <v/>
      </c>
    </row>
    <row r="12" spans="1:30" ht="22.15" customHeight="1" x14ac:dyDescent="0.2">
      <c r="A12" s="57">
        <v>8</v>
      </c>
      <c r="B12" s="57" t="s">
        <v>238</v>
      </c>
      <c r="C12" s="57" t="s">
        <v>268</v>
      </c>
      <c r="D12" s="57" t="s">
        <v>64</v>
      </c>
      <c r="E12" s="57" t="s">
        <v>20</v>
      </c>
      <c r="F12" s="57" t="s">
        <v>304</v>
      </c>
      <c r="G12" s="57" t="s">
        <v>65</v>
      </c>
      <c r="H12" s="63">
        <v>14000</v>
      </c>
      <c r="I12" s="63">
        <v>3500</v>
      </c>
      <c r="J12" s="63">
        <v>900</v>
      </c>
      <c r="K12" s="66">
        <f t="shared" si="4"/>
        <v>18400</v>
      </c>
      <c r="L12" s="59">
        <f>DATEVALUE("2022-11-05")</f>
        <v>44870</v>
      </c>
      <c r="M12" s="70">
        <f t="shared" ca="1" si="0"/>
        <v>3</v>
      </c>
      <c r="N12" s="57">
        <v>1089012345</v>
      </c>
      <c r="O12" s="57">
        <v>588889999</v>
      </c>
      <c r="P12" s="57" t="s">
        <v>328</v>
      </c>
      <c r="Q12" s="69">
        <f ca="1">IF(B12="","",AC12-IFERROR(SUMIFS('🌴 الإجازات'!$G:$G,'🌴 الإجازات'!$B:$B,B12,'🌴 الإجازات'!$K:$K,"معتمدة"),0))</f>
        <v>19</v>
      </c>
      <c r="R12" s="57" t="s">
        <v>353</v>
      </c>
      <c r="S12" s="57"/>
      <c r="T12" s="61" t="s">
        <v>190</v>
      </c>
      <c r="U12" s="73">
        <f>DATEVALUE("2022-11-05")</f>
        <v>44870</v>
      </c>
      <c r="V12" s="73"/>
      <c r="W12" s="73"/>
      <c r="X12" s="73"/>
      <c r="Y12" s="61">
        <v>100200300408</v>
      </c>
      <c r="Z12" s="61" t="s">
        <v>375</v>
      </c>
      <c r="AA12" s="61" t="s">
        <v>390</v>
      </c>
      <c r="AB12" s="66">
        <f t="shared" ca="1" si="1"/>
        <v>21000</v>
      </c>
      <c r="AC12" s="74">
        <f t="shared" ca="1" si="2"/>
        <v>21</v>
      </c>
      <c r="AD12" s="61" t="str">
        <f t="shared" ca="1" si="3"/>
        <v/>
      </c>
    </row>
    <row r="13" spans="1:30" ht="22.15" customHeight="1" x14ac:dyDescent="0.2">
      <c r="A13" s="53">
        <v>9</v>
      </c>
      <c r="B13" s="53" t="s">
        <v>239</v>
      </c>
      <c r="C13" s="53" t="s">
        <v>269</v>
      </c>
      <c r="D13" s="53" t="s">
        <v>293</v>
      </c>
      <c r="E13" s="53" t="s">
        <v>20</v>
      </c>
      <c r="F13" s="53" t="s">
        <v>305</v>
      </c>
      <c r="G13" s="53" t="s">
        <v>65</v>
      </c>
      <c r="H13" s="62">
        <v>11000</v>
      </c>
      <c r="I13" s="62">
        <v>2750</v>
      </c>
      <c r="J13" s="62">
        <v>750</v>
      </c>
      <c r="K13" s="67">
        <f t="shared" si="4"/>
        <v>14500</v>
      </c>
      <c r="L13" s="55">
        <f>DATEVALUE("2024-01-10")</f>
        <v>45301</v>
      </c>
      <c r="M13" s="71">
        <f t="shared" ca="1" si="0"/>
        <v>2</v>
      </c>
      <c r="N13" s="53">
        <v>2678901234567</v>
      </c>
      <c r="O13" s="53">
        <v>599990000</v>
      </c>
      <c r="P13" s="53" t="s">
        <v>329</v>
      </c>
      <c r="Q13" s="68">
        <f ca="1">IF(B13="","",AC13-IFERROR(SUMIFS('🌴 الإجازات'!$G:$G,'🌴 الإجازات'!$B:$B,B13,'🌴 الإجازات'!$K:$K,"معتمدة"),0))</f>
        <v>21</v>
      </c>
      <c r="R13" s="53" t="s">
        <v>353</v>
      </c>
      <c r="S13" s="53"/>
      <c r="T13" s="50" t="s">
        <v>191</v>
      </c>
      <c r="U13" s="72">
        <f>DATEVALUE("2024-01-10")</f>
        <v>45301</v>
      </c>
      <c r="V13" s="72">
        <f>DATEVALUE("2027-01-09")</f>
        <v>46396</v>
      </c>
      <c r="W13" s="72"/>
      <c r="X13" s="72">
        <f>DATEVALUE("2026-08-25")</f>
        <v>46259</v>
      </c>
      <c r="Y13" s="50"/>
      <c r="Z13" s="50" t="s">
        <v>376</v>
      </c>
      <c r="AA13" s="50" t="s">
        <v>393</v>
      </c>
      <c r="AB13" s="67">
        <f t="shared" ca="1" si="1"/>
        <v>11000</v>
      </c>
      <c r="AC13" s="44">
        <f t="shared" ca="1" si="2"/>
        <v>21</v>
      </c>
      <c r="AD13" s="50" t="str">
        <f t="shared" ca="1" si="3"/>
        <v/>
      </c>
    </row>
    <row r="14" spans="1:30" ht="22.15" customHeight="1" x14ac:dyDescent="0.2">
      <c r="A14" s="57">
        <v>10</v>
      </c>
      <c r="B14" s="57" t="s">
        <v>240</v>
      </c>
      <c r="C14" s="57" t="s">
        <v>270</v>
      </c>
      <c r="D14" s="57" t="s">
        <v>67</v>
      </c>
      <c r="E14" s="57" t="s">
        <v>20</v>
      </c>
      <c r="F14" s="57" t="s">
        <v>306</v>
      </c>
      <c r="G14" s="57" t="s">
        <v>65</v>
      </c>
      <c r="H14" s="63">
        <v>9000</v>
      </c>
      <c r="I14" s="63">
        <v>2250</v>
      </c>
      <c r="J14" s="63">
        <v>700</v>
      </c>
      <c r="K14" s="66">
        <f t="shared" si="4"/>
        <v>11950</v>
      </c>
      <c r="L14" s="59">
        <f>DATEVALUE("2024-09-15")</f>
        <v>45550</v>
      </c>
      <c r="M14" s="70">
        <f t="shared" ca="1" si="0"/>
        <v>1</v>
      </c>
      <c r="N14" s="57">
        <v>2090123456</v>
      </c>
      <c r="O14" s="57">
        <v>501230001</v>
      </c>
      <c r="P14" s="57" t="s">
        <v>330</v>
      </c>
      <c r="Q14" s="69">
        <f ca="1">IF(B14="","",AC14-IFERROR(SUMIFS('🌴 الإجازات'!$G:$G,'🌴 الإجازات'!$B:$B,B14,'🌴 الإجازات'!$K:$K,"معتمدة"),0))</f>
        <v>19</v>
      </c>
      <c r="R14" s="57" t="s">
        <v>353</v>
      </c>
      <c r="S14" s="57"/>
      <c r="T14" s="61" t="s">
        <v>190</v>
      </c>
      <c r="U14" s="73">
        <f>DATEVALUE("2024-09-15")</f>
        <v>45550</v>
      </c>
      <c r="V14" s="73"/>
      <c r="W14" s="73"/>
      <c r="X14" s="73"/>
      <c r="Y14" s="61">
        <v>100200300410</v>
      </c>
      <c r="Z14" s="61" t="s">
        <v>377</v>
      </c>
      <c r="AA14" s="61" t="s">
        <v>394</v>
      </c>
      <c r="AB14" s="66">
        <f t="shared" ca="1" si="1"/>
        <v>4500</v>
      </c>
      <c r="AC14" s="74">
        <f t="shared" ca="1" si="2"/>
        <v>21</v>
      </c>
      <c r="AD14" s="61" t="str">
        <f t="shared" ca="1" si="3"/>
        <v/>
      </c>
    </row>
    <row r="15" spans="1:30" ht="22.15" customHeight="1" x14ac:dyDescent="0.2">
      <c r="A15" s="53">
        <v>11</v>
      </c>
      <c r="B15" s="53" t="s">
        <v>241</v>
      </c>
      <c r="C15" s="53" t="s">
        <v>271</v>
      </c>
      <c r="D15" s="53" t="s">
        <v>64</v>
      </c>
      <c r="E15" s="53" t="s">
        <v>20</v>
      </c>
      <c r="F15" s="53" t="s">
        <v>307</v>
      </c>
      <c r="G15" s="53" t="s">
        <v>65</v>
      </c>
      <c r="H15" s="62">
        <v>6500</v>
      </c>
      <c r="I15" s="62">
        <v>1625</v>
      </c>
      <c r="J15" s="62">
        <v>500</v>
      </c>
      <c r="K15" s="67">
        <f t="shared" si="4"/>
        <v>8625</v>
      </c>
      <c r="L15" s="55">
        <f>DATEVALUE("2026-02-01")</f>
        <v>46054</v>
      </c>
      <c r="M15" s="71">
        <f t="shared" ca="1" si="0"/>
        <v>0</v>
      </c>
      <c r="N15" s="53">
        <v>1101234567</v>
      </c>
      <c r="O15" s="53">
        <v>501230002</v>
      </c>
      <c r="P15" s="53" t="s">
        <v>331</v>
      </c>
      <c r="Q15" s="68">
        <f ca="1">IF(B15="","",AC15-IFERROR(SUMIFS('🌴 الإجازات'!$G:$G,'🌴 الإجازات'!$B:$B,B15,'🌴 الإجازات'!$K:$K,"معتمدة"),0))</f>
        <v>21</v>
      </c>
      <c r="R15" s="53" t="s">
        <v>353</v>
      </c>
      <c r="S15" s="53" t="s">
        <v>365</v>
      </c>
      <c r="T15" s="50" t="s">
        <v>192</v>
      </c>
      <c r="U15" s="72">
        <f>DATEVALUE("2026-02-01")</f>
        <v>46054</v>
      </c>
      <c r="V15" s="72"/>
      <c r="W15" s="72">
        <f>DATEVALUE("2026-05-01")</f>
        <v>46143</v>
      </c>
      <c r="X15" s="72"/>
      <c r="Y15" s="50">
        <v>100200300411</v>
      </c>
      <c r="Z15" s="50" t="s">
        <v>378</v>
      </c>
      <c r="AA15" s="50" t="s">
        <v>394</v>
      </c>
      <c r="AB15" s="67">
        <f t="shared" ca="1" si="1"/>
        <v>0</v>
      </c>
      <c r="AC15" s="44">
        <f t="shared" ca="1" si="2"/>
        <v>21</v>
      </c>
      <c r="AD15" s="50" t="str">
        <f t="shared" ca="1" si="3"/>
        <v/>
      </c>
    </row>
    <row r="16" spans="1:30" ht="22.15" customHeight="1" x14ac:dyDescent="0.2">
      <c r="A16" s="57">
        <v>12</v>
      </c>
      <c r="B16" s="57" t="s">
        <v>242</v>
      </c>
      <c r="C16" s="57" t="s">
        <v>272</v>
      </c>
      <c r="D16" s="57" t="s">
        <v>64</v>
      </c>
      <c r="E16" s="57" t="s">
        <v>18</v>
      </c>
      <c r="F16" s="57" t="s">
        <v>71</v>
      </c>
      <c r="G16" s="57" t="s">
        <v>65</v>
      </c>
      <c r="H16" s="63">
        <v>20000</v>
      </c>
      <c r="I16" s="63">
        <v>5000</v>
      </c>
      <c r="J16" s="63">
        <v>1500</v>
      </c>
      <c r="K16" s="66">
        <f t="shared" si="4"/>
        <v>26500</v>
      </c>
      <c r="L16" s="59">
        <f>DATEVALUE("2019-07-01")</f>
        <v>43647</v>
      </c>
      <c r="M16" s="70">
        <f t="shared" ca="1" si="0"/>
        <v>6</v>
      </c>
      <c r="N16" s="57">
        <v>1112345678</v>
      </c>
      <c r="O16" s="57">
        <v>501230003</v>
      </c>
      <c r="P16" s="57" t="s">
        <v>332</v>
      </c>
      <c r="Q16" s="69">
        <f ca="1">IF(B16="","",AC16-IFERROR(SUMIFS('🌴 الإجازات'!$G:$G,'🌴 الإجازات'!$B:$B,B16,'🌴 الإجازات'!$K:$K,"معتمدة"),0))</f>
        <v>30</v>
      </c>
      <c r="R16" s="57" t="s">
        <v>354</v>
      </c>
      <c r="S16" s="57"/>
      <c r="T16" s="61" t="s">
        <v>190</v>
      </c>
      <c r="U16" s="73">
        <f>DATEVALUE("2019-07-01")</f>
        <v>43647</v>
      </c>
      <c r="V16" s="73"/>
      <c r="W16" s="73"/>
      <c r="X16" s="73"/>
      <c r="Y16" s="61">
        <v>100200300412</v>
      </c>
      <c r="Z16" s="61" t="s">
        <v>379</v>
      </c>
      <c r="AA16" s="61" t="s">
        <v>390</v>
      </c>
      <c r="AB16" s="66">
        <f t="shared" ca="1" si="1"/>
        <v>70000</v>
      </c>
      <c r="AC16" s="74">
        <f t="shared" ca="1" si="2"/>
        <v>30</v>
      </c>
      <c r="AD16" s="61" t="str">
        <f t="shared" ca="1" si="3"/>
        <v/>
      </c>
    </row>
    <row r="17" spans="1:30" ht="22.15" customHeight="1" x14ac:dyDescent="0.2">
      <c r="A17" s="53">
        <v>13</v>
      </c>
      <c r="B17" s="53" t="s">
        <v>243</v>
      </c>
      <c r="C17" s="53" t="s">
        <v>273</v>
      </c>
      <c r="D17" s="53" t="s">
        <v>67</v>
      </c>
      <c r="E17" s="53" t="s">
        <v>18</v>
      </c>
      <c r="F17" s="53" t="s">
        <v>308</v>
      </c>
      <c r="G17" s="53" t="s">
        <v>65</v>
      </c>
      <c r="H17" s="62">
        <v>10000</v>
      </c>
      <c r="I17" s="62">
        <v>2500</v>
      </c>
      <c r="J17" s="62">
        <v>1500</v>
      </c>
      <c r="K17" s="67">
        <f t="shared" si="4"/>
        <v>14000</v>
      </c>
      <c r="L17" s="55">
        <f>DATEVALUE("2021-09-20")</f>
        <v>44459</v>
      </c>
      <c r="M17" s="71">
        <f t="shared" ca="1" si="0"/>
        <v>4</v>
      </c>
      <c r="N17" s="53">
        <v>2123456789</v>
      </c>
      <c r="O17" s="53">
        <v>501230004</v>
      </c>
      <c r="P17" s="53" t="s">
        <v>333</v>
      </c>
      <c r="Q17" s="68">
        <f ca="1">IF(B17="","",AC17-IFERROR(SUMIFS('🌴 الإجازات'!$G:$G,'🌴 الإجازات'!$B:$B,B17,'🌴 الإجازات'!$K:$K,"معتمدة"),0))</f>
        <v>21</v>
      </c>
      <c r="R17" s="53" t="s">
        <v>355</v>
      </c>
      <c r="S17" s="53" t="s">
        <v>366</v>
      </c>
      <c r="T17" s="50" t="s">
        <v>190</v>
      </c>
      <c r="U17" s="72">
        <f>DATEVALUE("2021-09-20")</f>
        <v>44459</v>
      </c>
      <c r="V17" s="72"/>
      <c r="W17" s="72"/>
      <c r="X17" s="72"/>
      <c r="Y17" s="50">
        <v>100200300413</v>
      </c>
      <c r="Z17" s="50" t="s">
        <v>380</v>
      </c>
      <c r="AA17" s="50" t="s">
        <v>390</v>
      </c>
      <c r="AB17" s="67">
        <f t="shared" ca="1" si="1"/>
        <v>20000</v>
      </c>
      <c r="AC17" s="44">
        <f t="shared" ca="1" si="2"/>
        <v>21</v>
      </c>
      <c r="AD17" s="50" t="str">
        <f t="shared" ca="1" si="3"/>
        <v/>
      </c>
    </row>
    <row r="18" spans="1:30" ht="22.15" customHeight="1" x14ac:dyDescent="0.2">
      <c r="A18" s="57">
        <v>14</v>
      </c>
      <c r="B18" s="57" t="s">
        <v>244</v>
      </c>
      <c r="C18" s="57" t="s">
        <v>274</v>
      </c>
      <c r="D18" s="57" t="s">
        <v>64</v>
      </c>
      <c r="E18" s="57" t="s">
        <v>18</v>
      </c>
      <c r="F18" s="57" t="s">
        <v>70</v>
      </c>
      <c r="G18" s="57" t="s">
        <v>65</v>
      </c>
      <c r="H18" s="63">
        <v>8000</v>
      </c>
      <c r="I18" s="63">
        <v>2000</v>
      </c>
      <c r="J18" s="63">
        <v>1200</v>
      </c>
      <c r="K18" s="66">
        <f t="shared" si="4"/>
        <v>11200</v>
      </c>
      <c r="L18" s="59">
        <f>DATEVALUE("2023-03-15")</f>
        <v>45000</v>
      </c>
      <c r="M18" s="70">
        <f t="shared" ca="1" si="0"/>
        <v>3</v>
      </c>
      <c r="N18" s="57">
        <v>1134567890</v>
      </c>
      <c r="O18" s="57">
        <v>501230005</v>
      </c>
      <c r="P18" s="57" t="s">
        <v>334</v>
      </c>
      <c r="Q18" s="69">
        <f ca="1">IF(B18="","",AC18-IFERROR(SUMIFS('🌴 الإجازات'!$G:$G,'🌴 الإجازات'!$B:$B,B18,'🌴 الإجازات'!$K:$K,"معتمدة"),0))</f>
        <v>21</v>
      </c>
      <c r="R18" s="57" t="s">
        <v>355</v>
      </c>
      <c r="S18" s="57" t="s">
        <v>367</v>
      </c>
      <c r="T18" s="61" t="s">
        <v>190</v>
      </c>
      <c r="U18" s="73">
        <f>DATEVALUE("2023-03-15")</f>
        <v>45000</v>
      </c>
      <c r="V18" s="73"/>
      <c r="W18" s="73"/>
      <c r="X18" s="73"/>
      <c r="Y18" s="61">
        <v>100200300414</v>
      </c>
      <c r="Z18" s="61" t="s">
        <v>381</v>
      </c>
      <c r="AA18" s="61" t="s">
        <v>394</v>
      </c>
      <c r="AB18" s="66">
        <f t="shared" ca="1" si="1"/>
        <v>12000</v>
      </c>
      <c r="AC18" s="74">
        <f t="shared" ca="1" si="2"/>
        <v>21</v>
      </c>
      <c r="AD18" s="61" t="str">
        <f t="shared" ca="1" si="3"/>
        <v/>
      </c>
    </row>
    <row r="19" spans="1:30" ht="22.15" customHeight="1" x14ac:dyDescent="0.2">
      <c r="A19" s="53">
        <v>15</v>
      </c>
      <c r="B19" s="53" t="s">
        <v>245</v>
      </c>
      <c r="C19" s="53" t="s">
        <v>275</v>
      </c>
      <c r="D19" s="53" t="s">
        <v>292</v>
      </c>
      <c r="E19" s="53" t="s">
        <v>18</v>
      </c>
      <c r="F19" s="53" t="s">
        <v>70</v>
      </c>
      <c r="G19" s="53" t="s">
        <v>65</v>
      </c>
      <c r="H19" s="62">
        <v>7000</v>
      </c>
      <c r="I19" s="62">
        <v>1750</v>
      </c>
      <c r="J19" s="62">
        <v>1000</v>
      </c>
      <c r="K19" s="67">
        <f t="shared" si="4"/>
        <v>9750</v>
      </c>
      <c r="L19" s="55">
        <f>DATEVALUE("2024-04-01")</f>
        <v>45383</v>
      </c>
      <c r="M19" s="71">
        <f t="shared" ca="1" si="0"/>
        <v>2</v>
      </c>
      <c r="N19" s="53">
        <v>2789012345678</v>
      </c>
      <c r="O19" s="53">
        <v>501230006</v>
      </c>
      <c r="P19" s="53" t="s">
        <v>335</v>
      </c>
      <c r="Q19" s="68">
        <f ca="1">IF(B19="","",AC19-IFERROR(SUMIFS('🌴 الإجازات'!$G:$G,'🌴 الإجازات'!$B:$B,B19,'🌴 الإجازات'!$K:$K,"معتمدة"),0))</f>
        <v>14</v>
      </c>
      <c r="R19" s="53" t="s">
        <v>355</v>
      </c>
      <c r="S19" s="53" t="s">
        <v>368</v>
      </c>
      <c r="T19" s="50" t="s">
        <v>191</v>
      </c>
      <c r="U19" s="72">
        <f>DATEVALUE("2024-04-01")</f>
        <v>45383</v>
      </c>
      <c r="V19" s="72">
        <f>DATEVALUE("2026-06-30")</f>
        <v>46203</v>
      </c>
      <c r="W19" s="72"/>
      <c r="X19" s="72">
        <f>DATEVALUE("2026-05-30")</f>
        <v>46172</v>
      </c>
      <c r="Y19" s="50"/>
      <c r="Z19" s="50" t="s">
        <v>382</v>
      </c>
      <c r="AA19" s="50" t="s">
        <v>393</v>
      </c>
      <c r="AB19" s="67">
        <f t="shared" ca="1" si="1"/>
        <v>7000</v>
      </c>
      <c r="AC19" s="44">
        <f t="shared" ca="1" si="2"/>
        <v>21</v>
      </c>
      <c r="AD19" s="50" t="str">
        <f t="shared" ca="1" si="3"/>
        <v>⚠️ إقامة تنتهي خلال 26 يوم</v>
      </c>
    </row>
    <row r="20" spans="1:30" ht="22.15" customHeight="1" x14ac:dyDescent="0.2">
      <c r="A20" s="57">
        <v>16</v>
      </c>
      <c r="B20" s="57" t="s">
        <v>246</v>
      </c>
      <c r="C20" s="57" t="s">
        <v>276</v>
      </c>
      <c r="D20" s="57" t="s">
        <v>67</v>
      </c>
      <c r="E20" s="57" t="s">
        <v>18</v>
      </c>
      <c r="F20" s="57" t="s">
        <v>309</v>
      </c>
      <c r="G20" s="57" t="s">
        <v>65</v>
      </c>
      <c r="H20" s="63">
        <v>6000</v>
      </c>
      <c r="I20" s="63">
        <v>1500</v>
      </c>
      <c r="J20" s="63">
        <v>800</v>
      </c>
      <c r="K20" s="66">
        <f t="shared" si="4"/>
        <v>8300</v>
      </c>
      <c r="L20" s="59">
        <f>DATEVALUE("2026-01-15")</f>
        <v>46037</v>
      </c>
      <c r="M20" s="70">
        <f t="shared" ca="1" si="0"/>
        <v>0</v>
      </c>
      <c r="N20" s="57">
        <v>2156789012</v>
      </c>
      <c r="O20" s="57">
        <v>501230007</v>
      </c>
      <c r="P20" s="57" t="s">
        <v>336</v>
      </c>
      <c r="Q20" s="69">
        <f ca="1">IF(B20="","",AC20-IFERROR(SUMIFS('🌴 الإجازات'!$G:$G,'🌴 الإجازات'!$B:$B,B20,'🌴 الإجازات'!$K:$K,"معتمدة"),0))</f>
        <v>21</v>
      </c>
      <c r="R20" s="57" t="s">
        <v>355</v>
      </c>
      <c r="S20" s="57" t="s">
        <v>369</v>
      </c>
      <c r="T20" s="61" t="s">
        <v>192</v>
      </c>
      <c r="U20" s="73">
        <f>DATEVALUE("2026-01-15")</f>
        <v>46037</v>
      </c>
      <c r="V20" s="73"/>
      <c r="W20" s="73">
        <f>DATEVALUE("2026-04-15")</f>
        <v>46127</v>
      </c>
      <c r="X20" s="73"/>
      <c r="Y20" s="61">
        <v>100200300416</v>
      </c>
      <c r="Z20" s="61" t="s">
        <v>383</v>
      </c>
      <c r="AA20" s="61" t="s">
        <v>394</v>
      </c>
      <c r="AB20" s="66">
        <f t="shared" ca="1" si="1"/>
        <v>0</v>
      </c>
      <c r="AC20" s="74">
        <f t="shared" ca="1" si="2"/>
        <v>21</v>
      </c>
      <c r="AD20" s="61" t="str">
        <f t="shared" ca="1" si="3"/>
        <v/>
      </c>
    </row>
    <row r="21" spans="1:30" ht="22.15" customHeight="1" x14ac:dyDescent="0.2">
      <c r="A21" s="53">
        <v>17</v>
      </c>
      <c r="B21" s="53" t="s">
        <v>247</v>
      </c>
      <c r="C21" s="53" t="s">
        <v>277</v>
      </c>
      <c r="D21" s="53" t="s">
        <v>64</v>
      </c>
      <c r="E21" s="53" t="s">
        <v>22</v>
      </c>
      <c r="F21" s="53" t="s">
        <v>310</v>
      </c>
      <c r="G21" s="53" t="s">
        <v>65</v>
      </c>
      <c r="H21" s="62">
        <v>18000</v>
      </c>
      <c r="I21" s="62">
        <v>4500</v>
      </c>
      <c r="J21" s="62">
        <v>1200</v>
      </c>
      <c r="K21" s="67">
        <f t="shared" si="4"/>
        <v>23700</v>
      </c>
      <c r="L21" s="55">
        <f>DATEVALUE("2020-05-15")</f>
        <v>43966</v>
      </c>
      <c r="M21" s="71">
        <f t="shared" ca="1" si="0"/>
        <v>5</v>
      </c>
      <c r="N21" s="53">
        <v>1167890123</v>
      </c>
      <c r="O21" s="53">
        <v>501230008</v>
      </c>
      <c r="P21" s="53" t="s">
        <v>337</v>
      </c>
      <c r="Q21" s="68">
        <f ca="1">IF(B21="","",AC21-IFERROR(SUMIFS('🌴 الإجازات'!$G:$G,'🌴 الإجازات'!$B:$B,B21,'🌴 الإجازات'!$K:$K,"معتمدة"),0))</f>
        <v>30</v>
      </c>
      <c r="R21" s="53" t="s">
        <v>354</v>
      </c>
      <c r="S21" s="53"/>
      <c r="T21" s="50" t="s">
        <v>190</v>
      </c>
      <c r="U21" s="72">
        <f>DATEVALUE("2020-05-15")</f>
        <v>43966</v>
      </c>
      <c r="V21" s="72"/>
      <c r="W21" s="72"/>
      <c r="X21" s="72"/>
      <c r="Y21" s="50">
        <v>100200300417</v>
      </c>
      <c r="Z21" s="50" t="s">
        <v>384</v>
      </c>
      <c r="AA21" s="50" t="s">
        <v>390</v>
      </c>
      <c r="AB21" s="67">
        <f t="shared" ca="1" si="1"/>
        <v>45000</v>
      </c>
      <c r="AC21" s="44">
        <f t="shared" ca="1" si="2"/>
        <v>30</v>
      </c>
      <c r="AD21" s="50" t="str">
        <f t="shared" ca="1" si="3"/>
        <v/>
      </c>
    </row>
    <row r="22" spans="1:30" ht="22.15" customHeight="1" x14ac:dyDescent="0.2">
      <c r="A22" s="57">
        <v>18</v>
      </c>
      <c r="B22" s="57" t="s">
        <v>248</v>
      </c>
      <c r="C22" s="57" t="s">
        <v>278</v>
      </c>
      <c r="D22" s="57" t="s">
        <v>67</v>
      </c>
      <c r="E22" s="57" t="s">
        <v>22</v>
      </c>
      <c r="F22" s="57" t="s">
        <v>311</v>
      </c>
      <c r="G22" s="57" t="s">
        <v>65</v>
      </c>
      <c r="H22" s="63">
        <v>10000</v>
      </c>
      <c r="I22" s="63">
        <v>2500</v>
      </c>
      <c r="J22" s="63">
        <v>800</v>
      </c>
      <c r="K22" s="66">
        <f t="shared" si="4"/>
        <v>13300</v>
      </c>
      <c r="L22" s="59">
        <f>DATEVALUE("2022-02-10")</f>
        <v>44602</v>
      </c>
      <c r="M22" s="70">
        <f t="shared" ca="1" si="0"/>
        <v>4</v>
      </c>
      <c r="N22" s="57">
        <v>2178901234</v>
      </c>
      <c r="O22" s="57">
        <v>501230009</v>
      </c>
      <c r="P22" s="57" t="s">
        <v>338</v>
      </c>
      <c r="Q22" s="69">
        <f ca="1">IF(B22="","",AC22-IFERROR(SUMIFS('🌴 الإجازات'!$G:$G,'🌴 الإجازات'!$B:$B,B22,'🌴 الإجازات'!$K:$K,"معتمدة"),0))</f>
        <v>11</v>
      </c>
      <c r="R22" s="57" t="s">
        <v>356</v>
      </c>
      <c r="S22" s="57"/>
      <c r="T22" s="61" t="s">
        <v>190</v>
      </c>
      <c r="U22" s="73">
        <f>DATEVALUE("2022-02-10")</f>
        <v>44602</v>
      </c>
      <c r="V22" s="73"/>
      <c r="W22" s="73"/>
      <c r="X22" s="73"/>
      <c r="Y22" s="61">
        <v>100200300418</v>
      </c>
      <c r="Z22" s="61" t="s">
        <v>385</v>
      </c>
      <c r="AA22" s="61" t="s">
        <v>394</v>
      </c>
      <c r="AB22" s="66">
        <f t="shared" ca="1" si="1"/>
        <v>20000</v>
      </c>
      <c r="AC22" s="74">
        <f t="shared" ca="1" si="2"/>
        <v>21</v>
      </c>
      <c r="AD22" s="61" t="str">
        <f t="shared" ca="1" si="3"/>
        <v/>
      </c>
    </row>
    <row r="23" spans="1:30" ht="22.15" customHeight="1" x14ac:dyDescent="0.2">
      <c r="A23" s="53">
        <v>19</v>
      </c>
      <c r="B23" s="53" t="s">
        <v>249</v>
      </c>
      <c r="C23" s="53" t="s">
        <v>279</v>
      </c>
      <c r="D23" s="53" t="s">
        <v>294</v>
      </c>
      <c r="E23" s="53" t="s">
        <v>22</v>
      </c>
      <c r="F23" s="53" t="s">
        <v>312</v>
      </c>
      <c r="G23" s="53" t="s">
        <v>65</v>
      </c>
      <c r="H23" s="62">
        <v>8500</v>
      </c>
      <c r="I23" s="62">
        <v>2125</v>
      </c>
      <c r="J23" s="62">
        <v>750</v>
      </c>
      <c r="K23" s="67">
        <f t="shared" si="4"/>
        <v>11375</v>
      </c>
      <c r="L23" s="55">
        <f>DATEVALUE("2023-08-01")</f>
        <v>45139</v>
      </c>
      <c r="M23" s="71">
        <f t="shared" ca="1" si="0"/>
        <v>2</v>
      </c>
      <c r="N23" s="53">
        <v>2890123456789</v>
      </c>
      <c r="O23" s="53">
        <v>501230010</v>
      </c>
      <c r="P23" s="53" t="s">
        <v>339</v>
      </c>
      <c r="Q23" s="68">
        <f ca="1">IF(B23="","",AC23-IFERROR(SUMIFS('🌴 الإجازات'!$G:$G,'🌴 الإجازات'!$B:$B,B23,'🌴 الإجازات'!$K:$K,"معتمدة"),0))</f>
        <v>12</v>
      </c>
      <c r="R23" s="53" t="s">
        <v>356</v>
      </c>
      <c r="S23" s="53" t="s">
        <v>370</v>
      </c>
      <c r="T23" s="50" t="s">
        <v>191</v>
      </c>
      <c r="U23" s="72">
        <f>DATEVALUE("2023-08-01")</f>
        <v>45139</v>
      </c>
      <c r="V23" s="72">
        <f>DATEVALUE("2026-07-31")</f>
        <v>46234</v>
      </c>
      <c r="W23" s="72"/>
      <c r="X23" s="72">
        <f>DATEVALUE("2026-09-15")</f>
        <v>46280</v>
      </c>
      <c r="Y23" s="50"/>
      <c r="Z23" s="50" t="s">
        <v>386</v>
      </c>
      <c r="AA23" s="50" t="s">
        <v>393</v>
      </c>
      <c r="AB23" s="67">
        <f t="shared" ca="1" si="1"/>
        <v>8500</v>
      </c>
      <c r="AC23" s="44">
        <f t="shared" ca="1" si="2"/>
        <v>21</v>
      </c>
      <c r="AD23" s="50" t="str">
        <f t="shared" ca="1" si="3"/>
        <v/>
      </c>
    </row>
    <row r="24" spans="1:30" ht="22.15" customHeight="1" x14ac:dyDescent="0.2">
      <c r="A24" s="57">
        <v>20</v>
      </c>
      <c r="B24" s="57" t="s">
        <v>250</v>
      </c>
      <c r="C24" s="57" t="s">
        <v>280</v>
      </c>
      <c r="D24" s="57" t="s">
        <v>67</v>
      </c>
      <c r="E24" s="57" t="s">
        <v>16</v>
      </c>
      <c r="F24" s="57" t="s">
        <v>313</v>
      </c>
      <c r="G24" s="57" t="s">
        <v>65</v>
      </c>
      <c r="H24" s="63">
        <v>16000</v>
      </c>
      <c r="I24" s="63">
        <v>4000</v>
      </c>
      <c r="J24" s="63">
        <v>1100</v>
      </c>
      <c r="K24" s="66">
        <f t="shared" si="4"/>
        <v>21100</v>
      </c>
      <c r="L24" s="59">
        <f>DATEVALUE("2020-11-01")</f>
        <v>44136</v>
      </c>
      <c r="M24" s="70">
        <f t="shared" ca="1" si="0"/>
        <v>5</v>
      </c>
      <c r="N24" s="57">
        <v>2189012345</v>
      </c>
      <c r="O24" s="57">
        <v>501230011</v>
      </c>
      <c r="P24" s="57" t="s">
        <v>340</v>
      </c>
      <c r="Q24" s="69">
        <f ca="1">IF(B24="","",AC24-IFERROR(SUMIFS('🌴 الإجازات'!$G:$G,'🌴 الإجازات'!$B:$B,B24,'🌴 الإجازات'!$K:$K,"معتمدة"),0))</f>
        <v>30</v>
      </c>
      <c r="R24" s="57" t="s">
        <v>354</v>
      </c>
      <c r="S24" s="57"/>
      <c r="T24" s="61" t="s">
        <v>190</v>
      </c>
      <c r="U24" s="73">
        <f>DATEVALUE("2020-11-01")</f>
        <v>44136</v>
      </c>
      <c r="V24" s="73"/>
      <c r="W24" s="73"/>
      <c r="X24" s="73"/>
      <c r="Y24" s="61">
        <v>100200300420</v>
      </c>
      <c r="Z24" s="61" t="s">
        <v>387</v>
      </c>
      <c r="AA24" s="61" t="s">
        <v>390</v>
      </c>
      <c r="AB24" s="66">
        <f t="shared" ca="1" si="1"/>
        <v>40000</v>
      </c>
      <c r="AC24" s="74">
        <f t="shared" ca="1" si="2"/>
        <v>30</v>
      </c>
      <c r="AD24" s="61" t="str">
        <f t="shared" ca="1" si="3"/>
        <v/>
      </c>
    </row>
    <row r="25" spans="1:30" ht="22.15" customHeight="1" x14ac:dyDescent="0.2">
      <c r="A25" s="53">
        <v>21</v>
      </c>
      <c r="B25" s="53" t="s">
        <v>251</v>
      </c>
      <c r="C25" s="53" t="s">
        <v>281</v>
      </c>
      <c r="D25" s="53" t="s">
        <v>64</v>
      </c>
      <c r="E25" s="53" t="s">
        <v>16</v>
      </c>
      <c r="F25" s="53" t="s">
        <v>314</v>
      </c>
      <c r="G25" s="53" t="s">
        <v>65</v>
      </c>
      <c r="H25" s="62">
        <v>8500</v>
      </c>
      <c r="I25" s="62">
        <v>2125</v>
      </c>
      <c r="J25" s="62">
        <v>700</v>
      </c>
      <c r="K25" s="67">
        <f t="shared" si="4"/>
        <v>11325</v>
      </c>
      <c r="L25" s="55">
        <f>DATEVALUE("2023-06-01")</f>
        <v>45078</v>
      </c>
      <c r="M25" s="71">
        <f t="shared" ca="1" si="0"/>
        <v>2</v>
      </c>
      <c r="N25" s="53">
        <v>1190123456</v>
      </c>
      <c r="O25" s="53">
        <v>501230012</v>
      </c>
      <c r="P25" s="53" t="s">
        <v>341</v>
      </c>
      <c r="Q25" s="68">
        <f ca="1">IF(B25="","",AC25-IFERROR(SUMIFS('🌴 الإجازات'!$G:$G,'🌴 الإجازات'!$B:$B,B25,'🌴 الإجازات'!$K:$K,"معتمدة"),0))</f>
        <v>20</v>
      </c>
      <c r="R25" s="53" t="s">
        <v>357</v>
      </c>
      <c r="S25" s="53"/>
      <c r="T25" s="50" t="s">
        <v>190</v>
      </c>
      <c r="U25" s="72">
        <f>DATEVALUE("2023-06-01")</f>
        <v>45078</v>
      </c>
      <c r="V25" s="72"/>
      <c r="W25" s="72"/>
      <c r="X25" s="72"/>
      <c r="Y25" s="50">
        <v>100200300421</v>
      </c>
      <c r="Z25" s="50" t="s">
        <v>388</v>
      </c>
      <c r="AA25" s="50" t="s">
        <v>394</v>
      </c>
      <c r="AB25" s="67">
        <f t="shared" ca="1" si="1"/>
        <v>8500</v>
      </c>
      <c r="AC25" s="44">
        <f t="shared" ca="1" si="2"/>
        <v>21</v>
      </c>
      <c r="AD25" s="50" t="str">
        <f t="shared" ca="1" si="3"/>
        <v/>
      </c>
    </row>
    <row r="26" spans="1:30" ht="22.15" customHeight="1" x14ac:dyDescent="0.2">
      <c r="A26" s="57">
        <v>22</v>
      </c>
      <c r="B26" s="57" t="s">
        <v>252</v>
      </c>
      <c r="C26" s="57" t="s">
        <v>282</v>
      </c>
      <c r="D26" s="57" t="s">
        <v>64</v>
      </c>
      <c r="E26" s="57" t="s">
        <v>17</v>
      </c>
      <c r="F26" s="57" t="s">
        <v>315</v>
      </c>
      <c r="G26" s="57" t="s">
        <v>65</v>
      </c>
      <c r="H26" s="63">
        <v>17000</v>
      </c>
      <c r="I26" s="63">
        <v>4250</v>
      </c>
      <c r="J26" s="63">
        <v>1100</v>
      </c>
      <c r="K26" s="66">
        <f t="shared" si="4"/>
        <v>22350</v>
      </c>
      <c r="L26" s="59">
        <f>DATEVALUE("2019-04-20")</f>
        <v>43575</v>
      </c>
      <c r="M26" s="70">
        <f t="shared" ca="1" si="0"/>
        <v>7</v>
      </c>
      <c r="N26" s="57">
        <v>1201234567</v>
      </c>
      <c r="O26" s="57">
        <v>501230013</v>
      </c>
      <c r="P26" s="57" t="s">
        <v>342</v>
      </c>
      <c r="Q26" s="69">
        <f ca="1">IF(B26="","",AC26-IFERROR(SUMIFS('🌴 الإجازات'!$G:$G,'🌴 الإجازات'!$B:$B,B26,'🌴 الإجازات'!$K:$K,"معتمدة"),0))</f>
        <v>30</v>
      </c>
      <c r="R26" s="57" t="s">
        <v>358</v>
      </c>
      <c r="S26" s="57"/>
      <c r="T26" s="61" t="s">
        <v>190</v>
      </c>
      <c r="U26" s="73">
        <f>DATEVALUE("2019-04-20")</f>
        <v>43575</v>
      </c>
      <c r="V26" s="73"/>
      <c r="W26" s="73"/>
      <c r="X26" s="73"/>
      <c r="Y26" s="61">
        <v>100200300422</v>
      </c>
      <c r="Z26" s="61" t="s">
        <v>379</v>
      </c>
      <c r="AA26" s="61" t="s">
        <v>390</v>
      </c>
      <c r="AB26" s="66">
        <f t="shared" ca="1" si="1"/>
        <v>76500</v>
      </c>
      <c r="AC26" s="74">
        <f t="shared" ca="1" si="2"/>
        <v>30</v>
      </c>
      <c r="AD26" s="61" t="str">
        <f t="shared" ca="1" si="3"/>
        <v/>
      </c>
    </row>
    <row r="27" spans="1:30" ht="22.15" customHeight="1" x14ac:dyDescent="0.2">
      <c r="A27" s="53">
        <v>23</v>
      </c>
      <c r="B27" s="53" t="s">
        <v>253</v>
      </c>
      <c r="C27" s="53" t="s">
        <v>283</v>
      </c>
      <c r="D27" s="53" t="s">
        <v>67</v>
      </c>
      <c r="E27" s="53" t="s">
        <v>17</v>
      </c>
      <c r="F27" s="53" t="s">
        <v>68</v>
      </c>
      <c r="G27" s="53" t="s">
        <v>65</v>
      </c>
      <c r="H27" s="62">
        <v>9500</v>
      </c>
      <c r="I27" s="62">
        <v>2375</v>
      </c>
      <c r="J27" s="62">
        <v>750</v>
      </c>
      <c r="K27" s="67">
        <f t="shared" si="4"/>
        <v>12625</v>
      </c>
      <c r="L27" s="55">
        <f>DATEVALUE("2022-05-15")</f>
        <v>44696</v>
      </c>
      <c r="M27" s="71">
        <f t="shared" ca="1" si="0"/>
        <v>3</v>
      </c>
      <c r="N27" s="53">
        <v>2212345678</v>
      </c>
      <c r="O27" s="53">
        <v>501230014</v>
      </c>
      <c r="P27" s="53" t="s">
        <v>343</v>
      </c>
      <c r="Q27" s="68">
        <f ca="1">IF(B27="","",AC27-IFERROR(SUMIFS('🌴 الإجازات'!$G:$G,'🌴 الإجازات'!$B:$B,B27,'🌴 الإجازات'!$K:$K,"معتمدة"),0))</f>
        <v>21</v>
      </c>
      <c r="R27" s="53" t="s">
        <v>359</v>
      </c>
      <c r="S27" s="53"/>
      <c r="T27" s="50" t="s">
        <v>190</v>
      </c>
      <c r="U27" s="72">
        <f>DATEVALUE("2022-05-15")</f>
        <v>44696</v>
      </c>
      <c r="V27" s="72"/>
      <c r="W27" s="72"/>
      <c r="X27" s="72"/>
      <c r="Y27" s="50">
        <v>100200300423</v>
      </c>
      <c r="Z27" s="50" t="s">
        <v>380</v>
      </c>
      <c r="AA27" s="50" t="s">
        <v>394</v>
      </c>
      <c r="AB27" s="67">
        <f t="shared" ca="1" si="1"/>
        <v>14250</v>
      </c>
      <c r="AC27" s="44">
        <f t="shared" ca="1" si="2"/>
        <v>21</v>
      </c>
      <c r="AD27" s="50" t="str">
        <f t="shared" ca="1" si="3"/>
        <v/>
      </c>
    </row>
    <row r="28" spans="1:30" ht="22.15" customHeight="1" x14ac:dyDescent="0.2">
      <c r="A28" s="57">
        <v>24</v>
      </c>
      <c r="B28" s="57" t="s">
        <v>254</v>
      </c>
      <c r="C28" s="57" t="s">
        <v>284</v>
      </c>
      <c r="D28" s="57" t="s">
        <v>295</v>
      </c>
      <c r="E28" s="57" t="s">
        <v>17</v>
      </c>
      <c r="F28" s="57" t="s">
        <v>316</v>
      </c>
      <c r="G28" s="57" t="s">
        <v>65</v>
      </c>
      <c r="H28" s="63">
        <v>8000</v>
      </c>
      <c r="I28" s="63">
        <v>2000</v>
      </c>
      <c r="J28" s="63">
        <v>700</v>
      </c>
      <c r="K28" s="66">
        <f t="shared" si="4"/>
        <v>10700</v>
      </c>
      <c r="L28" s="59">
        <f>DATEVALUE("2024-07-01")</f>
        <v>45474</v>
      </c>
      <c r="M28" s="70">
        <f t="shared" ca="1" si="0"/>
        <v>1</v>
      </c>
      <c r="N28" s="57">
        <v>2901234567890</v>
      </c>
      <c r="O28" s="57">
        <v>501230015</v>
      </c>
      <c r="P28" s="57" t="s">
        <v>344</v>
      </c>
      <c r="Q28" s="69">
        <f ca="1">IF(B28="","",AC28-IFERROR(SUMIFS('🌴 الإجازات'!$G:$G,'🌴 الإجازات'!$B:$B,B28,'🌴 الإجازات'!$K:$K,"معتمدة"),0))</f>
        <v>18</v>
      </c>
      <c r="R28" s="57" t="s">
        <v>359</v>
      </c>
      <c r="S28" s="57"/>
      <c r="T28" s="61" t="s">
        <v>191</v>
      </c>
      <c r="U28" s="73">
        <f>DATEVALUE("2024-07-01")</f>
        <v>45474</v>
      </c>
      <c r="V28" s="73">
        <f>DATEVALUE("2027-06-30")</f>
        <v>46568</v>
      </c>
      <c r="W28" s="73"/>
      <c r="X28" s="73">
        <f>DATEVALUE("2027-01-10")</f>
        <v>46397</v>
      </c>
      <c r="Y28" s="61"/>
      <c r="Z28" s="61" t="s">
        <v>381</v>
      </c>
      <c r="AA28" s="61" t="s">
        <v>393</v>
      </c>
      <c r="AB28" s="66">
        <f t="shared" ca="1" si="1"/>
        <v>4000</v>
      </c>
      <c r="AC28" s="74">
        <f t="shared" ca="1" si="2"/>
        <v>21</v>
      </c>
      <c r="AD28" s="61" t="str">
        <f t="shared" ca="1" si="3"/>
        <v/>
      </c>
    </row>
    <row r="29" spans="1:30" ht="22.15" customHeight="1" x14ac:dyDescent="0.2">
      <c r="A29" s="53">
        <v>25</v>
      </c>
      <c r="B29" s="53" t="s">
        <v>255</v>
      </c>
      <c r="C29" s="53" t="s">
        <v>285</v>
      </c>
      <c r="D29" s="53" t="s">
        <v>64</v>
      </c>
      <c r="E29" s="53" t="s">
        <v>19</v>
      </c>
      <c r="F29" s="53" t="s">
        <v>317</v>
      </c>
      <c r="G29" s="53" t="s">
        <v>65</v>
      </c>
      <c r="H29" s="62">
        <v>11000</v>
      </c>
      <c r="I29" s="62">
        <v>2750</v>
      </c>
      <c r="J29" s="62">
        <v>900</v>
      </c>
      <c r="K29" s="67">
        <f t="shared" si="4"/>
        <v>14650</v>
      </c>
      <c r="L29" s="55">
        <f>DATEVALUE("2021-01-15")</f>
        <v>44211</v>
      </c>
      <c r="M29" s="71">
        <f t="shared" ca="1" si="0"/>
        <v>5</v>
      </c>
      <c r="N29" s="53">
        <v>1223456789</v>
      </c>
      <c r="O29" s="53">
        <v>501230016</v>
      </c>
      <c r="P29" s="53" t="s">
        <v>345</v>
      </c>
      <c r="Q29" s="68">
        <f ca="1">IF(B29="","",AC29-IFERROR(SUMIFS('🌴 الإجازات'!$G:$G,'🌴 الإجازات'!$B:$B,B29,'🌴 الإجازات'!$K:$K,"معتمدة"),0))</f>
        <v>30</v>
      </c>
      <c r="R29" s="53" t="s">
        <v>354</v>
      </c>
      <c r="S29" s="53"/>
      <c r="T29" s="50" t="s">
        <v>190</v>
      </c>
      <c r="U29" s="72">
        <f>DATEVALUE("2021-01-15")</f>
        <v>44211</v>
      </c>
      <c r="V29" s="72"/>
      <c r="W29" s="72"/>
      <c r="X29" s="72"/>
      <c r="Y29" s="50">
        <v>100200300425</v>
      </c>
      <c r="Z29" s="50" t="s">
        <v>382</v>
      </c>
      <c r="AA29" s="50" t="s">
        <v>390</v>
      </c>
      <c r="AB29" s="67">
        <f t="shared" ca="1" si="1"/>
        <v>27500</v>
      </c>
      <c r="AC29" s="44">
        <f t="shared" ca="1" si="2"/>
        <v>30</v>
      </c>
      <c r="AD29" s="50" t="str">
        <f t="shared" ca="1" si="3"/>
        <v/>
      </c>
    </row>
    <row r="30" spans="1:30" ht="22.15" customHeight="1" x14ac:dyDescent="0.2">
      <c r="A30" s="57">
        <v>26</v>
      </c>
      <c r="B30" s="57" t="s">
        <v>256</v>
      </c>
      <c r="C30" s="57" t="s">
        <v>286</v>
      </c>
      <c r="D30" s="57" t="s">
        <v>67</v>
      </c>
      <c r="E30" s="57" t="s">
        <v>19</v>
      </c>
      <c r="F30" s="57" t="s">
        <v>318</v>
      </c>
      <c r="G30" s="57" t="s">
        <v>175</v>
      </c>
      <c r="H30" s="63">
        <v>6500</v>
      </c>
      <c r="I30" s="63">
        <v>1625</v>
      </c>
      <c r="J30" s="63">
        <v>500</v>
      </c>
      <c r="K30" s="66">
        <f t="shared" si="4"/>
        <v>8625</v>
      </c>
      <c r="L30" s="59">
        <f>DATEVALUE("2023-09-01")</f>
        <v>45170</v>
      </c>
      <c r="M30" s="70">
        <f t="shared" ca="1" si="0"/>
        <v>2</v>
      </c>
      <c r="N30" s="57">
        <v>2234567890</v>
      </c>
      <c r="O30" s="57">
        <v>501230017</v>
      </c>
      <c r="P30" s="57" t="s">
        <v>346</v>
      </c>
      <c r="Q30" s="69">
        <f ca="1">IF(B30="","",AC30-IFERROR(SUMIFS('🌴 الإجازات'!$G:$G,'🌴 الإجازات'!$B:$B,B30,'🌴 الإجازات'!$K:$K,"معتمدة"),0))</f>
        <v>21</v>
      </c>
      <c r="R30" s="57" t="s">
        <v>360</v>
      </c>
      <c r="S30" s="57" t="s">
        <v>371</v>
      </c>
      <c r="T30" s="61" t="s">
        <v>190</v>
      </c>
      <c r="U30" s="73">
        <f>DATEVALUE("2023-09-01")</f>
        <v>45170</v>
      </c>
      <c r="V30" s="73"/>
      <c r="W30" s="73"/>
      <c r="X30" s="73"/>
      <c r="Y30" s="61">
        <v>100200300426</v>
      </c>
      <c r="Z30" s="61" t="s">
        <v>383</v>
      </c>
      <c r="AA30" s="61" t="s">
        <v>394</v>
      </c>
      <c r="AB30" s="66">
        <f t="shared" ca="1" si="1"/>
        <v>6500</v>
      </c>
      <c r="AC30" s="74">
        <f t="shared" ca="1" si="2"/>
        <v>21</v>
      </c>
      <c r="AD30" s="61" t="str">
        <f t="shared" ca="1" si="3"/>
        <v/>
      </c>
    </row>
    <row r="31" spans="1:30" ht="22.15" customHeight="1" x14ac:dyDescent="0.2">
      <c r="A31" s="53">
        <v>27</v>
      </c>
      <c r="B31" s="53" t="s">
        <v>257</v>
      </c>
      <c r="C31" s="53" t="s">
        <v>287</v>
      </c>
      <c r="D31" s="53" t="s">
        <v>291</v>
      </c>
      <c r="E31" s="53" t="s">
        <v>19</v>
      </c>
      <c r="F31" s="53" t="s">
        <v>319</v>
      </c>
      <c r="G31" s="53" t="s">
        <v>65</v>
      </c>
      <c r="H31" s="62">
        <v>5500</v>
      </c>
      <c r="I31" s="62">
        <v>1375</v>
      </c>
      <c r="J31" s="62">
        <v>500</v>
      </c>
      <c r="K31" s="67">
        <f t="shared" si="4"/>
        <v>7375</v>
      </c>
      <c r="L31" s="55">
        <f>DATEVALUE("2024-10-01")</f>
        <v>45566</v>
      </c>
      <c r="M31" s="71">
        <f t="shared" ca="1" si="0"/>
        <v>1</v>
      </c>
      <c r="N31" s="53">
        <v>2912345678901</v>
      </c>
      <c r="O31" s="53">
        <v>501230018</v>
      </c>
      <c r="P31" s="53" t="s">
        <v>347</v>
      </c>
      <c r="Q31" s="68">
        <f ca="1">IF(B31="","",AC31-IFERROR(SUMIFS('🌴 الإجازات'!$G:$G,'🌴 الإجازات'!$B:$B,B31,'🌴 الإجازات'!$K:$K,"معتمدة"),0))</f>
        <v>21</v>
      </c>
      <c r="R31" s="53" t="s">
        <v>360</v>
      </c>
      <c r="S31" s="53"/>
      <c r="T31" s="50" t="s">
        <v>191</v>
      </c>
      <c r="U31" s="72">
        <f>DATEVALUE("2024-10-01")</f>
        <v>45566</v>
      </c>
      <c r="V31" s="72">
        <f>DATEVALUE("2026-09-30")</f>
        <v>46295</v>
      </c>
      <c r="W31" s="72"/>
      <c r="X31" s="72">
        <f>DATEVALUE("2026-07-20")</f>
        <v>46223</v>
      </c>
      <c r="Y31" s="50"/>
      <c r="Z31" s="50" t="s">
        <v>384</v>
      </c>
      <c r="AA31" s="50" t="s">
        <v>393</v>
      </c>
      <c r="AB31" s="67">
        <f t="shared" ca="1" si="1"/>
        <v>2750</v>
      </c>
      <c r="AC31" s="44">
        <f t="shared" ca="1" si="2"/>
        <v>21</v>
      </c>
      <c r="AD31" s="50" t="str">
        <f t="shared" ca="1" si="3"/>
        <v/>
      </c>
    </row>
    <row r="32" spans="1:30" ht="22.15" customHeight="1" x14ac:dyDescent="0.2">
      <c r="A32" s="57">
        <v>28</v>
      </c>
      <c r="B32" s="57" t="s">
        <v>258</v>
      </c>
      <c r="C32" s="57" t="s">
        <v>288</v>
      </c>
      <c r="D32" s="57" t="s">
        <v>296</v>
      </c>
      <c r="E32" s="57" t="s">
        <v>19</v>
      </c>
      <c r="F32" s="57" t="s">
        <v>318</v>
      </c>
      <c r="G32" s="57" t="s">
        <v>65</v>
      </c>
      <c r="H32" s="63">
        <v>5500</v>
      </c>
      <c r="I32" s="63">
        <v>1375</v>
      </c>
      <c r="J32" s="63">
        <v>500</v>
      </c>
      <c r="K32" s="66">
        <f t="shared" si="4"/>
        <v>7375</v>
      </c>
      <c r="L32" s="59">
        <f>DATEVALUE("2025-08-15")</f>
        <v>45884</v>
      </c>
      <c r="M32" s="70">
        <f t="shared" ca="1" si="0"/>
        <v>0</v>
      </c>
      <c r="N32" s="57">
        <v>2923456789012</v>
      </c>
      <c r="O32" s="57">
        <v>501230019</v>
      </c>
      <c r="P32" s="57" t="s">
        <v>348</v>
      </c>
      <c r="Q32" s="69">
        <f ca="1">IF(B32="","",AC32-IFERROR(SUMIFS('🌴 الإجازات'!$G:$G,'🌴 الإجازات'!$B:$B,B32,'🌴 الإجازات'!$K:$K,"معتمدة"),0))</f>
        <v>18</v>
      </c>
      <c r="R32" s="57" t="s">
        <v>360</v>
      </c>
      <c r="S32" s="57"/>
      <c r="T32" s="61" t="s">
        <v>190</v>
      </c>
      <c r="U32" s="73">
        <f>DATEVALUE("2025-08-15")</f>
        <v>45884</v>
      </c>
      <c r="V32" s="73"/>
      <c r="W32" s="73"/>
      <c r="X32" s="73">
        <f>DATEVALUE("2027-02-10")</f>
        <v>46428</v>
      </c>
      <c r="Y32" s="61"/>
      <c r="Z32" s="61" t="s">
        <v>385</v>
      </c>
      <c r="AA32" s="61" t="s">
        <v>393</v>
      </c>
      <c r="AB32" s="66">
        <f t="shared" ca="1" si="1"/>
        <v>0</v>
      </c>
      <c r="AC32" s="74">
        <f t="shared" ca="1" si="2"/>
        <v>21</v>
      </c>
      <c r="AD32" s="61" t="str">
        <f t="shared" ca="1" si="3"/>
        <v/>
      </c>
    </row>
    <row r="33" spans="1:30" ht="22.15" customHeight="1" x14ac:dyDescent="0.2">
      <c r="A33" s="53">
        <v>29</v>
      </c>
      <c r="B33" s="53" t="s">
        <v>259</v>
      </c>
      <c r="C33" s="53" t="s">
        <v>289</v>
      </c>
      <c r="D33" s="53" t="s">
        <v>64</v>
      </c>
      <c r="E33" s="53" t="s">
        <v>21</v>
      </c>
      <c r="F33" s="53" t="s">
        <v>73</v>
      </c>
      <c r="G33" s="53" t="s">
        <v>65</v>
      </c>
      <c r="H33" s="62">
        <v>15000</v>
      </c>
      <c r="I33" s="62">
        <v>3750</v>
      </c>
      <c r="J33" s="62">
        <v>1000</v>
      </c>
      <c r="K33" s="67">
        <f t="shared" si="4"/>
        <v>19750</v>
      </c>
      <c r="L33" s="55">
        <f>DATEVALUE("2020-08-15")</f>
        <v>44058</v>
      </c>
      <c r="M33" s="71">
        <f t="shared" ca="1" si="0"/>
        <v>5</v>
      </c>
      <c r="N33" s="53">
        <v>1245678901</v>
      </c>
      <c r="O33" s="53">
        <v>501230020</v>
      </c>
      <c r="P33" s="53" t="s">
        <v>349</v>
      </c>
      <c r="Q33" s="68">
        <f ca="1">IF(B33="","",AC33-IFERROR(SUMIFS('🌴 الإجازات'!$G:$G,'🌴 الإجازات'!$B:$B,B33,'🌴 الإجازات'!$K:$K,"معتمدة"),0))</f>
        <v>30</v>
      </c>
      <c r="R33" s="53" t="s">
        <v>354</v>
      </c>
      <c r="S33" s="53"/>
      <c r="T33" s="50" t="s">
        <v>190</v>
      </c>
      <c r="U33" s="72">
        <f>DATEVALUE("2020-08-15")</f>
        <v>44058</v>
      </c>
      <c r="V33" s="72"/>
      <c r="W33" s="72"/>
      <c r="X33" s="72"/>
      <c r="Y33" s="50">
        <v>100200300429</v>
      </c>
      <c r="Z33" s="50" t="s">
        <v>386</v>
      </c>
      <c r="AA33" s="50" t="s">
        <v>390</v>
      </c>
      <c r="AB33" s="67">
        <f t="shared" ca="1" si="1"/>
        <v>37500</v>
      </c>
      <c r="AC33" s="44">
        <f t="shared" ca="1" si="2"/>
        <v>30</v>
      </c>
      <c r="AD33" s="50" t="str">
        <f t="shared" ca="1" si="3"/>
        <v/>
      </c>
    </row>
    <row r="34" spans="1:30" ht="22.15" customHeight="1" x14ac:dyDescent="0.2">
      <c r="A34" s="57">
        <v>30</v>
      </c>
      <c r="B34" s="57" t="s">
        <v>260</v>
      </c>
      <c r="C34" s="57" t="s">
        <v>290</v>
      </c>
      <c r="D34" s="57" t="s">
        <v>64</v>
      </c>
      <c r="E34" s="57" t="s">
        <v>21</v>
      </c>
      <c r="F34" s="57" t="s">
        <v>320</v>
      </c>
      <c r="G34" s="57" t="s">
        <v>177</v>
      </c>
      <c r="H34" s="63">
        <v>8500</v>
      </c>
      <c r="I34" s="63">
        <v>2125</v>
      </c>
      <c r="J34" s="63">
        <v>700</v>
      </c>
      <c r="K34" s="66">
        <f t="shared" si="4"/>
        <v>11325</v>
      </c>
      <c r="L34" s="59">
        <f>DATEVALUE("2022-03-01")</f>
        <v>44621</v>
      </c>
      <c r="M34" s="70">
        <f t="shared" ca="1" si="0"/>
        <v>4</v>
      </c>
      <c r="N34" s="57">
        <v>1256789012</v>
      </c>
      <c r="O34" s="57">
        <v>501230021</v>
      </c>
      <c r="P34" s="57" t="s">
        <v>350</v>
      </c>
      <c r="Q34" s="69">
        <f ca="1">IF(B34="","",AC34-IFERROR(SUMIFS('🌴 الإجازات'!$G:$G,'🌴 الإجازات'!$B:$B,B34,'🌴 الإجازات'!$K:$K,"معتمدة"),0))</f>
        <v>21</v>
      </c>
      <c r="R34" s="57" t="s">
        <v>361</v>
      </c>
      <c r="S34" s="57" t="s">
        <v>372</v>
      </c>
      <c r="T34" s="61" t="s">
        <v>190</v>
      </c>
      <c r="U34" s="73">
        <f>DATEVALUE("2022-03-01")</f>
        <v>44621</v>
      </c>
      <c r="V34" s="73">
        <f>DATEVALUE("2026-04-15")</f>
        <v>46127</v>
      </c>
      <c r="W34" s="73"/>
      <c r="X34" s="73"/>
      <c r="Y34" s="61">
        <v>100200300430</v>
      </c>
      <c r="Z34" s="61" t="s">
        <v>387</v>
      </c>
      <c r="AA34" s="61" t="s">
        <v>394</v>
      </c>
      <c r="AB34" s="66">
        <f t="shared" ca="1" si="1"/>
        <v>17000</v>
      </c>
      <c r="AC34" s="74">
        <f t="shared" ca="1" si="2"/>
        <v>21</v>
      </c>
      <c r="AD34" s="61" t="str">
        <f t="shared" ca="1" si="3"/>
        <v/>
      </c>
    </row>
    <row r="35" spans="1:30" ht="22.15" customHeight="1" x14ac:dyDescent="0.2">
      <c r="A35" s="53"/>
      <c r="B35" s="53"/>
      <c r="C35" s="53"/>
      <c r="D35" s="53"/>
      <c r="E35" s="53"/>
      <c r="F35" s="53"/>
      <c r="G35" s="53"/>
      <c r="H35" s="62"/>
      <c r="I35" s="62"/>
      <c r="J35" s="62"/>
      <c r="K35" s="67" t="str">
        <f t="shared" si="4"/>
        <v/>
      </c>
      <c r="L35" s="55"/>
      <c r="M35" s="71" t="str">
        <f t="shared" ca="1" si="0"/>
        <v/>
      </c>
      <c r="N35" s="53"/>
      <c r="O35" s="53"/>
      <c r="P35" s="53"/>
      <c r="Q35" s="68" t="str">
        <f>IF(B35="","",AC35-IFERROR(SUMIFS('🌴 الإجازات'!$G:$G,'🌴 الإجازات'!$B:$B,B35,'🌴 الإجازات'!$K:$K,"معتمدة"),0))</f>
        <v/>
      </c>
      <c r="R35" s="53"/>
      <c r="S35" s="53"/>
      <c r="T35" s="50"/>
      <c r="U35" s="72"/>
      <c r="V35" s="72"/>
      <c r="W35" s="72"/>
      <c r="X35" s="72"/>
      <c r="Y35" s="50"/>
      <c r="Z35" s="50"/>
      <c r="AA35" s="50"/>
      <c r="AB35" s="67" t="str">
        <f t="shared" si="1"/>
        <v/>
      </c>
      <c r="AC35" s="44" t="str">
        <f t="shared" si="2"/>
        <v/>
      </c>
      <c r="AD35" s="50" t="str">
        <f t="shared" ca="1" si="3"/>
        <v/>
      </c>
    </row>
    <row r="36" spans="1:30" ht="22.15" customHeight="1" x14ac:dyDescent="0.2">
      <c r="A36" s="57"/>
      <c r="B36" s="57"/>
      <c r="C36" s="57"/>
      <c r="D36" s="57"/>
      <c r="E36" s="57"/>
      <c r="F36" s="57"/>
      <c r="G36" s="57"/>
      <c r="H36" s="63"/>
      <c r="I36" s="63"/>
      <c r="J36" s="63"/>
      <c r="K36" s="66" t="str">
        <f t="shared" si="4"/>
        <v/>
      </c>
      <c r="L36" s="59"/>
      <c r="M36" s="70" t="str">
        <f t="shared" ca="1" si="0"/>
        <v/>
      </c>
      <c r="N36" s="57"/>
      <c r="O36" s="57"/>
      <c r="P36" s="57"/>
      <c r="Q36" s="69" t="str">
        <f>IF(B36="","",AC36-IFERROR(SUMIFS('🌴 الإجازات'!$G:$G,'🌴 الإجازات'!$B:$B,B36,'🌴 الإجازات'!$K:$K,"معتمدة"),0))</f>
        <v/>
      </c>
      <c r="R36" s="57"/>
      <c r="S36" s="57"/>
      <c r="T36" s="61"/>
      <c r="U36" s="73"/>
      <c r="V36" s="73"/>
      <c r="W36" s="73"/>
      <c r="X36" s="73"/>
      <c r="Y36" s="61"/>
      <c r="Z36" s="61"/>
      <c r="AA36" s="61"/>
      <c r="AB36" s="66" t="str">
        <f t="shared" si="1"/>
        <v/>
      </c>
      <c r="AC36" s="74" t="str">
        <f t="shared" si="2"/>
        <v/>
      </c>
      <c r="AD36" s="61" t="str">
        <f t="shared" ca="1" si="3"/>
        <v/>
      </c>
    </row>
    <row r="37" spans="1:30" ht="22.15" customHeight="1" x14ac:dyDescent="0.2">
      <c r="A37" s="53"/>
      <c r="B37" s="53"/>
      <c r="C37" s="53"/>
      <c r="D37" s="53"/>
      <c r="E37" s="53"/>
      <c r="F37" s="53"/>
      <c r="G37" s="53"/>
      <c r="H37" s="62"/>
      <c r="I37" s="62"/>
      <c r="J37" s="62"/>
      <c r="K37" s="67" t="str">
        <f t="shared" si="4"/>
        <v/>
      </c>
      <c r="L37" s="55"/>
      <c r="M37" s="71" t="str">
        <f t="shared" ref="M37:M68" ca="1" si="5">IF(L37&lt;&gt;"",DATEDIF(L37,TODAY(),"Y"),"")</f>
        <v/>
      </c>
      <c r="N37" s="53"/>
      <c r="O37" s="53"/>
      <c r="P37" s="53"/>
      <c r="Q37" s="68" t="str">
        <f>IF(B37="","",AC37-IFERROR(SUMIFS('🌴 الإجازات'!$G:$G,'🌴 الإجازات'!$B:$B,B37,'🌴 الإجازات'!$K:$K,"معتمدة"),0))</f>
        <v/>
      </c>
      <c r="R37" s="53"/>
      <c r="S37" s="53"/>
      <c r="T37" s="50"/>
      <c r="U37" s="72"/>
      <c r="V37" s="72"/>
      <c r="W37" s="72"/>
      <c r="X37" s="72"/>
      <c r="Y37" s="50"/>
      <c r="Z37" s="50"/>
      <c r="AA37" s="50"/>
      <c r="AB37" s="67" t="str">
        <f t="shared" ref="AB37:AB68" si="6">IF(AND(B37&lt;&gt;"",L37&lt;&gt;""),(0.5*H37*MIN(M37,5))+(1*H37*MAX(0,M37-5)),"")</f>
        <v/>
      </c>
      <c r="AC37" s="44" t="str">
        <f t="shared" ref="AC37:AC68" si="7">IF(B37&lt;&gt;"",IF(IFERROR(M37,0)&gt;=5,LeaveDaysSenior,LeaveDaysJunior),"")</f>
        <v/>
      </c>
      <c r="AD37" s="50" t="str">
        <f t="shared" ref="AD37:AD68" ca="1" si="8">IF(B37="","",IF(AND(X37&lt;&gt;"",X37-TODAY()&lt;=ExpiryWarnDays,X37-TODAY()&gt;=0),"⚠️ إقامة تنتهي خلال "&amp;(X37-TODAY())&amp;" يوم",IF(AND(V37&lt;&gt;"",V37-TODAY()&lt;=ExpiryWarnDays,V37-TODAY()&gt;=0),"⚠️ عقد ينتهي خلال "&amp;(V37-TODAY())&amp;" يوم",IF(AND(W37&lt;&gt;"",W37-TODAY()&lt;=30,W37-TODAY()&gt;=0),"🟡 تجربة تنتهي خلال "&amp;(W37-TODAY())&amp;" يوم",""))))</f>
        <v/>
      </c>
    </row>
    <row r="38" spans="1:30" ht="22.15" customHeight="1" x14ac:dyDescent="0.2">
      <c r="A38" s="57"/>
      <c r="B38" s="57"/>
      <c r="C38" s="57"/>
      <c r="D38" s="57"/>
      <c r="E38" s="57"/>
      <c r="F38" s="57"/>
      <c r="G38" s="57"/>
      <c r="H38" s="63"/>
      <c r="I38" s="63"/>
      <c r="J38" s="63"/>
      <c r="K38" s="66" t="str">
        <f t="shared" si="4"/>
        <v/>
      </c>
      <c r="L38" s="59"/>
      <c r="M38" s="70" t="str">
        <f t="shared" ca="1" si="5"/>
        <v/>
      </c>
      <c r="N38" s="57"/>
      <c r="O38" s="57"/>
      <c r="P38" s="57"/>
      <c r="Q38" s="69" t="str">
        <f>IF(B38="","",AC38-IFERROR(SUMIFS('🌴 الإجازات'!$G:$G,'🌴 الإجازات'!$B:$B,B38,'🌴 الإجازات'!$K:$K,"معتمدة"),0))</f>
        <v/>
      </c>
      <c r="R38" s="57"/>
      <c r="S38" s="57"/>
      <c r="T38" s="61"/>
      <c r="U38" s="73"/>
      <c r="V38" s="73"/>
      <c r="W38" s="73"/>
      <c r="X38" s="73"/>
      <c r="Y38" s="61"/>
      <c r="Z38" s="61"/>
      <c r="AA38" s="61"/>
      <c r="AB38" s="66" t="str">
        <f t="shared" si="6"/>
        <v/>
      </c>
      <c r="AC38" s="74" t="str">
        <f t="shared" si="7"/>
        <v/>
      </c>
      <c r="AD38" s="61" t="str">
        <f t="shared" ca="1" si="8"/>
        <v/>
      </c>
    </row>
    <row r="39" spans="1:30" ht="22.15" customHeight="1" x14ac:dyDescent="0.2">
      <c r="A39" s="53"/>
      <c r="B39" s="53"/>
      <c r="C39" s="53"/>
      <c r="D39" s="53"/>
      <c r="E39" s="53"/>
      <c r="F39" s="53"/>
      <c r="G39" s="53"/>
      <c r="H39" s="62"/>
      <c r="I39" s="62"/>
      <c r="J39" s="62"/>
      <c r="K39" s="67" t="str">
        <f t="shared" si="4"/>
        <v/>
      </c>
      <c r="L39" s="55"/>
      <c r="M39" s="71" t="str">
        <f t="shared" ca="1" si="5"/>
        <v/>
      </c>
      <c r="N39" s="53"/>
      <c r="O39" s="53"/>
      <c r="P39" s="53"/>
      <c r="Q39" s="68" t="str">
        <f>IF(B39="","",AC39-IFERROR(SUMIFS('🌴 الإجازات'!$G:$G,'🌴 الإجازات'!$B:$B,B39,'🌴 الإجازات'!$K:$K,"معتمدة"),0))</f>
        <v/>
      </c>
      <c r="R39" s="53"/>
      <c r="S39" s="53"/>
      <c r="T39" s="50"/>
      <c r="U39" s="72"/>
      <c r="V39" s="72"/>
      <c r="W39" s="72"/>
      <c r="X39" s="72"/>
      <c r="Y39" s="50"/>
      <c r="Z39" s="50"/>
      <c r="AA39" s="50"/>
      <c r="AB39" s="67" t="str">
        <f t="shared" si="6"/>
        <v/>
      </c>
      <c r="AC39" s="44" t="str">
        <f t="shared" si="7"/>
        <v/>
      </c>
      <c r="AD39" s="50" t="str">
        <f t="shared" ca="1" si="8"/>
        <v/>
      </c>
    </row>
    <row r="40" spans="1:30" ht="22.15" customHeight="1" x14ac:dyDescent="0.2">
      <c r="A40" s="57"/>
      <c r="B40" s="57"/>
      <c r="C40" s="57"/>
      <c r="D40" s="57"/>
      <c r="E40" s="57"/>
      <c r="F40" s="57"/>
      <c r="G40" s="57"/>
      <c r="H40" s="63"/>
      <c r="I40" s="63"/>
      <c r="J40" s="63"/>
      <c r="K40" s="66" t="str">
        <f t="shared" si="4"/>
        <v/>
      </c>
      <c r="L40" s="59"/>
      <c r="M40" s="70" t="str">
        <f t="shared" ca="1" si="5"/>
        <v/>
      </c>
      <c r="N40" s="57"/>
      <c r="O40" s="57"/>
      <c r="P40" s="57"/>
      <c r="Q40" s="69" t="str">
        <f>IF(B40="","",AC40-IFERROR(SUMIFS('🌴 الإجازات'!$G:$G,'🌴 الإجازات'!$B:$B,B40,'🌴 الإجازات'!$K:$K,"معتمدة"),0))</f>
        <v/>
      </c>
      <c r="R40" s="57"/>
      <c r="S40" s="57"/>
      <c r="T40" s="61"/>
      <c r="U40" s="73"/>
      <c r="V40" s="73"/>
      <c r="W40" s="73"/>
      <c r="X40" s="73"/>
      <c r="Y40" s="61"/>
      <c r="Z40" s="61"/>
      <c r="AA40" s="61"/>
      <c r="AB40" s="66" t="str">
        <f t="shared" si="6"/>
        <v/>
      </c>
      <c r="AC40" s="74" t="str">
        <f t="shared" si="7"/>
        <v/>
      </c>
      <c r="AD40" s="61" t="str">
        <f t="shared" ca="1" si="8"/>
        <v/>
      </c>
    </row>
    <row r="41" spans="1:30" ht="22.15" customHeight="1" x14ac:dyDescent="0.2">
      <c r="A41" s="53"/>
      <c r="B41" s="53"/>
      <c r="C41" s="53"/>
      <c r="D41" s="53"/>
      <c r="E41" s="53"/>
      <c r="F41" s="53"/>
      <c r="G41" s="53"/>
      <c r="H41" s="62"/>
      <c r="I41" s="62"/>
      <c r="J41" s="62"/>
      <c r="K41" s="67" t="str">
        <f t="shared" si="4"/>
        <v/>
      </c>
      <c r="L41" s="55"/>
      <c r="M41" s="71" t="str">
        <f t="shared" ca="1" si="5"/>
        <v/>
      </c>
      <c r="N41" s="53"/>
      <c r="O41" s="53"/>
      <c r="P41" s="53"/>
      <c r="Q41" s="68" t="str">
        <f>IF(B41="","",AC41-IFERROR(SUMIFS('🌴 الإجازات'!$G:$G,'🌴 الإجازات'!$B:$B,B41,'🌴 الإجازات'!$K:$K,"معتمدة"),0))</f>
        <v/>
      </c>
      <c r="R41" s="53"/>
      <c r="S41" s="53"/>
      <c r="T41" s="50"/>
      <c r="U41" s="72"/>
      <c r="V41" s="72"/>
      <c r="W41" s="72"/>
      <c r="X41" s="72"/>
      <c r="Y41" s="50"/>
      <c r="Z41" s="50"/>
      <c r="AA41" s="50"/>
      <c r="AB41" s="67" t="str">
        <f t="shared" si="6"/>
        <v/>
      </c>
      <c r="AC41" s="44" t="str">
        <f t="shared" si="7"/>
        <v/>
      </c>
      <c r="AD41" s="50" t="str">
        <f t="shared" ca="1" si="8"/>
        <v/>
      </c>
    </row>
    <row r="42" spans="1:30" ht="22.15" customHeight="1" x14ac:dyDescent="0.2">
      <c r="A42" s="57"/>
      <c r="B42" s="57"/>
      <c r="C42" s="57"/>
      <c r="D42" s="57"/>
      <c r="E42" s="57"/>
      <c r="F42" s="57"/>
      <c r="G42" s="57"/>
      <c r="H42" s="63"/>
      <c r="I42" s="63"/>
      <c r="J42" s="63"/>
      <c r="K42" s="66" t="str">
        <f t="shared" ref="K42:K73" si="9">IF(H42&lt;&gt;"",H42+I42+J42,"")</f>
        <v/>
      </c>
      <c r="L42" s="59"/>
      <c r="M42" s="70" t="str">
        <f t="shared" ca="1" si="5"/>
        <v/>
      </c>
      <c r="N42" s="57"/>
      <c r="O42" s="57"/>
      <c r="P42" s="57"/>
      <c r="Q42" s="69" t="str">
        <f>IF(B42="","",AC42-IFERROR(SUMIFS('🌴 الإجازات'!$G:$G,'🌴 الإجازات'!$B:$B,B42,'🌴 الإجازات'!$K:$K,"معتمدة"),0))</f>
        <v/>
      </c>
      <c r="R42" s="57"/>
      <c r="S42" s="57"/>
      <c r="T42" s="61"/>
      <c r="U42" s="73"/>
      <c r="V42" s="73"/>
      <c r="W42" s="73"/>
      <c r="X42" s="73"/>
      <c r="Y42" s="61"/>
      <c r="Z42" s="61"/>
      <c r="AA42" s="61"/>
      <c r="AB42" s="66" t="str">
        <f t="shared" si="6"/>
        <v/>
      </c>
      <c r="AC42" s="74" t="str">
        <f t="shared" si="7"/>
        <v/>
      </c>
      <c r="AD42" s="61" t="str">
        <f t="shared" ca="1" si="8"/>
        <v/>
      </c>
    </row>
    <row r="43" spans="1:30" ht="22.15" customHeight="1" x14ac:dyDescent="0.2">
      <c r="A43" s="53"/>
      <c r="B43" s="53"/>
      <c r="C43" s="53"/>
      <c r="D43" s="53"/>
      <c r="E43" s="53"/>
      <c r="F43" s="53"/>
      <c r="G43" s="53"/>
      <c r="H43" s="62"/>
      <c r="I43" s="62"/>
      <c r="J43" s="62"/>
      <c r="K43" s="67" t="str">
        <f t="shared" si="9"/>
        <v/>
      </c>
      <c r="L43" s="55"/>
      <c r="M43" s="71" t="str">
        <f t="shared" ca="1" si="5"/>
        <v/>
      </c>
      <c r="N43" s="53"/>
      <c r="O43" s="53"/>
      <c r="P43" s="53"/>
      <c r="Q43" s="68" t="str">
        <f>IF(B43="","",AC43-IFERROR(SUMIFS('🌴 الإجازات'!$G:$G,'🌴 الإجازات'!$B:$B,B43,'🌴 الإجازات'!$K:$K,"معتمدة"),0))</f>
        <v/>
      </c>
      <c r="R43" s="53"/>
      <c r="S43" s="53"/>
      <c r="T43" s="50"/>
      <c r="U43" s="72"/>
      <c r="V43" s="72"/>
      <c r="W43" s="72"/>
      <c r="X43" s="72"/>
      <c r="Y43" s="50"/>
      <c r="Z43" s="50"/>
      <c r="AA43" s="50"/>
      <c r="AB43" s="67" t="str">
        <f t="shared" si="6"/>
        <v/>
      </c>
      <c r="AC43" s="44" t="str">
        <f t="shared" si="7"/>
        <v/>
      </c>
      <c r="AD43" s="50" t="str">
        <f t="shared" ca="1" si="8"/>
        <v/>
      </c>
    </row>
    <row r="44" spans="1:30" ht="22.15" customHeight="1" x14ac:dyDescent="0.2">
      <c r="A44" s="57"/>
      <c r="B44" s="57"/>
      <c r="C44" s="57"/>
      <c r="D44" s="57"/>
      <c r="E44" s="57"/>
      <c r="F44" s="57"/>
      <c r="G44" s="57"/>
      <c r="H44" s="63"/>
      <c r="I44" s="63"/>
      <c r="J44" s="63"/>
      <c r="K44" s="66" t="str">
        <f t="shared" si="9"/>
        <v/>
      </c>
      <c r="L44" s="59"/>
      <c r="M44" s="70" t="str">
        <f t="shared" ca="1" si="5"/>
        <v/>
      </c>
      <c r="N44" s="57"/>
      <c r="O44" s="57"/>
      <c r="P44" s="57"/>
      <c r="Q44" s="69" t="str">
        <f>IF(B44="","",AC44-IFERROR(SUMIFS('🌴 الإجازات'!$G:$G,'🌴 الإجازات'!$B:$B,B44,'🌴 الإجازات'!$K:$K,"معتمدة"),0))</f>
        <v/>
      </c>
      <c r="R44" s="57"/>
      <c r="S44" s="57"/>
      <c r="T44" s="61"/>
      <c r="U44" s="73"/>
      <c r="V44" s="73"/>
      <c r="W44" s="73"/>
      <c r="X44" s="73"/>
      <c r="Y44" s="61"/>
      <c r="Z44" s="61"/>
      <c r="AA44" s="61"/>
      <c r="AB44" s="66" t="str">
        <f t="shared" si="6"/>
        <v/>
      </c>
      <c r="AC44" s="74" t="str">
        <f t="shared" si="7"/>
        <v/>
      </c>
      <c r="AD44" s="61" t="str">
        <f t="shared" ca="1" si="8"/>
        <v/>
      </c>
    </row>
    <row r="45" spans="1:30" ht="22.15" customHeight="1" x14ac:dyDescent="0.2">
      <c r="A45" s="53"/>
      <c r="B45" s="53"/>
      <c r="C45" s="53"/>
      <c r="D45" s="53"/>
      <c r="E45" s="53"/>
      <c r="F45" s="53"/>
      <c r="G45" s="53"/>
      <c r="H45" s="62"/>
      <c r="I45" s="62"/>
      <c r="J45" s="62"/>
      <c r="K45" s="67" t="str">
        <f t="shared" si="9"/>
        <v/>
      </c>
      <c r="L45" s="55"/>
      <c r="M45" s="71" t="str">
        <f t="shared" ca="1" si="5"/>
        <v/>
      </c>
      <c r="N45" s="53"/>
      <c r="O45" s="53"/>
      <c r="P45" s="53"/>
      <c r="Q45" s="68" t="str">
        <f>IF(B45="","",AC45-IFERROR(SUMIFS('🌴 الإجازات'!$G:$G,'🌴 الإجازات'!$B:$B,B45,'🌴 الإجازات'!$K:$K,"معتمدة"),0))</f>
        <v/>
      </c>
      <c r="R45" s="53"/>
      <c r="S45" s="53"/>
      <c r="T45" s="50"/>
      <c r="U45" s="72"/>
      <c r="V45" s="72"/>
      <c r="W45" s="72"/>
      <c r="X45" s="72"/>
      <c r="Y45" s="50"/>
      <c r="Z45" s="50"/>
      <c r="AA45" s="50"/>
      <c r="AB45" s="67" t="str">
        <f t="shared" si="6"/>
        <v/>
      </c>
      <c r="AC45" s="44" t="str">
        <f t="shared" si="7"/>
        <v/>
      </c>
      <c r="AD45" s="50" t="str">
        <f t="shared" ca="1" si="8"/>
        <v/>
      </c>
    </row>
    <row r="46" spans="1:30" ht="22.15" customHeight="1" x14ac:dyDescent="0.2">
      <c r="A46" s="57"/>
      <c r="B46" s="57"/>
      <c r="C46" s="57"/>
      <c r="D46" s="57"/>
      <c r="E46" s="57"/>
      <c r="F46" s="57"/>
      <c r="G46" s="57"/>
      <c r="H46" s="63"/>
      <c r="I46" s="63"/>
      <c r="J46" s="63"/>
      <c r="K46" s="66" t="str">
        <f t="shared" si="9"/>
        <v/>
      </c>
      <c r="L46" s="59"/>
      <c r="M46" s="70" t="str">
        <f t="shared" ca="1" si="5"/>
        <v/>
      </c>
      <c r="N46" s="57"/>
      <c r="O46" s="57"/>
      <c r="P46" s="57"/>
      <c r="Q46" s="69" t="str">
        <f>IF(B46="","",AC46-IFERROR(SUMIFS('🌴 الإجازات'!$G:$G,'🌴 الإجازات'!$B:$B,B46,'🌴 الإجازات'!$K:$K,"معتمدة"),0))</f>
        <v/>
      </c>
      <c r="R46" s="57"/>
      <c r="S46" s="57"/>
      <c r="T46" s="61"/>
      <c r="U46" s="73"/>
      <c r="V46" s="73"/>
      <c r="W46" s="73"/>
      <c r="X46" s="73"/>
      <c r="Y46" s="61"/>
      <c r="Z46" s="61"/>
      <c r="AA46" s="61"/>
      <c r="AB46" s="66" t="str">
        <f t="shared" si="6"/>
        <v/>
      </c>
      <c r="AC46" s="74" t="str">
        <f t="shared" si="7"/>
        <v/>
      </c>
      <c r="AD46" s="61" t="str">
        <f t="shared" ca="1" si="8"/>
        <v/>
      </c>
    </row>
    <row r="47" spans="1:30" ht="22.15" customHeight="1" x14ac:dyDescent="0.2">
      <c r="A47" s="53"/>
      <c r="B47" s="53"/>
      <c r="C47" s="53"/>
      <c r="D47" s="53"/>
      <c r="E47" s="53"/>
      <c r="F47" s="53"/>
      <c r="G47" s="53"/>
      <c r="H47" s="62"/>
      <c r="I47" s="62"/>
      <c r="J47" s="62"/>
      <c r="K47" s="67" t="str">
        <f t="shared" si="9"/>
        <v/>
      </c>
      <c r="L47" s="55"/>
      <c r="M47" s="71" t="str">
        <f t="shared" ca="1" si="5"/>
        <v/>
      </c>
      <c r="N47" s="53"/>
      <c r="O47" s="53"/>
      <c r="P47" s="53"/>
      <c r="Q47" s="68" t="str">
        <f>IF(B47="","",AC47-IFERROR(SUMIFS('🌴 الإجازات'!$G:$G,'🌴 الإجازات'!$B:$B,B47,'🌴 الإجازات'!$K:$K,"معتمدة"),0))</f>
        <v/>
      </c>
      <c r="R47" s="53"/>
      <c r="S47" s="53"/>
      <c r="T47" s="50"/>
      <c r="U47" s="72"/>
      <c r="V47" s="72"/>
      <c r="W47" s="72"/>
      <c r="X47" s="72"/>
      <c r="Y47" s="50"/>
      <c r="Z47" s="50"/>
      <c r="AA47" s="50"/>
      <c r="AB47" s="67" t="str">
        <f t="shared" si="6"/>
        <v/>
      </c>
      <c r="AC47" s="44" t="str">
        <f t="shared" si="7"/>
        <v/>
      </c>
      <c r="AD47" s="50" t="str">
        <f t="shared" ca="1" si="8"/>
        <v/>
      </c>
    </row>
    <row r="48" spans="1:30" ht="22.15" customHeight="1" x14ac:dyDescent="0.2">
      <c r="A48" s="57"/>
      <c r="B48" s="57"/>
      <c r="C48" s="57"/>
      <c r="D48" s="57"/>
      <c r="E48" s="57"/>
      <c r="F48" s="57"/>
      <c r="G48" s="57"/>
      <c r="H48" s="63"/>
      <c r="I48" s="63"/>
      <c r="J48" s="63"/>
      <c r="K48" s="66" t="str">
        <f t="shared" si="9"/>
        <v/>
      </c>
      <c r="L48" s="59"/>
      <c r="M48" s="70" t="str">
        <f t="shared" ca="1" si="5"/>
        <v/>
      </c>
      <c r="N48" s="57"/>
      <c r="O48" s="57"/>
      <c r="P48" s="57"/>
      <c r="Q48" s="69" t="str">
        <f>IF(B48="","",AC48-IFERROR(SUMIFS('🌴 الإجازات'!$G:$G,'🌴 الإجازات'!$B:$B,B48,'🌴 الإجازات'!$K:$K,"معتمدة"),0))</f>
        <v/>
      </c>
      <c r="R48" s="57"/>
      <c r="S48" s="57"/>
      <c r="T48" s="61"/>
      <c r="U48" s="73"/>
      <c r="V48" s="73"/>
      <c r="W48" s="73"/>
      <c r="X48" s="73"/>
      <c r="Y48" s="61"/>
      <c r="Z48" s="61"/>
      <c r="AA48" s="61"/>
      <c r="AB48" s="66" t="str">
        <f t="shared" si="6"/>
        <v/>
      </c>
      <c r="AC48" s="74" t="str">
        <f t="shared" si="7"/>
        <v/>
      </c>
      <c r="AD48" s="61" t="str">
        <f t="shared" ca="1" si="8"/>
        <v/>
      </c>
    </row>
    <row r="49" spans="1:30" ht="22.15" customHeight="1" x14ac:dyDescent="0.2">
      <c r="A49" s="53"/>
      <c r="B49" s="53"/>
      <c r="C49" s="53"/>
      <c r="D49" s="53"/>
      <c r="E49" s="53"/>
      <c r="F49" s="53"/>
      <c r="G49" s="53"/>
      <c r="H49" s="62"/>
      <c r="I49" s="62"/>
      <c r="J49" s="62"/>
      <c r="K49" s="67" t="str">
        <f t="shared" si="9"/>
        <v/>
      </c>
      <c r="L49" s="55"/>
      <c r="M49" s="71" t="str">
        <f t="shared" ca="1" si="5"/>
        <v/>
      </c>
      <c r="N49" s="53"/>
      <c r="O49" s="53"/>
      <c r="P49" s="53"/>
      <c r="Q49" s="68" t="str">
        <f>IF(B49="","",AC49-IFERROR(SUMIFS('🌴 الإجازات'!$G:$G,'🌴 الإجازات'!$B:$B,B49,'🌴 الإجازات'!$K:$K,"معتمدة"),0))</f>
        <v/>
      </c>
      <c r="R49" s="53"/>
      <c r="S49" s="53"/>
      <c r="T49" s="50"/>
      <c r="U49" s="72"/>
      <c r="V49" s="72"/>
      <c r="W49" s="72"/>
      <c r="X49" s="72"/>
      <c r="Y49" s="50"/>
      <c r="Z49" s="50"/>
      <c r="AA49" s="50"/>
      <c r="AB49" s="67" t="str">
        <f t="shared" si="6"/>
        <v/>
      </c>
      <c r="AC49" s="44" t="str">
        <f t="shared" si="7"/>
        <v/>
      </c>
      <c r="AD49" s="50" t="str">
        <f t="shared" ca="1" si="8"/>
        <v/>
      </c>
    </row>
    <row r="50" spans="1:30" ht="22.15" customHeight="1" x14ac:dyDescent="0.2">
      <c r="A50" s="57"/>
      <c r="B50" s="57"/>
      <c r="C50" s="57"/>
      <c r="D50" s="57"/>
      <c r="E50" s="57"/>
      <c r="F50" s="57"/>
      <c r="G50" s="57"/>
      <c r="H50" s="63"/>
      <c r="I50" s="63"/>
      <c r="J50" s="63"/>
      <c r="K50" s="66" t="str">
        <f t="shared" si="9"/>
        <v/>
      </c>
      <c r="L50" s="59"/>
      <c r="M50" s="70" t="str">
        <f t="shared" ca="1" si="5"/>
        <v/>
      </c>
      <c r="N50" s="57"/>
      <c r="O50" s="57"/>
      <c r="P50" s="57"/>
      <c r="Q50" s="69" t="str">
        <f>IF(B50="","",AC50-IFERROR(SUMIFS('🌴 الإجازات'!$G:$G,'🌴 الإجازات'!$B:$B,B50,'🌴 الإجازات'!$K:$K,"معتمدة"),0))</f>
        <v/>
      </c>
      <c r="R50" s="57"/>
      <c r="S50" s="57"/>
      <c r="T50" s="61"/>
      <c r="U50" s="73"/>
      <c r="V50" s="73"/>
      <c r="W50" s="73"/>
      <c r="X50" s="73"/>
      <c r="Y50" s="61"/>
      <c r="Z50" s="61"/>
      <c r="AA50" s="61"/>
      <c r="AB50" s="66" t="str">
        <f t="shared" si="6"/>
        <v/>
      </c>
      <c r="AC50" s="74" t="str">
        <f t="shared" si="7"/>
        <v/>
      </c>
      <c r="AD50" s="61" t="str">
        <f t="shared" ca="1" si="8"/>
        <v/>
      </c>
    </row>
    <row r="51" spans="1:30" ht="22.15" customHeight="1" x14ac:dyDescent="0.2">
      <c r="A51" s="53"/>
      <c r="B51" s="53"/>
      <c r="C51" s="53"/>
      <c r="D51" s="53"/>
      <c r="E51" s="53"/>
      <c r="F51" s="53"/>
      <c r="G51" s="53"/>
      <c r="H51" s="62"/>
      <c r="I51" s="62"/>
      <c r="J51" s="62"/>
      <c r="K51" s="67" t="str">
        <f t="shared" si="9"/>
        <v/>
      </c>
      <c r="L51" s="55"/>
      <c r="M51" s="71" t="str">
        <f t="shared" ca="1" si="5"/>
        <v/>
      </c>
      <c r="N51" s="53"/>
      <c r="O51" s="53"/>
      <c r="P51" s="53"/>
      <c r="Q51" s="68" t="str">
        <f>IF(B51="","",AC51-IFERROR(SUMIFS('🌴 الإجازات'!$G:$G,'🌴 الإجازات'!$B:$B,B51,'🌴 الإجازات'!$K:$K,"معتمدة"),0))</f>
        <v/>
      </c>
      <c r="R51" s="53"/>
      <c r="S51" s="53"/>
      <c r="T51" s="50"/>
      <c r="U51" s="72"/>
      <c r="V51" s="72"/>
      <c r="W51" s="72"/>
      <c r="X51" s="72"/>
      <c r="Y51" s="50"/>
      <c r="Z51" s="50"/>
      <c r="AA51" s="50"/>
      <c r="AB51" s="67" t="str">
        <f t="shared" si="6"/>
        <v/>
      </c>
      <c r="AC51" s="44" t="str">
        <f t="shared" si="7"/>
        <v/>
      </c>
      <c r="AD51" s="50" t="str">
        <f t="shared" ca="1" si="8"/>
        <v/>
      </c>
    </row>
    <row r="52" spans="1:30" ht="22.15" customHeight="1" x14ac:dyDescent="0.2">
      <c r="A52" s="57"/>
      <c r="B52" s="57"/>
      <c r="C52" s="57"/>
      <c r="D52" s="57"/>
      <c r="E52" s="57"/>
      <c r="F52" s="57"/>
      <c r="G52" s="57"/>
      <c r="H52" s="63"/>
      <c r="I52" s="63"/>
      <c r="J52" s="63"/>
      <c r="K52" s="66" t="str">
        <f t="shared" si="9"/>
        <v/>
      </c>
      <c r="L52" s="59"/>
      <c r="M52" s="70" t="str">
        <f t="shared" ca="1" si="5"/>
        <v/>
      </c>
      <c r="N52" s="57"/>
      <c r="O52" s="57"/>
      <c r="P52" s="57"/>
      <c r="Q52" s="69" t="str">
        <f>IF(B52="","",AC52-IFERROR(SUMIFS('🌴 الإجازات'!$G:$G,'🌴 الإجازات'!$B:$B,B52,'🌴 الإجازات'!$K:$K,"معتمدة"),0))</f>
        <v/>
      </c>
      <c r="R52" s="57"/>
      <c r="S52" s="57"/>
      <c r="T52" s="61"/>
      <c r="U52" s="73"/>
      <c r="V52" s="73"/>
      <c r="W52" s="73"/>
      <c r="X52" s="73"/>
      <c r="Y52" s="61"/>
      <c r="Z52" s="61"/>
      <c r="AA52" s="61"/>
      <c r="AB52" s="66" t="str">
        <f t="shared" si="6"/>
        <v/>
      </c>
      <c r="AC52" s="74" t="str">
        <f t="shared" si="7"/>
        <v/>
      </c>
      <c r="AD52" s="61" t="str">
        <f t="shared" ca="1" si="8"/>
        <v/>
      </c>
    </row>
    <row r="53" spans="1:30" ht="22.15" customHeight="1" x14ac:dyDescent="0.2">
      <c r="A53" s="53"/>
      <c r="B53" s="53"/>
      <c r="C53" s="53"/>
      <c r="D53" s="53"/>
      <c r="E53" s="53"/>
      <c r="F53" s="53"/>
      <c r="G53" s="53"/>
      <c r="H53" s="62"/>
      <c r="I53" s="62"/>
      <c r="J53" s="62"/>
      <c r="K53" s="67" t="str">
        <f t="shared" si="9"/>
        <v/>
      </c>
      <c r="L53" s="55"/>
      <c r="M53" s="71" t="str">
        <f t="shared" ca="1" si="5"/>
        <v/>
      </c>
      <c r="N53" s="53"/>
      <c r="O53" s="53"/>
      <c r="P53" s="53"/>
      <c r="Q53" s="68" t="str">
        <f>IF(B53="","",AC53-IFERROR(SUMIFS('🌴 الإجازات'!$G:$G,'🌴 الإجازات'!$B:$B,B53,'🌴 الإجازات'!$K:$K,"معتمدة"),0))</f>
        <v/>
      </c>
      <c r="R53" s="53"/>
      <c r="S53" s="53"/>
      <c r="T53" s="50"/>
      <c r="U53" s="72"/>
      <c r="V53" s="72"/>
      <c r="W53" s="72"/>
      <c r="X53" s="72"/>
      <c r="Y53" s="50"/>
      <c r="Z53" s="50"/>
      <c r="AA53" s="50"/>
      <c r="AB53" s="67" t="str">
        <f t="shared" si="6"/>
        <v/>
      </c>
      <c r="AC53" s="44" t="str">
        <f t="shared" si="7"/>
        <v/>
      </c>
      <c r="AD53" s="50" t="str">
        <f t="shared" ca="1" si="8"/>
        <v/>
      </c>
    </row>
    <row r="54" spans="1:30" ht="22.15" customHeight="1" x14ac:dyDescent="0.2">
      <c r="A54" s="57"/>
      <c r="B54" s="57"/>
      <c r="C54" s="57"/>
      <c r="D54" s="57"/>
      <c r="E54" s="57"/>
      <c r="F54" s="57"/>
      <c r="G54" s="57"/>
      <c r="H54" s="63"/>
      <c r="I54" s="63"/>
      <c r="J54" s="63"/>
      <c r="K54" s="66" t="str">
        <f t="shared" si="9"/>
        <v/>
      </c>
      <c r="L54" s="59"/>
      <c r="M54" s="70" t="str">
        <f t="shared" ca="1" si="5"/>
        <v/>
      </c>
      <c r="N54" s="57"/>
      <c r="O54" s="57"/>
      <c r="P54" s="57"/>
      <c r="Q54" s="69" t="str">
        <f>IF(B54="","",AC54-IFERROR(SUMIFS('🌴 الإجازات'!$G:$G,'🌴 الإجازات'!$B:$B,B54,'🌴 الإجازات'!$K:$K,"معتمدة"),0))</f>
        <v/>
      </c>
      <c r="R54" s="57"/>
      <c r="S54" s="57"/>
      <c r="T54" s="61"/>
      <c r="U54" s="73"/>
      <c r="V54" s="73"/>
      <c r="W54" s="73"/>
      <c r="X54" s="73"/>
      <c r="Y54" s="61"/>
      <c r="Z54" s="61"/>
      <c r="AA54" s="61"/>
      <c r="AB54" s="66" t="str">
        <f t="shared" si="6"/>
        <v/>
      </c>
      <c r="AC54" s="74" t="str">
        <f t="shared" si="7"/>
        <v/>
      </c>
      <c r="AD54" s="61" t="str">
        <f t="shared" ca="1" si="8"/>
        <v/>
      </c>
    </row>
    <row r="55" spans="1:30" ht="22.15" customHeight="1" x14ac:dyDescent="0.2">
      <c r="A55" s="53"/>
      <c r="B55" s="53"/>
      <c r="C55" s="53"/>
      <c r="D55" s="53"/>
      <c r="E55" s="53"/>
      <c r="F55" s="53"/>
      <c r="G55" s="53"/>
      <c r="H55" s="62"/>
      <c r="I55" s="62"/>
      <c r="J55" s="62"/>
      <c r="K55" s="67" t="str">
        <f t="shared" si="9"/>
        <v/>
      </c>
      <c r="L55" s="55"/>
      <c r="M55" s="71" t="str">
        <f t="shared" ca="1" si="5"/>
        <v/>
      </c>
      <c r="N55" s="53"/>
      <c r="O55" s="53"/>
      <c r="P55" s="53"/>
      <c r="Q55" s="68" t="str">
        <f>IF(B55="","",AC55-IFERROR(SUMIFS('🌴 الإجازات'!$G:$G,'🌴 الإجازات'!$B:$B,B55,'🌴 الإجازات'!$K:$K,"معتمدة"),0))</f>
        <v/>
      </c>
      <c r="R55" s="53"/>
      <c r="S55" s="53"/>
      <c r="T55" s="50"/>
      <c r="U55" s="72"/>
      <c r="V55" s="72"/>
      <c r="W55" s="72"/>
      <c r="X55" s="72"/>
      <c r="Y55" s="50"/>
      <c r="Z55" s="50"/>
      <c r="AA55" s="50"/>
      <c r="AB55" s="67" t="str">
        <f t="shared" si="6"/>
        <v/>
      </c>
      <c r="AC55" s="44" t="str">
        <f t="shared" si="7"/>
        <v/>
      </c>
      <c r="AD55" s="50" t="str">
        <f t="shared" ca="1" si="8"/>
        <v/>
      </c>
    </row>
    <row r="56" spans="1:30" ht="22.15" customHeight="1" x14ac:dyDescent="0.2">
      <c r="A56" s="57"/>
      <c r="B56" s="57"/>
      <c r="C56" s="57"/>
      <c r="D56" s="57"/>
      <c r="E56" s="57"/>
      <c r="F56" s="57"/>
      <c r="G56" s="57"/>
      <c r="H56" s="63"/>
      <c r="I56" s="63"/>
      <c r="J56" s="63"/>
      <c r="K56" s="66" t="str">
        <f t="shared" si="9"/>
        <v/>
      </c>
      <c r="L56" s="59"/>
      <c r="M56" s="70" t="str">
        <f t="shared" ca="1" si="5"/>
        <v/>
      </c>
      <c r="N56" s="57"/>
      <c r="O56" s="57"/>
      <c r="P56" s="57"/>
      <c r="Q56" s="69" t="str">
        <f>IF(B56="","",AC56-IFERROR(SUMIFS('🌴 الإجازات'!$G:$G,'🌴 الإجازات'!$B:$B,B56,'🌴 الإجازات'!$K:$K,"معتمدة"),0))</f>
        <v/>
      </c>
      <c r="R56" s="57"/>
      <c r="S56" s="57"/>
      <c r="T56" s="61"/>
      <c r="U56" s="73"/>
      <c r="V56" s="73"/>
      <c r="W56" s="73"/>
      <c r="X56" s="73"/>
      <c r="Y56" s="61"/>
      <c r="Z56" s="61"/>
      <c r="AA56" s="61"/>
      <c r="AB56" s="66" t="str">
        <f t="shared" si="6"/>
        <v/>
      </c>
      <c r="AC56" s="74" t="str">
        <f t="shared" si="7"/>
        <v/>
      </c>
      <c r="AD56" s="61" t="str">
        <f t="shared" ca="1" si="8"/>
        <v/>
      </c>
    </row>
    <row r="57" spans="1:30" ht="22.15" customHeight="1" x14ac:dyDescent="0.2">
      <c r="A57" s="53"/>
      <c r="B57" s="53"/>
      <c r="C57" s="53"/>
      <c r="D57" s="53"/>
      <c r="E57" s="53"/>
      <c r="F57" s="53"/>
      <c r="G57" s="53"/>
      <c r="H57" s="62"/>
      <c r="I57" s="62"/>
      <c r="J57" s="62"/>
      <c r="K57" s="67" t="str">
        <f t="shared" si="9"/>
        <v/>
      </c>
      <c r="L57" s="55"/>
      <c r="M57" s="71" t="str">
        <f t="shared" ca="1" si="5"/>
        <v/>
      </c>
      <c r="N57" s="53"/>
      <c r="O57" s="53"/>
      <c r="P57" s="53"/>
      <c r="Q57" s="68" t="str">
        <f>IF(B57="","",AC57-IFERROR(SUMIFS('🌴 الإجازات'!$G:$G,'🌴 الإجازات'!$B:$B,B57,'🌴 الإجازات'!$K:$K,"معتمدة"),0))</f>
        <v/>
      </c>
      <c r="R57" s="53"/>
      <c r="S57" s="53"/>
      <c r="T57" s="50"/>
      <c r="U57" s="72"/>
      <c r="V57" s="72"/>
      <c r="W57" s="72"/>
      <c r="X57" s="72"/>
      <c r="Y57" s="50"/>
      <c r="Z57" s="50"/>
      <c r="AA57" s="50"/>
      <c r="AB57" s="67" t="str">
        <f t="shared" si="6"/>
        <v/>
      </c>
      <c r="AC57" s="44" t="str">
        <f t="shared" si="7"/>
        <v/>
      </c>
      <c r="AD57" s="50" t="str">
        <f t="shared" ca="1" si="8"/>
        <v/>
      </c>
    </row>
    <row r="58" spans="1:30" ht="22.15" customHeight="1" x14ac:dyDescent="0.2">
      <c r="A58" s="57"/>
      <c r="B58" s="57"/>
      <c r="C58" s="57"/>
      <c r="D58" s="57"/>
      <c r="E58" s="57"/>
      <c r="F58" s="57"/>
      <c r="G58" s="57"/>
      <c r="H58" s="63"/>
      <c r="I58" s="63"/>
      <c r="J58" s="63"/>
      <c r="K58" s="66" t="str">
        <f t="shared" si="9"/>
        <v/>
      </c>
      <c r="L58" s="59"/>
      <c r="M58" s="70" t="str">
        <f t="shared" ca="1" si="5"/>
        <v/>
      </c>
      <c r="N58" s="57"/>
      <c r="O58" s="57"/>
      <c r="P58" s="57"/>
      <c r="Q58" s="69" t="str">
        <f>IF(B58="","",AC58-IFERROR(SUMIFS('🌴 الإجازات'!$G:$G,'🌴 الإجازات'!$B:$B,B58,'🌴 الإجازات'!$K:$K,"معتمدة"),0))</f>
        <v/>
      </c>
      <c r="R58" s="57"/>
      <c r="S58" s="57"/>
      <c r="T58" s="61"/>
      <c r="U58" s="73"/>
      <c r="V58" s="73"/>
      <c r="W58" s="73"/>
      <c r="X58" s="73"/>
      <c r="Y58" s="61"/>
      <c r="Z58" s="61"/>
      <c r="AA58" s="61"/>
      <c r="AB58" s="66" t="str">
        <f t="shared" si="6"/>
        <v/>
      </c>
      <c r="AC58" s="74" t="str">
        <f t="shared" si="7"/>
        <v/>
      </c>
      <c r="AD58" s="61" t="str">
        <f t="shared" ca="1" si="8"/>
        <v/>
      </c>
    </row>
    <row r="59" spans="1:30" ht="22.15" customHeight="1" x14ac:dyDescent="0.2">
      <c r="A59" s="53"/>
      <c r="B59" s="53"/>
      <c r="C59" s="53"/>
      <c r="D59" s="53"/>
      <c r="E59" s="53"/>
      <c r="F59" s="53"/>
      <c r="G59" s="53"/>
      <c r="H59" s="62"/>
      <c r="I59" s="62"/>
      <c r="J59" s="62"/>
      <c r="K59" s="67" t="str">
        <f t="shared" si="9"/>
        <v/>
      </c>
      <c r="L59" s="55"/>
      <c r="M59" s="71" t="str">
        <f t="shared" ca="1" si="5"/>
        <v/>
      </c>
      <c r="N59" s="53"/>
      <c r="O59" s="53"/>
      <c r="P59" s="53"/>
      <c r="Q59" s="68" t="str">
        <f>IF(B59="","",AC59-IFERROR(SUMIFS('🌴 الإجازات'!$G:$G,'🌴 الإجازات'!$B:$B,B59,'🌴 الإجازات'!$K:$K,"معتمدة"),0))</f>
        <v/>
      </c>
      <c r="R59" s="53"/>
      <c r="S59" s="53"/>
      <c r="T59" s="50"/>
      <c r="U59" s="72"/>
      <c r="V59" s="72"/>
      <c r="W59" s="72"/>
      <c r="X59" s="72"/>
      <c r="Y59" s="50"/>
      <c r="Z59" s="50"/>
      <c r="AA59" s="50"/>
      <c r="AB59" s="67" t="str">
        <f t="shared" si="6"/>
        <v/>
      </c>
      <c r="AC59" s="44" t="str">
        <f t="shared" si="7"/>
        <v/>
      </c>
      <c r="AD59" s="50" t="str">
        <f t="shared" ca="1" si="8"/>
        <v/>
      </c>
    </row>
    <row r="60" spans="1:30" ht="22.15" customHeight="1" x14ac:dyDescent="0.2">
      <c r="A60" s="57"/>
      <c r="B60" s="57"/>
      <c r="C60" s="57"/>
      <c r="D60" s="57"/>
      <c r="E60" s="57"/>
      <c r="F60" s="57"/>
      <c r="G60" s="57"/>
      <c r="H60" s="63"/>
      <c r="I60" s="63"/>
      <c r="J60" s="63"/>
      <c r="K60" s="66" t="str">
        <f t="shared" si="9"/>
        <v/>
      </c>
      <c r="L60" s="59"/>
      <c r="M60" s="70" t="str">
        <f t="shared" ca="1" si="5"/>
        <v/>
      </c>
      <c r="N60" s="57"/>
      <c r="O60" s="57"/>
      <c r="P60" s="57"/>
      <c r="Q60" s="69" t="str">
        <f>IF(B60="","",AC60-IFERROR(SUMIFS('🌴 الإجازات'!$G:$G,'🌴 الإجازات'!$B:$B,B60,'🌴 الإجازات'!$K:$K,"معتمدة"),0))</f>
        <v/>
      </c>
      <c r="R60" s="57"/>
      <c r="S60" s="57"/>
      <c r="T60" s="61"/>
      <c r="U60" s="73"/>
      <c r="V60" s="73"/>
      <c r="W60" s="73"/>
      <c r="X60" s="73"/>
      <c r="Y60" s="61"/>
      <c r="Z60" s="61"/>
      <c r="AA60" s="61"/>
      <c r="AB60" s="66" t="str">
        <f t="shared" si="6"/>
        <v/>
      </c>
      <c r="AC60" s="74" t="str">
        <f t="shared" si="7"/>
        <v/>
      </c>
      <c r="AD60" s="61" t="str">
        <f t="shared" ca="1" si="8"/>
        <v/>
      </c>
    </row>
    <row r="61" spans="1:30" ht="22.15" customHeight="1" x14ac:dyDescent="0.2">
      <c r="A61" s="53"/>
      <c r="B61" s="53"/>
      <c r="C61" s="53"/>
      <c r="D61" s="53"/>
      <c r="E61" s="53"/>
      <c r="F61" s="53"/>
      <c r="G61" s="53"/>
      <c r="H61" s="62"/>
      <c r="I61" s="62"/>
      <c r="J61" s="62"/>
      <c r="K61" s="67" t="str">
        <f t="shared" si="9"/>
        <v/>
      </c>
      <c r="L61" s="55"/>
      <c r="M61" s="71" t="str">
        <f t="shared" ca="1" si="5"/>
        <v/>
      </c>
      <c r="N61" s="53"/>
      <c r="O61" s="53"/>
      <c r="P61" s="53"/>
      <c r="Q61" s="68" t="str">
        <f>IF(B61="","",AC61-IFERROR(SUMIFS('🌴 الإجازات'!$G:$G,'🌴 الإجازات'!$B:$B,B61,'🌴 الإجازات'!$K:$K,"معتمدة"),0))</f>
        <v/>
      </c>
      <c r="R61" s="53"/>
      <c r="S61" s="53"/>
      <c r="T61" s="50"/>
      <c r="U61" s="72"/>
      <c r="V61" s="72"/>
      <c r="W61" s="72"/>
      <c r="X61" s="72"/>
      <c r="Y61" s="50"/>
      <c r="Z61" s="50"/>
      <c r="AA61" s="50"/>
      <c r="AB61" s="67" t="str">
        <f t="shared" si="6"/>
        <v/>
      </c>
      <c r="AC61" s="44" t="str">
        <f t="shared" si="7"/>
        <v/>
      </c>
      <c r="AD61" s="50" t="str">
        <f t="shared" ca="1" si="8"/>
        <v/>
      </c>
    </row>
    <row r="62" spans="1:30" ht="22.15" customHeight="1" x14ac:dyDescent="0.2">
      <c r="A62" s="57"/>
      <c r="B62" s="57"/>
      <c r="C62" s="57"/>
      <c r="D62" s="57"/>
      <c r="E62" s="57"/>
      <c r="F62" s="57"/>
      <c r="G62" s="57"/>
      <c r="H62" s="63"/>
      <c r="I62" s="63"/>
      <c r="J62" s="63"/>
      <c r="K62" s="66" t="str">
        <f t="shared" si="9"/>
        <v/>
      </c>
      <c r="L62" s="59"/>
      <c r="M62" s="70" t="str">
        <f t="shared" ca="1" si="5"/>
        <v/>
      </c>
      <c r="N62" s="57"/>
      <c r="O62" s="57"/>
      <c r="P62" s="57"/>
      <c r="Q62" s="69" t="str">
        <f>IF(B62="","",AC62-IFERROR(SUMIFS('🌴 الإجازات'!$G:$G,'🌴 الإجازات'!$B:$B,B62,'🌴 الإجازات'!$K:$K,"معتمدة"),0))</f>
        <v/>
      </c>
      <c r="R62" s="57"/>
      <c r="S62" s="57"/>
      <c r="T62" s="61"/>
      <c r="U62" s="73"/>
      <c r="V62" s="73"/>
      <c r="W62" s="73"/>
      <c r="X62" s="73"/>
      <c r="Y62" s="61"/>
      <c r="Z62" s="61"/>
      <c r="AA62" s="61"/>
      <c r="AB62" s="66" t="str">
        <f t="shared" si="6"/>
        <v/>
      </c>
      <c r="AC62" s="74" t="str">
        <f t="shared" si="7"/>
        <v/>
      </c>
      <c r="AD62" s="61" t="str">
        <f t="shared" ca="1" si="8"/>
        <v/>
      </c>
    </row>
    <row r="63" spans="1:30" ht="22.15" customHeight="1" x14ac:dyDescent="0.2">
      <c r="A63" s="53"/>
      <c r="B63" s="53"/>
      <c r="C63" s="53"/>
      <c r="D63" s="53"/>
      <c r="E63" s="53"/>
      <c r="F63" s="53"/>
      <c r="G63" s="53"/>
      <c r="H63" s="62"/>
      <c r="I63" s="62"/>
      <c r="J63" s="62"/>
      <c r="K63" s="67" t="str">
        <f t="shared" si="9"/>
        <v/>
      </c>
      <c r="L63" s="55"/>
      <c r="M63" s="71" t="str">
        <f t="shared" ca="1" si="5"/>
        <v/>
      </c>
      <c r="N63" s="53"/>
      <c r="O63" s="53"/>
      <c r="P63" s="53"/>
      <c r="Q63" s="68" t="str">
        <f>IF(B63="","",AC63-IFERROR(SUMIFS('🌴 الإجازات'!$G:$G,'🌴 الإجازات'!$B:$B,B63,'🌴 الإجازات'!$K:$K,"معتمدة"),0))</f>
        <v/>
      </c>
      <c r="R63" s="53"/>
      <c r="S63" s="53"/>
      <c r="T63" s="50"/>
      <c r="U63" s="72"/>
      <c r="V63" s="72"/>
      <c r="W63" s="72"/>
      <c r="X63" s="72"/>
      <c r="Y63" s="50"/>
      <c r="Z63" s="50"/>
      <c r="AA63" s="50"/>
      <c r="AB63" s="67" t="str">
        <f t="shared" si="6"/>
        <v/>
      </c>
      <c r="AC63" s="44" t="str">
        <f t="shared" si="7"/>
        <v/>
      </c>
      <c r="AD63" s="50" t="str">
        <f t="shared" ca="1" si="8"/>
        <v/>
      </c>
    </row>
    <row r="64" spans="1:30" ht="22.15" customHeight="1" x14ac:dyDescent="0.2">
      <c r="A64" s="57"/>
      <c r="B64" s="57"/>
      <c r="C64" s="57"/>
      <c r="D64" s="57"/>
      <c r="E64" s="57"/>
      <c r="F64" s="57"/>
      <c r="G64" s="57"/>
      <c r="H64" s="63"/>
      <c r="I64" s="63"/>
      <c r="J64" s="63"/>
      <c r="K64" s="66" t="str">
        <f t="shared" si="9"/>
        <v/>
      </c>
      <c r="L64" s="59"/>
      <c r="M64" s="70" t="str">
        <f t="shared" ca="1" si="5"/>
        <v/>
      </c>
      <c r="N64" s="57"/>
      <c r="O64" s="57"/>
      <c r="P64" s="57"/>
      <c r="Q64" s="69" t="str">
        <f>IF(B64="","",AC64-IFERROR(SUMIFS('🌴 الإجازات'!$G:$G,'🌴 الإجازات'!$B:$B,B64,'🌴 الإجازات'!$K:$K,"معتمدة"),0))</f>
        <v/>
      </c>
      <c r="R64" s="57"/>
      <c r="S64" s="57"/>
      <c r="T64" s="61"/>
      <c r="U64" s="73"/>
      <c r="V64" s="73"/>
      <c r="W64" s="73"/>
      <c r="X64" s="73"/>
      <c r="Y64" s="61"/>
      <c r="Z64" s="61"/>
      <c r="AA64" s="61"/>
      <c r="AB64" s="66" t="str">
        <f t="shared" si="6"/>
        <v/>
      </c>
      <c r="AC64" s="74" t="str">
        <f t="shared" si="7"/>
        <v/>
      </c>
      <c r="AD64" s="61" t="str">
        <f t="shared" ca="1" si="8"/>
        <v/>
      </c>
    </row>
    <row r="65" spans="1:30" ht="22.15" customHeight="1" x14ac:dyDescent="0.2">
      <c r="A65" s="53"/>
      <c r="B65" s="53"/>
      <c r="C65" s="53"/>
      <c r="D65" s="53"/>
      <c r="E65" s="53"/>
      <c r="F65" s="53"/>
      <c r="G65" s="53"/>
      <c r="H65" s="62"/>
      <c r="I65" s="62"/>
      <c r="J65" s="62"/>
      <c r="K65" s="67" t="str">
        <f t="shared" si="9"/>
        <v/>
      </c>
      <c r="L65" s="55"/>
      <c r="M65" s="71" t="str">
        <f t="shared" ca="1" si="5"/>
        <v/>
      </c>
      <c r="N65" s="53"/>
      <c r="O65" s="53"/>
      <c r="P65" s="53"/>
      <c r="Q65" s="68" t="str">
        <f>IF(B65="","",AC65-IFERROR(SUMIFS('🌴 الإجازات'!$G:$G,'🌴 الإجازات'!$B:$B,B65,'🌴 الإجازات'!$K:$K,"معتمدة"),0))</f>
        <v/>
      </c>
      <c r="R65" s="53"/>
      <c r="S65" s="53"/>
      <c r="T65" s="50"/>
      <c r="U65" s="72"/>
      <c r="V65" s="72"/>
      <c r="W65" s="72"/>
      <c r="X65" s="72"/>
      <c r="Y65" s="50"/>
      <c r="Z65" s="50"/>
      <c r="AA65" s="50"/>
      <c r="AB65" s="67" t="str">
        <f t="shared" si="6"/>
        <v/>
      </c>
      <c r="AC65" s="44" t="str">
        <f t="shared" si="7"/>
        <v/>
      </c>
      <c r="AD65" s="50" t="str">
        <f t="shared" ca="1" si="8"/>
        <v/>
      </c>
    </row>
    <row r="66" spans="1:30" ht="22.15" customHeight="1" x14ac:dyDescent="0.2">
      <c r="A66" s="57"/>
      <c r="B66" s="57"/>
      <c r="C66" s="57"/>
      <c r="D66" s="57"/>
      <c r="E66" s="57"/>
      <c r="F66" s="57"/>
      <c r="G66" s="57"/>
      <c r="H66" s="63"/>
      <c r="I66" s="63"/>
      <c r="J66" s="63"/>
      <c r="K66" s="66" t="str">
        <f t="shared" si="9"/>
        <v/>
      </c>
      <c r="L66" s="59"/>
      <c r="M66" s="70" t="str">
        <f t="shared" ca="1" si="5"/>
        <v/>
      </c>
      <c r="N66" s="57"/>
      <c r="O66" s="57"/>
      <c r="P66" s="57"/>
      <c r="Q66" s="69" t="str">
        <f>IF(B66="","",AC66-IFERROR(SUMIFS('🌴 الإجازات'!$G:$G,'🌴 الإجازات'!$B:$B,B66,'🌴 الإجازات'!$K:$K,"معتمدة"),0))</f>
        <v/>
      </c>
      <c r="R66" s="57"/>
      <c r="S66" s="57"/>
      <c r="T66" s="61"/>
      <c r="U66" s="73"/>
      <c r="V66" s="73"/>
      <c r="W66" s="73"/>
      <c r="X66" s="73"/>
      <c r="Y66" s="61"/>
      <c r="Z66" s="61"/>
      <c r="AA66" s="61"/>
      <c r="AB66" s="66" t="str">
        <f t="shared" si="6"/>
        <v/>
      </c>
      <c r="AC66" s="74" t="str">
        <f t="shared" si="7"/>
        <v/>
      </c>
      <c r="AD66" s="61" t="str">
        <f t="shared" ca="1" si="8"/>
        <v/>
      </c>
    </row>
    <row r="67" spans="1:30" ht="22.15" customHeight="1" x14ac:dyDescent="0.2">
      <c r="A67" s="53"/>
      <c r="B67" s="53"/>
      <c r="C67" s="53"/>
      <c r="D67" s="53"/>
      <c r="E67" s="53"/>
      <c r="F67" s="53"/>
      <c r="G67" s="53"/>
      <c r="H67" s="62"/>
      <c r="I67" s="62"/>
      <c r="J67" s="62"/>
      <c r="K67" s="67" t="str">
        <f t="shared" si="9"/>
        <v/>
      </c>
      <c r="L67" s="55"/>
      <c r="M67" s="71" t="str">
        <f t="shared" ca="1" si="5"/>
        <v/>
      </c>
      <c r="N67" s="53"/>
      <c r="O67" s="53"/>
      <c r="P67" s="53"/>
      <c r="Q67" s="68" t="str">
        <f>IF(B67="","",AC67-IFERROR(SUMIFS('🌴 الإجازات'!$G:$G,'🌴 الإجازات'!$B:$B,B67,'🌴 الإجازات'!$K:$K,"معتمدة"),0))</f>
        <v/>
      </c>
      <c r="R67" s="53"/>
      <c r="S67" s="53"/>
      <c r="T67" s="50"/>
      <c r="U67" s="72"/>
      <c r="V67" s="72"/>
      <c r="W67" s="72"/>
      <c r="X67" s="72"/>
      <c r="Y67" s="50"/>
      <c r="Z67" s="50"/>
      <c r="AA67" s="50"/>
      <c r="AB67" s="67" t="str">
        <f t="shared" si="6"/>
        <v/>
      </c>
      <c r="AC67" s="44" t="str">
        <f t="shared" si="7"/>
        <v/>
      </c>
      <c r="AD67" s="50" t="str">
        <f t="shared" ca="1" si="8"/>
        <v/>
      </c>
    </row>
    <row r="68" spans="1:30" ht="22.15" customHeight="1" x14ac:dyDescent="0.2">
      <c r="A68" s="57"/>
      <c r="B68" s="57"/>
      <c r="C68" s="57"/>
      <c r="D68" s="57"/>
      <c r="E68" s="57"/>
      <c r="F68" s="57"/>
      <c r="G68" s="57"/>
      <c r="H68" s="63"/>
      <c r="I68" s="63"/>
      <c r="J68" s="63"/>
      <c r="K68" s="66" t="str">
        <f t="shared" si="9"/>
        <v/>
      </c>
      <c r="L68" s="59"/>
      <c r="M68" s="70" t="str">
        <f t="shared" ca="1" si="5"/>
        <v/>
      </c>
      <c r="N68" s="57"/>
      <c r="O68" s="57"/>
      <c r="P68" s="57"/>
      <c r="Q68" s="69" t="str">
        <f>IF(B68="","",AC68-IFERROR(SUMIFS('🌴 الإجازات'!$G:$G,'🌴 الإجازات'!$B:$B,B68,'🌴 الإجازات'!$K:$K,"معتمدة"),0))</f>
        <v/>
      </c>
      <c r="R68" s="57"/>
      <c r="S68" s="57"/>
      <c r="T68" s="61"/>
      <c r="U68" s="73"/>
      <c r="V68" s="73"/>
      <c r="W68" s="73"/>
      <c r="X68" s="73"/>
      <c r="Y68" s="61"/>
      <c r="Z68" s="61"/>
      <c r="AA68" s="61"/>
      <c r="AB68" s="66" t="str">
        <f t="shared" si="6"/>
        <v/>
      </c>
      <c r="AC68" s="74" t="str">
        <f t="shared" si="7"/>
        <v/>
      </c>
      <c r="AD68" s="61" t="str">
        <f t="shared" ca="1" si="8"/>
        <v/>
      </c>
    </row>
    <row r="69" spans="1:30" ht="22.15" customHeight="1" x14ac:dyDescent="0.2">
      <c r="A69" s="53"/>
      <c r="B69" s="53"/>
      <c r="C69" s="53"/>
      <c r="D69" s="53"/>
      <c r="E69" s="53"/>
      <c r="F69" s="53"/>
      <c r="G69" s="53"/>
      <c r="H69" s="62"/>
      <c r="I69" s="62"/>
      <c r="J69" s="62"/>
      <c r="K69" s="67" t="str">
        <f t="shared" si="9"/>
        <v/>
      </c>
      <c r="L69" s="55"/>
      <c r="M69" s="71" t="str">
        <f t="shared" ref="M69:M100" ca="1" si="10">IF(L69&lt;&gt;"",DATEDIF(L69,TODAY(),"Y"),"")</f>
        <v/>
      </c>
      <c r="N69" s="53"/>
      <c r="O69" s="53"/>
      <c r="P69" s="53"/>
      <c r="Q69" s="68" t="str">
        <f>IF(B69="","",AC69-IFERROR(SUMIFS('🌴 الإجازات'!$G:$G,'🌴 الإجازات'!$B:$B,B69,'🌴 الإجازات'!$K:$K,"معتمدة"),0))</f>
        <v/>
      </c>
      <c r="R69" s="53"/>
      <c r="S69" s="53"/>
      <c r="T69" s="50"/>
      <c r="U69" s="72"/>
      <c r="V69" s="72"/>
      <c r="W69" s="72"/>
      <c r="X69" s="72"/>
      <c r="Y69" s="50"/>
      <c r="Z69" s="50"/>
      <c r="AA69" s="50"/>
      <c r="AB69" s="67" t="str">
        <f t="shared" ref="AB69:AB100" si="11">IF(AND(B69&lt;&gt;"",L69&lt;&gt;""),(0.5*H69*MIN(M69,5))+(1*H69*MAX(0,M69-5)),"")</f>
        <v/>
      </c>
      <c r="AC69" s="44" t="str">
        <f t="shared" ref="AC69:AC100" si="12">IF(B69&lt;&gt;"",IF(IFERROR(M69,0)&gt;=5,LeaveDaysSenior,LeaveDaysJunior),"")</f>
        <v/>
      </c>
      <c r="AD69" s="50" t="str">
        <f t="shared" ref="AD69:AD100" ca="1" si="13">IF(B69="","",IF(AND(X69&lt;&gt;"",X69-TODAY()&lt;=ExpiryWarnDays,X69-TODAY()&gt;=0),"⚠️ إقامة تنتهي خلال "&amp;(X69-TODAY())&amp;" يوم",IF(AND(V69&lt;&gt;"",V69-TODAY()&lt;=ExpiryWarnDays,V69-TODAY()&gt;=0),"⚠️ عقد ينتهي خلال "&amp;(V69-TODAY())&amp;" يوم",IF(AND(W69&lt;&gt;"",W69-TODAY()&lt;=30,W69-TODAY()&gt;=0),"🟡 تجربة تنتهي خلال "&amp;(W69-TODAY())&amp;" يوم",""))))</f>
        <v/>
      </c>
    </row>
    <row r="70" spans="1:30" ht="22.15" customHeight="1" x14ac:dyDescent="0.2">
      <c r="A70" s="57"/>
      <c r="B70" s="57"/>
      <c r="C70" s="57"/>
      <c r="D70" s="57"/>
      <c r="E70" s="57"/>
      <c r="F70" s="57"/>
      <c r="G70" s="57"/>
      <c r="H70" s="63"/>
      <c r="I70" s="63"/>
      <c r="J70" s="63"/>
      <c r="K70" s="66" t="str">
        <f t="shared" si="9"/>
        <v/>
      </c>
      <c r="L70" s="59"/>
      <c r="M70" s="70" t="str">
        <f t="shared" ca="1" si="10"/>
        <v/>
      </c>
      <c r="N70" s="57"/>
      <c r="O70" s="57"/>
      <c r="P70" s="57"/>
      <c r="Q70" s="69" t="str">
        <f>IF(B70="","",AC70-IFERROR(SUMIFS('🌴 الإجازات'!$G:$G,'🌴 الإجازات'!$B:$B,B70,'🌴 الإجازات'!$K:$K,"معتمدة"),0))</f>
        <v/>
      </c>
      <c r="R70" s="57"/>
      <c r="S70" s="57"/>
      <c r="T70" s="61"/>
      <c r="U70" s="73"/>
      <c r="V70" s="73"/>
      <c r="W70" s="73"/>
      <c r="X70" s="73"/>
      <c r="Y70" s="61"/>
      <c r="Z70" s="61"/>
      <c r="AA70" s="61"/>
      <c r="AB70" s="66" t="str">
        <f t="shared" si="11"/>
        <v/>
      </c>
      <c r="AC70" s="74" t="str">
        <f t="shared" si="12"/>
        <v/>
      </c>
      <c r="AD70" s="61" t="str">
        <f t="shared" ca="1" si="13"/>
        <v/>
      </c>
    </row>
    <row r="71" spans="1:30" ht="22.15" customHeight="1" x14ac:dyDescent="0.2">
      <c r="A71" s="53"/>
      <c r="B71" s="53"/>
      <c r="C71" s="53"/>
      <c r="D71" s="53"/>
      <c r="E71" s="53"/>
      <c r="F71" s="53"/>
      <c r="G71" s="53"/>
      <c r="H71" s="62"/>
      <c r="I71" s="62"/>
      <c r="J71" s="62"/>
      <c r="K71" s="67" t="str">
        <f t="shared" si="9"/>
        <v/>
      </c>
      <c r="L71" s="55"/>
      <c r="M71" s="71" t="str">
        <f t="shared" ca="1" si="10"/>
        <v/>
      </c>
      <c r="N71" s="53"/>
      <c r="O71" s="53"/>
      <c r="P71" s="53"/>
      <c r="Q71" s="68" t="str">
        <f>IF(B71="","",AC71-IFERROR(SUMIFS('🌴 الإجازات'!$G:$G,'🌴 الإجازات'!$B:$B,B71,'🌴 الإجازات'!$K:$K,"معتمدة"),0))</f>
        <v/>
      </c>
      <c r="R71" s="53"/>
      <c r="S71" s="53"/>
      <c r="T71" s="50"/>
      <c r="U71" s="72"/>
      <c r="V71" s="72"/>
      <c r="W71" s="72"/>
      <c r="X71" s="72"/>
      <c r="Y71" s="50"/>
      <c r="Z71" s="50"/>
      <c r="AA71" s="50"/>
      <c r="AB71" s="67" t="str">
        <f t="shared" si="11"/>
        <v/>
      </c>
      <c r="AC71" s="44" t="str">
        <f t="shared" si="12"/>
        <v/>
      </c>
      <c r="AD71" s="50" t="str">
        <f t="shared" ca="1" si="13"/>
        <v/>
      </c>
    </row>
    <row r="72" spans="1:30" ht="22.15" customHeight="1" x14ac:dyDescent="0.2">
      <c r="A72" s="57"/>
      <c r="B72" s="57"/>
      <c r="C72" s="57"/>
      <c r="D72" s="57"/>
      <c r="E72" s="57"/>
      <c r="F72" s="57"/>
      <c r="G72" s="57"/>
      <c r="H72" s="63"/>
      <c r="I72" s="63"/>
      <c r="J72" s="63"/>
      <c r="K72" s="66" t="str">
        <f t="shared" si="9"/>
        <v/>
      </c>
      <c r="L72" s="59"/>
      <c r="M72" s="70" t="str">
        <f t="shared" ca="1" si="10"/>
        <v/>
      </c>
      <c r="N72" s="57"/>
      <c r="O72" s="57"/>
      <c r="P72" s="57"/>
      <c r="Q72" s="69" t="str">
        <f>IF(B72="","",AC72-IFERROR(SUMIFS('🌴 الإجازات'!$G:$G,'🌴 الإجازات'!$B:$B,B72,'🌴 الإجازات'!$K:$K,"معتمدة"),0))</f>
        <v/>
      </c>
      <c r="R72" s="57"/>
      <c r="S72" s="57"/>
      <c r="T72" s="61"/>
      <c r="U72" s="73"/>
      <c r="V72" s="73"/>
      <c r="W72" s="73"/>
      <c r="X72" s="73"/>
      <c r="Y72" s="61"/>
      <c r="Z72" s="61"/>
      <c r="AA72" s="61"/>
      <c r="AB72" s="66" t="str">
        <f t="shared" si="11"/>
        <v/>
      </c>
      <c r="AC72" s="74" t="str">
        <f t="shared" si="12"/>
        <v/>
      </c>
      <c r="AD72" s="61" t="str">
        <f t="shared" ca="1" si="13"/>
        <v/>
      </c>
    </row>
    <row r="73" spans="1:30" ht="22.15" customHeight="1" x14ac:dyDescent="0.2">
      <c r="A73" s="53"/>
      <c r="B73" s="53"/>
      <c r="C73" s="53"/>
      <c r="D73" s="53"/>
      <c r="E73" s="53"/>
      <c r="F73" s="53"/>
      <c r="G73" s="53"/>
      <c r="H73" s="62"/>
      <c r="I73" s="62"/>
      <c r="J73" s="62"/>
      <c r="K73" s="67" t="str">
        <f t="shared" si="9"/>
        <v/>
      </c>
      <c r="L73" s="55"/>
      <c r="M73" s="71" t="str">
        <f t="shared" ca="1" si="10"/>
        <v/>
      </c>
      <c r="N73" s="53"/>
      <c r="O73" s="53"/>
      <c r="P73" s="53"/>
      <c r="Q73" s="68" t="str">
        <f>IF(B73="","",AC73-IFERROR(SUMIFS('🌴 الإجازات'!$G:$G,'🌴 الإجازات'!$B:$B,B73,'🌴 الإجازات'!$K:$K,"معتمدة"),0))</f>
        <v/>
      </c>
      <c r="R73" s="53"/>
      <c r="S73" s="53"/>
      <c r="T73" s="50"/>
      <c r="U73" s="72"/>
      <c r="V73" s="72"/>
      <c r="W73" s="72"/>
      <c r="X73" s="72"/>
      <c r="Y73" s="50"/>
      <c r="Z73" s="50"/>
      <c r="AA73" s="50"/>
      <c r="AB73" s="67" t="str">
        <f t="shared" si="11"/>
        <v/>
      </c>
      <c r="AC73" s="44" t="str">
        <f t="shared" si="12"/>
        <v/>
      </c>
      <c r="AD73" s="50" t="str">
        <f t="shared" ca="1" si="13"/>
        <v/>
      </c>
    </row>
    <row r="74" spans="1:30" ht="22.15" customHeight="1" x14ac:dyDescent="0.2">
      <c r="A74" s="57"/>
      <c r="B74" s="57"/>
      <c r="C74" s="57"/>
      <c r="D74" s="57"/>
      <c r="E74" s="57"/>
      <c r="F74" s="57"/>
      <c r="G74" s="57"/>
      <c r="H74" s="63"/>
      <c r="I74" s="63"/>
      <c r="J74" s="63"/>
      <c r="K74" s="66" t="str">
        <f t="shared" ref="K74:K105" si="14">IF(H74&lt;&gt;"",H74+I74+J74,"")</f>
        <v/>
      </c>
      <c r="L74" s="59"/>
      <c r="M74" s="70" t="str">
        <f t="shared" ca="1" si="10"/>
        <v/>
      </c>
      <c r="N74" s="57"/>
      <c r="O74" s="57"/>
      <c r="P74" s="57"/>
      <c r="Q74" s="69" t="str">
        <f>IF(B74="","",AC74-IFERROR(SUMIFS('🌴 الإجازات'!$G:$G,'🌴 الإجازات'!$B:$B,B74,'🌴 الإجازات'!$K:$K,"معتمدة"),0))</f>
        <v/>
      </c>
      <c r="R74" s="57"/>
      <c r="S74" s="57"/>
      <c r="T74" s="61"/>
      <c r="U74" s="73"/>
      <c r="V74" s="73"/>
      <c r="W74" s="73"/>
      <c r="X74" s="73"/>
      <c r="Y74" s="61"/>
      <c r="Z74" s="61"/>
      <c r="AA74" s="61"/>
      <c r="AB74" s="66" t="str">
        <f t="shared" si="11"/>
        <v/>
      </c>
      <c r="AC74" s="74" t="str">
        <f t="shared" si="12"/>
        <v/>
      </c>
      <c r="AD74" s="61" t="str">
        <f t="shared" ca="1" si="13"/>
        <v/>
      </c>
    </row>
    <row r="75" spans="1:30" ht="22.15" customHeight="1" x14ac:dyDescent="0.2">
      <c r="A75" s="53"/>
      <c r="B75" s="53"/>
      <c r="C75" s="53"/>
      <c r="D75" s="53"/>
      <c r="E75" s="53"/>
      <c r="F75" s="53"/>
      <c r="G75" s="53"/>
      <c r="H75" s="62"/>
      <c r="I75" s="62"/>
      <c r="J75" s="62"/>
      <c r="K75" s="67" t="str">
        <f t="shared" si="14"/>
        <v/>
      </c>
      <c r="L75" s="55"/>
      <c r="M75" s="71" t="str">
        <f t="shared" ca="1" si="10"/>
        <v/>
      </c>
      <c r="N75" s="53"/>
      <c r="O75" s="53"/>
      <c r="P75" s="53"/>
      <c r="Q75" s="68" t="str">
        <f>IF(B75="","",AC75-IFERROR(SUMIFS('🌴 الإجازات'!$G:$G,'🌴 الإجازات'!$B:$B,B75,'🌴 الإجازات'!$K:$K,"معتمدة"),0))</f>
        <v/>
      </c>
      <c r="R75" s="53"/>
      <c r="S75" s="53"/>
      <c r="T75" s="50"/>
      <c r="U75" s="72"/>
      <c r="V75" s="72"/>
      <c r="W75" s="72"/>
      <c r="X75" s="72"/>
      <c r="Y75" s="50"/>
      <c r="Z75" s="50"/>
      <c r="AA75" s="50"/>
      <c r="AB75" s="67" t="str">
        <f t="shared" si="11"/>
        <v/>
      </c>
      <c r="AC75" s="44" t="str">
        <f t="shared" si="12"/>
        <v/>
      </c>
      <c r="AD75" s="50" t="str">
        <f t="shared" ca="1" si="13"/>
        <v/>
      </c>
    </row>
    <row r="76" spans="1:30" ht="22.15" customHeight="1" x14ac:dyDescent="0.2">
      <c r="A76" s="57"/>
      <c r="B76" s="57"/>
      <c r="C76" s="57"/>
      <c r="D76" s="57"/>
      <c r="E76" s="57"/>
      <c r="F76" s="57"/>
      <c r="G76" s="57"/>
      <c r="H76" s="63"/>
      <c r="I76" s="63"/>
      <c r="J76" s="63"/>
      <c r="K76" s="66" t="str">
        <f t="shared" si="14"/>
        <v/>
      </c>
      <c r="L76" s="59"/>
      <c r="M76" s="70" t="str">
        <f t="shared" ca="1" si="10"/>
        <v/>
      </c>
      <c r="N76" s="57"/>
      <c r="O76" s="57"/>
      <c r="P76" s="57"/>
      <c r="Q76" s="69" t="str">
        <f>IF(B76="","",AC76-IFERROR(SUMIFS('🌴 الإجازات'!$G:$G,'🌴 الإجازات'!$B:$B,B76,'🌴 الإجازات'!$K:$K,"معتمدة"),0))</f>
        <v/>
      </c>
      <c r="R76" s="57"/>
      <c r="S76" s="57"/>
      <c r="T76" s="61"/>
      <c r="U76" s="73"/>
      <c r="V76" s="73"/>
      <c r="W76" s="73"/>
      <c r="X76" s="73"/>
      <c r="Y76" s="61"/>
      <c r="Z76" s="61"/>
      <c r="AA76" s="61"/>
      <c r="AB76" s="66" t="str">
        <f t="shared" si="11"/>
        <v/>
      </c>
      <c r="AC76" s="74" t="str">
        <f t="shared" si="12"/>
        <v/>
      </c>
      <c r="AD76" s="61" t="str">
        <f t="shared" ca="1" si="13"/>
        <v/>
      </c>
    </row>
    <row r="77" spans="1:30" ht="22.15" customHeight="1" x14ac:dyDescent="0.2">
      <c r="A77" s="53"/>
      <c r="B77" s="53"/>
      <c r="C77" s="53"/>
      <c r="D77" s="53"/>
      <c r="E77" s="53"/>
      <c r="F77" s="53"/>
      <c r="G77" s="53"/>
      <c r="H77" s="62"/>
      <c r="I77" s="62"/>
      <c r="J77" s="62"/>
      <c r="K77" s="67" t="str">
        <f t="shared" si="14"/>
        <v/>
      </c>
      <c r="L77" s="55"/>
      <c r="M77" s="71" t="str">
        <f t="shared" ca="1" si="10"/>
        <v/>
      </c>
      <c r="N77" s="53"/>
      <c r="O77" s="53"/>
      <c r="P77" s="53"/>
      <c r="Q77" s="68" t="str">
        <f>IF(B77="","",AC77-IFERROR(SUMIFS('🌴 الإجازات'!$G:$G,'🌴 الإجازات'!$B:$B,B77,'🌴 الإجازات'!$K:$K,"معتمدة"),0))</f>
        <v/>
      </c>
      <c r="R77" s="53"/>
      <c r="S77" s="53"/>
      <c r="T77" s="50"/>
      <c r="U77" s="72"/>
      <c r="V77" s="72"/>
      <c r="W77" s="72"/>
      <c r="X77" s="72"/>
      <c r="Y77" s="50"/>
      <c r="Z77" s="50"/>
      <c r="AA77" s="50"/>
      <c r="AB77" s="67" t="str">
        <f t="shared" si="11"/>
        <v/>
      </c>
      <c r="AC77" s="44" t="str">
        <f t="shared" si="12"/>
        <v/>
      </c>
      <c r="AD77" s="50" t="str">
        <f t="shared" ca="1" si="13"/>
        <v/>
      </c>
    </row>
    <row r="78" spans="1:30" ht="22.15" customHeight="1" x14ac:dyDescent="0.2">
      <c r="A78" s="57"/>
      <c r="B78" s="57"/>
      <c r="C78" s="57"/>
      <c r="D78" s="57"/>
      <c r="E78" s="57"/>
      <c r="F78" s="57"/>
      <c r="G78" s="57"/>
      <c r="H78" s="63"/>
      <c r="I78" s="63"/>
      <c r="J78" s="63"/>
      <c r="K78" s="66" t="str">
        <f t="shared" si="14"/>
        <v/>
      </c>
      <c r="L78" s="59"/>
      <c r="M78" s="70" t="str">
        <f t="shared" ca="1" si="10"/>
        <v/>
      </c>
      <c r="N78" s="57"/>
      <c r="O78" s="57"/>
      <c r="P78" s="57"/>
      <c r="Q78" s="69" t="str">
        <f>IF(B78="","",AC78-IFERROR(SUMIFS('🌴 الإجازات'!$G:$G,'🌴 الإجازات'!$B:$B,B78,'🌴 الإجازات'!$K:$K,"معتمدة"),0))</f>
        <v/>
      </c>
      <c r="R78" s="57"/>
      <c r="S78" s="57"/>
      <c r="T78" s="61"/>
      <c r="U78" s="73"/>
      <c r="V78" s="73"/>
      <c r="W78" s="73"/>
      <c r="X78" s="73"/>
      <c r="Y78" s="61"/>
      <c r="Z78" s="61"/>
      <c r="AA78" s="61"/>
      <c r="AB78" s="66" t="str">
        <f t="shared" si="11"/>
        <v/>
      </c>
      <c r="AC78" s="74" t="str">
        <f t="shared" si="12"/>
        <v/>
      </c>
      <c r="AD78" s="61" t="str">
        <f t="shared" ca="1" si="13"/>
        <v/>
      </c>
    </row>
    <row r="79" spans="1:30" ht="22.15" customHeight="1" x14ac:dyDescent="0.2">
      <c r="A79" s="53"/>
      <c r="B79" s="53"/>
      <c r="C79" s="53"/>
      <c r="D79" s="53"/>
      <c r="E79" s="53"/>
      <c r="F79" s="53"/>
      <c r="G79" s="53"/>
      <c r="H79" s="62"/>
      <c r="I79" s="62"/>
      <c r="J79" s="62"/>
      <c r="K79" s="67" t="str">
        <f t="shared" si="14"/>
        <v/>
      </c>
      <c r="L79" s="55"/>
      <c r="M79" s="71" t="str">
        <f t="shared" ca="1" si="10"/>
        <v/>
      </c>
      <c r="N79" s="53"/>
      <c r="O79" s="53"/>
      <c r="P79" s="53"/>
      <c r="Q79" s="68" t="str">
        <f>IF(B79="","",AC79-IFERROR(SUMIFS('🌴 الإجازات'!$G:$G,'🌴 الإجازات'!$B:$B,B79,'🌴 الإجازات'!$K:$K,"معتمدة"),0))</f>
        <v/>
      </c>
      <c r="R79" s="53"/>
      <c r="S79" s="53"/>
      <c r="T79" s="50"/>
      <c r="U79" s="72"/>
      <c r="V79" s="72"/>
      <c r="W79" s="72"/>
      <c r="X79" s="72"/>
      <c r="Y79" s="50"/>
      <c r="Z79" s="50"/>
      <c r="AA79" s="50"/>
      <c r="AB79" s="67" t="str">
        <f t="shared" si="11"/>
        <v/>
      </c>
      <c r="AC79" s="44" t="str">
        <f t="shared" si="12"/>
        <v/>
      </c>
      <c r="AD79" s="50" t="str">
        <f t="shared" ca="1" si="13"/>
        <v/>
      </c>
    </row>
    <row r="80" spans="1:30" ht="22.15" customHeight="1" x14ac:dyDescent="0.2">
      <c r="A80" s="57"/>
      <c r="B80" s="57"/>
      <c r="C80" s="57"/>
      <c r="D80" s="57"/>
      <c r="E80" s="57"/>
      <c r="F80" s="57"/>
      <c r="G80" s="57"/>
      <c r="H80" s="63"/>
      <c r="I80" s="63"/>
      <c r="J80" s="63"/>
      <c r="K80" s="66" t="str">
        <f t="shared" si="14"/>
        <v/>
      </c>
      <c r="L80" s="59"/>
      <c r="M80" s="70" t="str">
        <f t="shared" ca="1" si="10"/>
        <v/>
      </c>
      <c r="N80" s="57"/>
      <c r="O80" s="57"/>
      <c r="P80" s="57"/>
      <c r="Q80" s="69" t="str">
        <f>IF(B80="","",AC80-IFERROR(SUMIFS('🌴 الإجازات'!$G:$G,'🌴 الإجازات'!$B:$B,B80,'🌴 الإجازات'!$K:$K,"معتمدة"),0))</f>
        <v/>
      </c>
      <c r="R80" s="57"/>
      <c r="S80" s="57"/>
      <c r="T80" s="61"/>
      <c r="U80" s="73"/>
      <c r="V80" s="73"/>
      <c r="W80" s="73"/>
      <c r="X80" s="73"/>
      <c r="Y80" s="61"/>
      <c r="Z80" s="61"/>
      <c r="AA80" s="61"/>
      <c r="AB80" s="66" t="str">
        <f t="shared" si="11"/>
        <v/>
      </c>
      <c r="AC80" s="74" t="str">
        <f t="shared" si="12"/>
        <v/>
      </c>
      <c r="AD80" s="61" t="str">
        <f t="shared" ca="1" si="13"/>
        <v/>
      </c>
    </row>
    <row r="81" spans="1:30" ht="22.15" customHeight="1" x14ac:dyDescent="0.2">
      <c r="A81" s="53"/>
      <c r="B81" s="53"/>
      <c r="C81" s="53"/>
      <c r="D81" s="53"/>
      <c r="E81" s="53"/>
      <c r="F81" s="53"/>
      <c r="G81" s="53"/>
      <c r="H81" s="62"/>
      <c r="I81" s="62"/>
      <c r="J81" s="62"/>
      <c r="K81" s="67" t="str">
        <f t="shared" si="14"/>
        <v/>
      </c>
      <c r="L81" s="55"/>
      <c r="M81" s="71" t="str">
        <f t="shared" ca="1" si="10"/>
        <v/>
      </c>
      <c r="N81" s="53"/>
      <c r="O81" s="53"/>
      <c r="P81" s="53"/>
      <c r="Q81" s="68" t="str">
        <f>IF(B81="","",AC81-IFERROR(SUMIFS('🌴 الإجازات'!$G:$G,'🌴 الإجازات'!$B:$B,B81,'🌴 الإجازات'!$K:$K,"معتمدة"),0))</f>
        <v/>
      </c>
      <c r="R81" s="53"/>
      <c r="S81" s="53"/>
      <c r="T81" s="50"/>
      <c r="U81" s="72"/>
      <c r="V81" s="72"/>
      <c r="W81" s="72"/>
      <c r="X81" s="72"/>
      <c r="Y81" s="50"/>
      <c r="Z81" s="50"/>
      <c r="AA81" s="50"/>
      <c r="AB81" s="67" t="str">
        <f t="shared" si="11"/>
        <v/>
      </c>
      <c r="AC81" s="44" t="str">
        <f t="shared" si="12"/>
        <v/>
      </c>
      <c r="AD81" s="50" t="str">
        <f t="shared" ca="1" si="13"/>
        <v/>
      </c>
    </row>
    <row r="82" spans="1:30" ht="22.15" customHeight="1" x14ac:dyDescent="0.2">
      <c r="A82" s="57"/>
      <c r="B82" s="57"/>
      <c r="C82" s="57"/>
      <c r="D82" s="57"/>
      <c r="E82" s="57"/>
      <c r="F82" s="57"/>
      <c r="G82" s="57"/>
      <c r="H82" s="63"/>
      <c r="I82" s="63"/>
      <c r="J82" s="63"/>
      <c r="K82" s="66" t="str">
        <f t="shared" si="14"/>
        <v/>
      </c>
      <c r="L82" s="59"/>
      <c r="M82" s="70" t="str">
        <f t="shared" ca="1" si="10"/>
        <v/>
      </c>
      <c r="N82" s="57"/>
      <c r="O82" s="57"/>
      <c r="P82" s="57"/>
      <c r="Q82" s="69" t="str">
        <f>IF(B82="","",AC82-IFERROR(SUMIFS('🌴 الإجازات'!$G:$G,'🌴 الإجازات'!$B:$B,B82,'🌴 الإجازات'!$K:$K,"معتمدة"),0))</f>
        <v/>
      </c>
      <c r="R82" s="57"/>
      <c r="S82" s="57"/>
      <c r="T82" s="61"/>
      <c r="U82" s="73"/>
      <c r="V82" s="73"/>
      <c r="W82" s="73"/>
      <c r="X82" s="73"/>
      <c r="Y82" s="61"/>
      <c r="Z82" s="61"/>
      <c r="AA82" s="61"/>
      <c r="AB82" s="66" t="str">
        <f t="shared" si="11"/>
        <v/>
      </c>
      <c r="AC82" s="74" t="str">
        <f t="shared" si="12"/>
        <v/>
      </c>
      <c r="AD82" s="61" t="str">
        <f t="shared" ca="1" si="13"/>
        <v/>
      </c>
    </row>
    <row r="83" spans="1:30" ht="22.15" customHeight="1" x14ac:dyDescent="0.2">
      <c r="A83" s="53"/>
      <c r="B83" s="53"/>
      <c r="C83" s="53"/>
      <c r="D83" s="53"/>
      <c r="E83" s="53"/>
      <c r="F83" s="53"/>
      <c r="G83" s="53"/>
      <c r="H83" s="62"/>
      <c r="I83" s="62"/>
      <c r="J83" s="62"/>
      <c r="K83" s="67" t="str">
        <f t="shared" si="14"/>
        <v/>
      </c>
      <c r="L83" s="55"/>
      <c r="M83" s="71" t="str">
        <f t="shared" ca="1" si="10"/>
        <v/>
      </c>
      <c r="N83" s="53"/>
      <c r="O83" s="53"/>
      <c r="P83" s="53"/>
      <c r="Q83" s="68" t="str">
        <f>IF(B83="","",AC83-IFERROR(SUMIFS('🌴 الإجازات'!$G:$G,'🌴 الإجازات'!$B:$B,B83,'🌴 الإجازات'!$K:$K,"معتمدة"),0))</f>
        <v/>
      </c>
      <c r="R83" s="53"/>
      <c r="S83" s="53"/>
      <c r="T83" s="50"/>
      <c r="U83" s="72"/>
      <c r="V83" s="72"/>
      <c r="W83" s="72"/>
      <c r="X83" s="72"/>
      <c r="Y83" s="50"/>
      <c r="Z83" s="50"/>
      <c r="AA83" s="50"/>
      <c r="AB83" s="67" t="str">
        <f t="shared" si="11"/>
        <v/>
      </c>
      <c r="AC83" s="44" t="str">
        <f t="shared" si="12"/>
        <v/>
      </c>
      <c r="AD83" s="50" t="str">
        <f t="shared" ca="1" si="13"/>
        <v/>
      </c>
    </row>
    <row r="84" spans="1:30" ht="22.15" customHeight="1" x14ac:dyDescent="0.2">
      <c r="A84" s="57"/>
      <c r="B84" s="57"/>
      <c r="C84" s="57"/>
      <c r="D84" s="57"/>
      <c r="E84" s="57"/>
      <c r="F84" s="57"/>
      <c r="G84" s="57"/>
      <c r="H84" s="63"/>
      <c r="I84" s="63"/>
      <c r="J84" s="63"/>
      <c r="K84" s="66" t="str">
        <f t="shared" si="14"/>
        <v/>
      </c>
      <c r="L84" s="59"/>
      <c r="M84" s="70" t="str">
        <f t="shared" ca="1" si="10"/>
        <v/>
      </c>
      <c r="N84" s="57"/>
      <c r="O84" s="57"/>
      <c r="P84" s="57"/>
      <c r="Q84" s="69" t="str">
        <f>IF(B84="","",AC84-IFERROR(SUMIFS('🌴 الإجازات'!$G:$G,'🌴 الإجازات'!$B:$B,B84,'🌴 الإجازات'!$K:$K,"معتمدة"),0))</f>
        <v/>
      </c>
      <c r="R84" s="57"/>
      <c r="S84" s="57"/>
      <c r="T84" s="61"/>
      <c r="U84" s="73"/>
      <c r="V84" s="73"/>
      <c r="W84" s="73"/>
      <c r="X84" s="73"/>
      <c r="Y84" s="61"/>
      <c r="Z84" s="61"/>
      <c r="AA84" s="61"/>
      <c r="AB84" s="66" t="str">
        <f t="shared" si="11"/>
        <v/>
      </c>
      <c r="AC84" s="74" t="str">
        <f t="shared" si="12"/>
        <v/>
      </c>
      <c r="AD84" s="61" t="str">
        <f t="shared" ca="1" si="13"/>
        <v/>
      </c>
    </row>
    <row r="85" spans="1:30" ht="22.15" customHeight="1" x14ac:dyDescent="0.2">
      <c r="A85" s="53"/>
      <c r="B85" s="53"/>
      <c r="C85" s="53"/>
      <c r="D85" s="53"/>
      <c r="E85" s="53"/>
      <c r="F85" s="53"/>
      <c r="G85" s="53"/>
      <c r="H85" s="62"/>
      <c r="I85" s="62"/>
      <c r="J85" s="62"/>
      <c r="K85" s="67" t="str">
        <f t="shared" si="14"/>
        <v/>
      </c>
      <c r="L85" s="55"/>
      <c r="M85" s="71" t="str">
        <f t="shared" ca="1" si="10"/>
        <v/>
      </c>
      <c r="N85" s="53"/>
      <c r="O85" s="53"/>
      <c r="P85" s="53"/>
      <c r="Q85" s="68" t="str">
        <f>IF(B85="","",AC85-IFERROR(SUMIFS('🌴 الإجازات'!$G:$G,'🌴 الإجازات'!$B:$B,B85,'🌴 الإجازات'!$K:$K,"معتمدة"),0))</f>
        <v/>
      </c>
      <c r="R85" s="53"/>
      <c r="S85" s="53"/>
      <c r="T85" s="50"/>
      <c r="U85" s="72"/>
      <c r="V85" s="72"/>
      <c r="W85" s="72"/>
      <c r="X85" s="72"/>
      <c r="Y85" s="50"/>
      <c r="Z85" s="50"/>
      <c r="AA85" s="50"/>
      <c r="AB85" s="67" t="str">
        <f t="shared" si="11"/>
        <v/>
      </c>
      <c r="AC85" s="44" t="str">
        <f t="shared" si="12"/>
        <v/>
      </c>
      <c r="AD85" s="50" t="str">
        <f t="shared" ca="1" si="13"/>
        <v/>
      </c>
    </row>
    <row r="86" spans="1:30" ht="22.15" customHeight="1" x14ac:dyDescent="0.2">
      <c r="A86" s="57"/>
      <c r="B86" s="57"/>
      <c r="C86" s="57"/>
      <c r="D86" s="57"/>
      <c r="E86" s="57"/>
      <c r="F86" s="57"/>
      <c r="G86" s="57"/>
      <c r="H86" s="63"/>
      <c r="I86" s="63"/>
      <c r="J86" s="63"/>
      <c r="K86" s="66" t="str">
        <f t="shared" si="14"/>
        <v/>
      </c>
      <c r="L86" s="59"/>
      <c r="M86" s="70" t="str">
        <f t="shared" ca="1" si="10"/>
        <v/>
      </c>
      <c r="N86" s="57"/>
      <c r="O86" s="57"/>
      <c r="P86" s="57"/>
      <c r="Q86" s="69" t="str">
        <f>IF(B86="","",AC86-IFERROR(SUMIFS('🌴 الإجازات'!$G:$G,'🌴 الإجازات'!$B:$B,B86,'🌴 الإجازات'!$K:$K,"معتمدة"),0))</f>
        <v/>
      </c>
      <c r="R86" s="57"/>
      <c r="S86" s="57"/>
      <c r="T86" s="61"/>
      <c r="U86" s="73"/>
      <c r="V86" s="73"/>
      <c r="W86" s="73"/>
      <c r="X86" s="73"/>
      <c r="Y86" s="61"/>
      <c r="Z86" s="61"/>
      <c r="AA86" s="61"/>
      <c r="AB86" s="66" t="str">
        <f t="shared" si="11"/>
        <v/>
      </c>
      <c r="AC86" s="74" t="str">
        <f t="shared" si="12"/>
        <v/>
      </c>
      <c r="AD86" s="61" t="str">
        <f t="shared" ca="1" si="13"/>
        <v/>
      </c>
    </row>
    <row r="87" spans="1:30" ht="22.15" customHeight="1" x14ac:dyDescent="0.2">
      <c r="A87" s="53"/>
      <c r="B87" s="53"/>
      <c r="C87" s="53"/>
      <c r="D87" s="53"/>
      <c r="E87" s="53"/>
      <c r="F87" s="53"/>
      <c r="G87" s="53"/>
      <c r="H87" s="62"/>
      <c r="I87" s="62"/>
      <c r="J87" s="62"/>
      <c r="K87" s="67" t="str">
        <f t="shared" si="14"/>
        <v/>
      </c>
      <c r="L87" s="55"/>
      <c r="M87" s="71" t="str">
        <f t="shared" ca="1" si="10"/>
        <v/>
      </c>
      <c r="N87" s="53"/>
      <c r="O87" s="53"/>
      <c r="P87" s="53"/>
      <c r="Q87" s="68" t="str">
        <f>IF(B87="","",AC87-IFERROR(SUMIFS('🌴 الإجازات'!$G:$G,'🌴 الإجازات'!$B:$B,B87,'🌴 الإجازات'!$K:$K,"معتمدة"),0))</f>
        <v/>
      </c>
      <c r="R87" s="53"/>
      <c r="S87" s="53"/>
      <c r="T87" s="50"/>
      <c r="U87" s="72"/>
      <c r="V87" s="72"/>
      <c r="W87" s="72"/>
      <c r="X87" s="72"/>
      <c r="Y87" s="50"/>
      <c r="Z87" s="50"/>
      <c r="AA87" s="50"/>
      <c r="AB87" s="67" t="str">
        <f t="shared" si="11"/>
        <v/>
      </c>
      <c r="AC87" s="44" t="str">
        <f t="shared" si="12"/>
        <v/>
      </c>
      <c r="AD87" s="50" t="str">
        <f t="shared" ca="1" si="13"/>
        <v/>
      </c>
    </row>
    <row r="88" spans="1:30" ht="22.15" customHeight="1" x14ac:dyDescent="0.2">
      <c r="A88" s="57"/>
      <c r="B88" s="57"/>
      <c r="C88" s="57"/>
      <c r="D88" s="57"/>
      <c r="E88" s="57"/>
      <c r="F88" s="57"/>
      <c r="G88" s="57"/>
      <c r="H88" s="63"/>
      <c r="I88" s="63"/>
      <c r="J88" s="63"/>
      <c r="K88" s="66" t="str">
        <f t="shared" si="14"/>
        <v/>
      </c>
      <c r="L88" s="59"/>
      <c r="M88" s="70" t="str">
        <f t="shared" ca="1" si="10"/>
        <v/>
      </c>
      <c r="N88" s="57"/>
      <c r="O88" s="57"/>
      <c r="P88" s="57"/>
      <c r="Q88" s="69" t="str">
        <f>IF(B88="","",AC88-IFERROR(SUMIFS('🌴 الإجازات'!$G:$G,'🌴 الإجازات'!$B:$B,B88,'🌴 الإجازات'!$K:$K,"معتمدة"),0))</f>
        <v/>
      </c>
      <c r="R88" s="57"/>
      <c r="S88" s="57"/>
      <c r="T88" s="61"/>
      <c r="U88" s="73"/>
      <c r="V88" s="73"/>
      <c r="W88" s="73"/>
      <c r="X88" s="73"/>
      <c r="Y88" s="61"/>
      <c r="Z88" s="61"/>
      <c r="AA88" s="61"/>
      <c r="AB88" s="66" t="str">
        <f t="shared" si="11"/>
        <v/>
      </c>
      <c r="AC88" s="74" t="str">
        <f t="shared" si="12"/>
        <v/>
      </c>
      <c r="AD88" s="61" t="str">
        <f t="shared" ca="1" si="13"/>
        <v/>
      </c>
    </row>
    <row r="89" spans="1:30" ht="22.15" customHeight="1" x14ac:dyDescent="0.2">
      <c r="A89" s="53"/>
      <c r="B89" s="53"/>
      <c r="C89" s="53"/>
      <c r="D89" s="53"/>
      <c r="E89" s="53"/>
      <c r="F89" s="53"/>
      <c r="G89" s="53"/>
      <c r="H89" s="62"/>
      <c r="I89" s="62"/>
      <c r="J89" s="62"/>
      <c r="K89" s="67" t="str">
        <f t="shared" si="14"/>
        <v/>
      </c>
      <c r="L89" s="55"/>
      <c r="M89" s="71" t="str">
        <f t="shared" ca="1" si="10"/>
        <v/>
      </c>
      <c r="N89" s="53"/>
      <c r="O89" s="53"/>
      <c r="P89" s="53"/>
      <c r="Q89" s="68" t="str">
        <f>IF(B89="","",AC89-IFERROR(SUMIFS('🌴 الإجازات'!$G:$G,'🌴 الإجازات'!$B:$B,B89,'🌴 الإجازات'!$K:$K,"معتمدة"),0))</f>
        <v/>
      </c>
      <c r="R89" s="53"/>
      <c r="S89" s="53"/>
      <c r="T89" s="50"/>
      <c r="U89" s="72"/>
      <c r="V89" s="72"/>
      <c r="W89" s="72"/>
      <c r="X89" s="72"/>
      <c r="Y89" s="50"/>
      <c r="Z89" s="50"/>
      <c r="AA89" s="50"/>
      <c r="AB89" s="67" t="str">
        <f t="shared" si="11"/>
        <v/>
      </c>
      <c r="AC89" s="44" t="str">
        <f t="shared" si="12"/>
        <v/>
      </c>
      <c r="AD89" s="50" t="str">
        <f t="shared" ca="1" si="13"/>
        <v/>
      </c>
    </row>
    <row r="90" spans="1:30" ht="22.15" customHeight="1" x14ac:dyDescent="0.2">
      <c r="A90" s="57"/>
      <c r="B90" s="57"/>
      <c r="C90" s="57"/>
      <c r="D90" s="57"/>
      <c r="E90" s="57"/>
      <c r="F90" s="57"/>
      <c r="G90" s="57"/>
      <c r="H90" s="63"/>
      <c r="I90" s="63"/>
      <c r="J90" s="63"/>
      <c r="K90" s="66" t="str">
        <f t="shared" si="14"/>
        <v/>
      </c>
      <c r="L90" s="59"/>
      <c r="M90" s="70" t="str">
        <f t="shared" ca="1" si="10"/>
        <v/>
      </c>
      <c r="N90" s="57"/>
      <c r="O90" s="57"/>
      <c r="P90" s="57"/>
      <c r="Q90" s="69" t="str">
        <f>IF(B90="","",AC90-IFERROR(SUMIFS('🌴 الإجازات'!$G:$G,'🌴 الإجازات'!$B:$B,B90,'🌴 الإجازات'!$K:$K,"معتمدة"),0))</f>
        <v/>
      </c>
      <c r="R90" s="57"/>
      <c r="S90" s="57"/>
      <c r="T90" s="61"/>
      <c r="U90" s="73"/>
      <c r="V90" s="73"/>
      <c r="W90" s="73"/>
      <c r="X90" s="73"/>
      <c r="Y90" s="61"/>
      <c r="Z90" s="61"/>
      <c r="AA90" s="61"/>
      <c r="AB90" s="66" t="str">
        <f t="shared" si="11"/>
        <v/>
      </c>
      <c r="AC90" s="74" t="str">
        <f t="shared" si="12"/>
        <v/>
      </c>
      <c r="AD90" s="61" t="str">
        <f t="shared" ca="1" si="13"/>
        <v/>
      </c>
    </row>
    <row r="91" spans="1:30" ht="22.15" customHeight="1" x14ac:dyDescent="0.2">
      <c r="A91" s="53"/>
      <c r="B91" s="53"/>
      <c r="C91" s="53"/>
      <c r="D91" s="53"/>
      <c r="E91" s="53"/>
      <c r="F91" s="53"/>
      <c r="G91" s="53"/>
      <c r="H91" s="62"/>
      <c r="I91" s="62"/>
      <c r="J91" s="62"/>
      <c r="K91" s="67" t="str">
        <f t="shared" si="14"/>
        <v/>
      </c>
      <c r="L91" s="55"/>
      <c r="M91" s="71" t="str">
        <f t="shared" ca="1" si="10"/>
        <v/>
      </c>
      <c r="N91" s="53"/>
      <c r="O91" s="53"/>
      <c r="P91" s="53"/>
      <c r="Q91" s="68" t="str">
        <f>IF(B91="","",AC91-IFERROR(SUMIFS('🌴 الإجازات'!$G:$G,'🌴 الإجازات'!$B:$B,B91,'🌴 الإجازات'!$K:$K,"معتمدة"),0))</f>
        <v/>
      </c>
      <c r="R91" s="53"/>
      <c r="S91" s="53"/>
      <c r="T91" s="50"/>
      <c r="U91" s="72"/>
      <c r="V91" s="72"/>
      <c r="W91" s="72"/>
      <c r="X91" s="72"/>
      <c r="Y91" s="50"/>
      <c r="Z91" s="50"/>
      <c r="AA91" s="50"/>
      <c r="AB91" s="67" t="str">
        <f t="shared" si="11"/>
        <v/>
      </c>
      <c r="AC91" s="44" t="str">
        <f t="shared" si="12"/>
        <v/>
      </c>
      <c r="AD91" s="50" t="str">
        <f t="shared" ca="1" si="13"/>
        <v/>
      </c>
    </row>
    <row r="92" spans="1:30" ht="22.15" customHeight="1" x14ac:dyDescent="0.2">
      <c r="A92" s="57"/>
      <c r="B92" s="57"/>
      <c r="C92" s="57"/>
      <c r="D92" s="57"/>
      <c r="E92" s="57"/>
      <c r="F92" s="57"/>
      <c r="G92" s="57"/>
      <c r="H92" s="63"/>
      <c r="I92" s="63"/>
      <c r="J92" s="63"/>
      <c r="K92" s="66" t="str">
        <f t="shared" si="14"/>
        <v/>
      </c>
      <c r="L92" s="59"/>
      <c r="M92" s="70" t="str">
        <f t="shared" ca="1" si="10"/>
        <v/>
      </c>
      <c r="N92" s="57"/>
      <c r="O92" s="57"/>
      <c r="P92" s="57"/>
      <c r="Q92" s="69" t="str">
        <f>IF(B92="","",AC92-IFERROR(SUMIFS('🌴 الإجازات'!$G:$G,'🌴 الإجازات'!$B:$B,B92,'🌴 الإجازات'!$K:$K,"معتمدة"),0))</f>
        <v/>
      </c>
      <c r="R92" s="57"/>
      <c r="S92" s="57"/>
      <c r="T92" s="61"/>
      <c r="U92" s="73"/>
      <c r="V92" s="73"/>
      <c r="W92" s="73"/>
      <c r="X92" s="73"/>
      <c r="Y92" s="61"/>
      <c r="Z92" s="61"/>
      <c r="AA92" s="61"/>
      <c r="AB92" s="66" t="str">
        <f t="shared" si="11"/>
        <v/>
      </c>
      <c r="AC92" s="74" t="str">
        <f t="shared" si="12"/>
        <v/>
      </c>
      <c r="AD92" s="61" t="str">
        <f t="shared" ca="1" si="13"/>
        <v/>
      </c>
    </row>
    <row r="93" spans="1:30" ht="22.15" customHeight="1" x14ac:dyDescent="0.2">
      <c r="A93" s="53"/>
      <c r="B93" s="53"/>
      <c r="C93" s="53"/>
      <c r="D93" s="53"/>
      <c r="E93" s="53"/>
      <c r="F93" s="53"/>
      <c r="G93" s="53"/>
      <c r="H93" s="62"/>
      <c r="I93" s="62"/>
      <c r="J93" s="62"/>
      <c r="K93" s="67" t="str">
        <f t="shared" si="14"/>
        <v/>
      </c>
      <c r="L93" s="55"/>
      <c r="M93" s="71" t="str">
        <f t="shared" ca="1" si="10"/>
        <v/>
      </c>
      <c r="N93" s="53"/>
      <c r="O93" s="53"/>
      <c r="P93" s="53"/>
      <c r="Q93" s="68" t="str">
        <f>IF(B93="","",AC93-IFERROR(SUMIFS('🌴 الإجازات'!$G:$G,'🌴 الإجازات'!$B:$B,B93,'🌴 الإجازات'!$K:$K,"معتمدة"),0))</f>
        <v/>
      </c>
      <c r="R93" s="53"/>
      <c r="S93" s="53"/>
      <c r="T93" s="50"/>
      <c r="U93" s="72"/>
      <c r="V93" s="72"/>
      <c r="W93" s="72"/>
      <c r="X93" s="72"/>
      <c r="Y93" s="50"/>
      <c r="Z93" s="50"/>
      <c r="AA93" s="50"/>
      <c r="AB93" s="67" t="str">
        <f t="shared" si="11"/>
        <v/>
      </c>
      <c r="AC93" s="44" t="str">
        <f t="shared" si="12"/>
        <v/>
      </c>
      <c r="AD93" s="50" t="str">
        <f t="shared" ca="1" si="13"/>
        <v/>
      </c>
    </row>
    <row r="94" spans="1:30" ht="22.15" customHeight="1" x14ac:dyDescent="0.2">
      <c r="A94" s="57"/>
      <c r="B94" s="57"/>
      <c r="C94" s="57"/>
      <c r="D94" s="57"/>
      <c r="E94" s="57"/>
      <c r="F94" s="57"/>
      <c r="G94" s="57"/>
      <c r="H94" s="63"/>
      <c r="I94" s="63"/>
      <c r="J94" s="63"/>
      <c r="K94" s="66" t="str">
        <f t="shared" si="14"/>
        <v/>
      </c>
      <c r="L94" s="59"/>
      <c r="M94" s="70" t="str">
        <f t="shared" ca="1" si="10"/>
        <v/>
      </c>
      <c r="N94" s="57"/>
      <c r="O94" s="57"/>
      <c r="P94" s="57"/>
      <c r="Q94" s="69" t="str">
        <f>IF(B94="","",AC94-IFERROR(SUMIFS('🌴 الإجازات'!$G:$G,'🌴 الإجازات'!$B:$B,B94,'🌴 الإجازات'!$K:$K,"معتمدة"),0))</f>
        <v/>
      </c>
      <c r="R94" s="57"/>
      <c r="S94" s="57"/>
      <c r="T94" s="61"/>
      <c r="U94" s="73"/>
      <c r="V94" s="73"/>
      <c r="W94" s="73"/>
      <c r="X94" s="73"/>
      <c r="Y94" s="61"/>
      <c r="Z94" s="61"/>
      <c r="AA94" s="61"/>
      <c r="AB94" s="66" t="str">
        <f t="shared" si="11"/>
        <v/>
      </c>
      <c r="AC94" s="74" t="str">
        <f t="shared" si="12"/>
        <v/>
      </c>
      <c r="AD94" s="61" t="str">
        <f t="shared" ca="1" si="13"/>
        <v/>
      </c>
    </row>
    <row r="95" spans="1:30" ht="22.15" customHeight="1" x14ac:dyDescent="0.2">
      <c r="A95" s="53"/>
      <c r="B95" s="53"/>
      <c r="C95" s="53"/>
      <c r="D95" s="53"/>
      <c r="E95" s="53"/>
      <c r="F95" s="53"/>
      <c r="G95" s="53"/>
      <c r="H95" s="62"/>
      <c r="I95" s="62"/>
      <c r="J95" s="62"/>
      <c r="K95" s="67" t="str">
        <f t="shared" si="14"/>
        <v/>
      </c>
      <c r="L95" s="55"/>
      <c r="M95" s="71" t="str">
        <f t="shared" ca="1" si="10"/>
        <v/>
      </c>
      <c r="N95" s="53"/>
      <c r="O95" s="53"/>
      <c r="P95" s="53"/>
      <c r="Q95" s="68" t="str">
        <f>IF(B95="","",AC95-IFERROR(SUMIFS('🌴 الإجازات'!$G:$G,'🌴 الإجازات'!$B:$B,B95,'🌴 الإجازات'!$K:$K,"معتمدة"),0))</f>
        <v/>
      </c>
      <c r="R95" s="53"/>
      <c r="S95" s="53"/>
      <c r="T95" s="50"/>
      <c r="U95" s="72"/>
      <c r="V95" s="72"/>
      <c r="W95" s="72"/>
      <c r="X95" s="72"/>
      <c r="Y95" s="50"/>
      <c r="Z95" s="50"/>
      <c r="AA95" s="50"/>
      <c r="AB95" s="67" t="str">
        <f t="shared" si="11"/>
        <v/>
      </c>
      <c r="AC95" s="44" t="str">
        <f t="shared" si="12"/>
        <v/>
      </c>
      <c r="AD95" s="50" t="str">
        <f t="shared" ca="1" si="13"/>
        <v/>
      </c>
    </row>
    <row r="96" spans="1:30" ht="22.15" customHeight="1" x14ac:dyDescent="0.2">
      <c r="A96" s="57"/>
      <c r="B96" s="57"/>
      <c r="C96" s="57"/>
      <c r="D96" s="57"/>
      <c r="E96" s="57"/>
      <c r="F96" s="57"/>
      <c r="G96" s="57"/>
      <c r="H96" s="63"/>
      <c r="I96" s="63"/>
      <c r="J96" s="63"/>
      <c r="K96" s="66" t="str">
        <f t="shared" si="14"/>
        <v/>
      </c>
      <c r="L96" s="59"/>
      <c r="M96" s="70" t="str">
        <f t="shared" ca="1" si="10"/>
        <v/>
      </c>
      <c r="N96" s="57"/>
      <c r="O96" s="57"/>
      <c r="P96" s="57"/>
      <c r="Q96" s="69" t="str">
        <f>IF(B96="","",AC96-IFERROR(SUMIFS('🌴 الإجازات'!$G:$G,'🌴 الإجازات'!$B:$B,B96,'🌴 الإجازات'!$K:$K,"معتمدة"),0))</f>
        <v/>
      </c>
      <c r="R96" s="57"/>
      <c r="S96" s="57"/>
      <c r="T96" s="61"/>
      <c r="U96" s="73"/>
      <c r="V96" s="73"/>
      <c r="W96" s="73"/>
      <c r="X96" s="73"/>
      <c r="Y96" s="61"/>
      <c r="Z96" s="61"/>
      <c r="AA96" s="61"/>
      <c r="AB96" s="66" t="str">
        <f t="shared" si="11"/>
        <v/>
      </c>
      <c r="AC96" s="74" t="str">
        <f t="shared" si="12"/>
        <v/>
      </c>
      <c r="AD96" s="61" t="str">
        <f t="shared" ca="1" si="13"/>
        <v/>
      </c>
    </row>
    <row r="97" spans="1:30" ht="22.15" customHeight="1" x14ac:dyDescent="0.2">
      <c r="A97" s="53"/>
      <c r="B97" s="53"/>
      <c r="C97" s="53"/>
      <c r="D97" s="53"/>
      <c r="E97" s="53"/>
      <c r="F97" s="53"/>
      <c r="G97" s="53"/>
      <c r="H97" s="62"/>
      <c r="I97" s="62"/>
      <c r="J97" s="62"/>
      <c r="K97" s="67" t="str">
        <f t="shared" si="14"/>
        <v/>
      </c>
      <c r="L97" s="55"/>
      <c r="M97" s="71" t="str">
        <f t="shared" ca="1" si="10"/>
        <v/>
      </c>
      <c r="N97" s="53"/>
      <c r="O97" s="53"/>
      <c r="P97" s="53"/>
      <c r="Q97" s="68" t="str">
        <f>IF(B97="","",AC97-IFERROR(SUMIFS('🌴 الإجازات'!$G:$G,'🌴 الإجازات'!$B:$B,B97,'🌴 الإجازات'!$K:$K,"معتمدة"),0))</f>
        <v/>
      </c>
      <c r="R97" s="53"/>
      <c r="S97" s="53"/>
      <c r="T97" s="50"/>
      <c r="U97" s="72"/>
      <c r="V97" s="72"/>
      <c r="W97" s="72"/>
      <c r="X97" s="72"/>
      <c r="Y97" s="50"/>
      <c r="Z97" s="50"/>
      <c r="AA97" s="50"/>
      <c r="AB97" s="67" t="str">
        <f t="shared" si="11"/>
        <v/>
      </c>
      <c r="AC97" s="44" t="str">
        <f t="shared" si="12"/>
        <v/>
      </c>
      <c r="AD97" s="50" t="str">
        <f t="shared" ca="1" si="13"/>
        <v/>
      </c>
    </row>
    <row r="98" spans="1:30" ht="22.15" customHeight="1" x14ac:dyDescent="0.2">
      <c r="A98" s="57"/>
      <c r="B98" s="57"/>
      <c r="C98" s="57"/>
      <c r="D98" s="57"/>
      <c r="E98" s="57"/>
      <c r="F98" s="57"/>
      <c r="G98" s="57"/>
      <c r="H98" s="63"/>
      <c r="I98" s="63"/>
      <c r="J98" s="63"/>
      <c r="K98" s="66" t="str">
        <f t="shared" si="14"/>
        <v/>
      </c>
      <c r="L98" s="59"/>
      <c r="M98" s="70" t="str">
        <f t="shared" ca="1" si="10"/>
        <v/>
      </c>
      <c r="N98" s="57"/>
      <c r="O98" s="57"/>
      <c r="P98" s="57"/>
      <c r="Q98" s="69" t="str">
        <f>IF(B98="","",AC98-IFERROR(SUMIFS('🌴 الإجازات'!$G:$G,'🌴 الإجازات'!$B:$B,B98,'🌴 الإجازات'!$K:$K,"معتمدة"),0))</f>
        <v/>
      </c>
      <c r="R98" s="57"/>
      <c r="S98" s="57"/>
      <c r="T98" s="61"/>
      <c r="U98" s="73"/>
      <c r="V98" s="73"/>
      <c r="W98" s="73"/>
      <c r="X98" s="73"/>
      <c r="Y98" s="61"/>
      <c r="Z98" s="61"/>
      <c r="AA98" s="61"/>
      <c r="AB98" s="66" t="str">
        <f t="shared" si="11"/>
        <v/>
      </c>
      <c r="AC98" s="74" t="str">
        <f t="shared" si="12"/>
        <v/>
      </c>
      <c r="AD98" s="61" t="str">
        <f t="shared" ca="1" si="13"/>
        <v/>
      </c>
    </row>
    <row r="99" spans="1:30" ht="22.15" customHeight="1" x14ac:dyDescent="0.2">
      <c r="A99" s="53"/>
      <c r="B99" s="53"/>
      <c r="C99" s="53"/>
      <c r="D99" s="53"/>
      <c r="E99" s="53"/>
      <c r="F99" s="53"/>
      <c r="G99" s="53"/>
      <c r="H99" s="62"/>
      <c r="I99" s="62"/>
      <c r="J99" s="62"/>
      <c r="K99" s="67" t="str">
        <f t="shared" si="14"/>
        <v/>
      </c>
      <c r="L99" s="55"/>
      <c r="M99" s="71" t="str">
        <f t="shared" ca="1" si="10"/>
        <v/>
      </c>
      <c r="N99" s="53"/>
      <c r="O99" s="53"/>
      <c r="P99" s="53"/>
      <c r="Q99" s="68" t="str">
        <f>IF(B99="","",AC99-IFERROR(SUMIFS('🌴 الإجازات'!$G:$G,'🌴 الإجازات'!$B:$B,B99,'🌴 الإجازات'!$K:$K,"معتمدة"),0))</f>
        <v/>
      </c>
      <c r="R99" s="53"/>
      <c r="S99" s="53"/>
      <c r="T99" s="50"/>
      <c r="U99" s="72"/>
      <c r="V99" s="72"/>
      <c r="W99" s="72"/>
      <c r="X99" s="72"/>
      <c r="Y99" s="50"/>
      <c r="Z99" s="50"/>
      <c r="AA99" s="50"/>
      <c r="AB99" s="67" t="str">
        <f t="shared" si="11"/>
        <v/>
      </c>
      <c r="AC99" s="44" t="str">
        <f t="shared" si="12"/>
        <v/>
      </c>
      <c r="AD99" s="50" t="str">
        <f t="shared" ca="1" si="13"/>
        <v/>
      </c>
    </row>
    <row r="100" spans="1:30" ht="22.15" customHeight="1" x14ac:dyDescent="0.2">
      <c r="A100" s="57"/>
      <c r="B100" s="57"/>
      <c r="C100" s="57"/>
      <c r="D100" s="57"/>
      <c r="E100" s="57"/>
      <c r="F100" s="57"/>
      <c r="G100" s="57"/>
      <c r="H100" s="63"/>
      <c r="I100" s="63"/>
      <c r="J100" s="63"/>
      <c r="K100" s="66" t="str">
        <f t="shared" si="14"/>
        <v/>
      </c>
      <c r="L100" s="59"/>
      <c r="M100" s="70" t="str">
        <f t="shared" ca="1" si="10"/>
        <v/>
      </c>
      <c r="N100" s="57"/>
      <c r="O100" s="57"/>
      <c r="P100" s="57"/>
      <c r="Q100" s="69" t="str">
        <f>IF(B100="","",AC100-IFERROR(SUMIFS('🌴 الإجازات'!$G:$G,'🌴 الإجازات'!$B:$B,B100,'🌴 الإجازات'!$K:$K,"معتمدة"),0))</f>
        <v/>
      </c>
      <c r="R100" s="57"/>
      <c r="S100" s="57"/>
      <c r="T100" s="61"/>
      <c r="U100" s="73"/>
      <c r="V100" s="73"/>
      <c r="W100" s="73"/>
      <c r="X100" s="73"/>
      <c r="Y100" s="61"/>
      <c r="Z100" s="61"/>
      <c r="AA100" s="61"/>
      <c r="AB100" s="66" t="str">
        <f t="shared" si="11"/>
        <v/>
      </c>
      <c r="AC100" s="74" t="str">
        <f t="shared" si="12"/>
        <v/>
      </c>
      <c r="AD100" s="61" t="str">
        <f t="shared" ca="1" si="13"/>
        <v/>
      </c>
    </row>
    <row r="101" spans="1:30" ht="22.15" customHeight="1" x14ac:dyDescent="0.2">
      <c r="A101" s="53"/>
      <c r="B101" s="53"/>
      <c r="C101" s="53"/>
      <c r="D101" s="53"/>
      <c r="E101" s="53"/>
      <c r="F101" s="53"/>
      <c r="G101" s="53"/>
      <c r="H101" s="62"/>
      <c r="I101" s="62"/>
      <c r="J101" s="62"/>
      <c r="K101" s="67" t="str">
        <f t="shared" si="14"/>
        <v/>
      </c>
      <c r="L101" s="55"/>
      <c r="M101" s="71" t="str">
        <f t="shared" ref="M101:M132" ca="1" si="15">IF(L101&lt;&gt;"",DATEDIF(L101,TODAY(),"Y"),"")</f>
        <v/>
      </c>
      <c r="N101" s="53"/>
      <c r="O101" s="53"/>
      <c r="P101" s="53"/>
      <c r="Q101" s="68" t="str">
        <f>IF(B101="","",AC101-IFERROR(SUMIFS('🌴 الإجازات'!$G:$G,'🌴 الإجازات'!$B:$B,B101,'🌴 الإجازات'!$K:$K,"معتمدة"),0))</f>
        <v/>
      </c>
      <c r="R101" s="53"/>
      <c r="S101" s="53"/>
      <c r="T101" s="50"/>
      <c r="U101" s="72"/>
      <c r="V101" s="72"/>
      <c r="W101" s="72"/>
      <c r="X101" s="72"/>
      <c r="Y101" s="50"/>
      <c r="Z101" s="50"/>
      <c r="AA101" s="50"/>
      <c r="AB101" s="67" t="str">
        <f t="shared" ref="AB101:AB132" si="16">IF(AND(B101&lt;&gt;"",L101&lt;&gt;""),(0.5*H101*MIN(M101,5))+(1*H101*MAX(0,M101-5)),"")</f>
        <v/>
      </c>
      <c r="AC101" s="44" t="str">
        <f t="shared" ref="AC101:AC132" si="17">IF(B101&lt;&gt;"",IF(IFERROR(M101,0)&gt;=5,LeaveDaysSenior,LeaveDaysJunior),"")</f>
        <v/>
      </c>
      <c r="AD101" s="50" t="str">
        <f t="shared" ref="AD101:AD132" ca="1" si="18">IF(B101="","",IF(AND(X101&lt;&gt;"",X101-TODAY()&lt;=ExpiryWarnDays,X101-TODAY()&gt;=0),"⚠️ إقامة تنتهي خلال "&amp;(X101-TODAY())&amp;" يوم",IF(AND(V101&lt;&gt;"",V101-TODAY()&lt;=ExpiryWarnDays,V101-TODAY()&gt;=0),"⚠️ عقد ينتهي خلال "&amp;(V101-TODAY())&amp;" يوم",IF(AND(W101&lt;&gt;"",W101-TODAY()&lt;=30,W101-TODAY()&gt;=0),"🟡 تجربة تنتهي خلال "&amp;(W101-TODAY())&amp;" يوم",""))))</f>
        <v/>
      </c>
    </row>
    <row r="102" spans="1:30" ht="22.15" customHeight="1" x14ac:dyDescent="0.2">
      <c r="A102" s="57"/>
      <c r="B102" s="57"/>
      <c r="C102" s="57"/>
      <c r="D102" s="57"/>
      <c r="E102" s="57"/>
      <c r="F102" s="57"/>
      <c r="G102" s="57"/>
      <c r="H102" s="63"/>
      <c r="I102" s="63"/>
      <c r="J102" s="63"/>
      <c r="K102" s="66" t="str">
        <f t="shared" si="14"/>
        <v/>
      </c>
      <c r="L102" s="59"/>
      <c r="M102" s="70" t="str">
        <f t="shared" ca="1" si="15"/>
        <v/>
      </c>
      <c r="N102" s="57"/>
      <c r="O102" s="57"/>
      <c r="P102" s="57"/>
      <c r="Q102" s="69" t="str">
        <f>IF(B102="","",AC102-IFERROR(SUMIFS('🌴 الإجازات'!$G:$G,'🌴 الإجازات'!$B:$B,B102,'🌴 الإجازات'!$K:$K,"معتمدة"),0))</f>
        <v/>
      </c>
      <c r="R102" s="57"/>
      <c r="S102" s="57"/>
      <c r="T102" s="61"/>
      <c r="U102" s="73"/>
      <c r="V102" s="73"/>
      <c r="W102" s="73"/>
      <c r="X102" s="73"/>
      <c r="Y102" s="61"/>
      <c r="Z102" s="61"/>
      <c r="AA102" s="61"/>
      <c r="AB102" s="66" t="str">
        <f t="shared" si="16"/>
        <v/>
      </c>
      <c r="AC102" s="74" t="str">
        <f t="shared" si="17"/>
        <v/>
      </c>
      <c r="AD102" s="61" t="str">
        <f t="shared" ca="1" si="18"/>
        <v/>
      </c>
    </row>
    <row r="103" spans="1:30" ht="22.15" customHeight="1" x14ac:dyDescent="0.2">
      <c r="A103" s="53"/>
      <c r="B103" s="53"/>
      <c r="C103" s="53"/>
      <c r="D103" s="53"/>
      <c r="E103" s="53"/>
      <c r="F103" s="53"/>
      <c r="G103" s="53"/>
      <c r="H103" s="62"/>
      <c r="I103" s="62"/>
      <c r="J103" s="62"/>
      <c r="K103" s="67" t="str">
        <f t="shared" si="14"/>
        <v/>
      </c>
      <c r="L103" s="55"/>
      <c r="M103" s="71" t="str">
        <f t="shared" ca="1" si="15"/>
        <v/>
      </c>
      <c r="N103" s="53"/>
      <c r="O103" s="53"/>
      <c r="P103" s="53"/>
      <c r="Q103" s="68" t="str">
        <f>IF(B103="","",AC103-IFERROR(SUMIFS('🌴 الإجازات'!$G:$G,'🌴 الإجازات'!$B:$B,B103,'🌴 الإجازات'!$K:$K,"معتمدة"),0))</f>
        <v/>
      </c>
      <c r="R103" s="53"/>
      <c r="S103" s="53"/>
      <c r="T103" s="50"/>
      <c r="U103" s="72"/>
      <c r="V103" s="72"/>
      <c r="W103" s="72"/>
      <c r="X103" s="72"/>
      <c r="Y103" s="50"/>
      <c r="Z103" s="50"/>
      <c r="AA103" s="50"/>
      <c r="AB103" s="67" t="str">
        <f t="shared" si="16"/>
        <v/>
      </c>
      <c r="AC103" s="44" t="str">
        <f t="shared" si="17"/>
        <v/>
      </c>
      <c r="AD103" s="50" t="str">
        <f t="shared" ca="1" si="18"/>
        <v/>
      </c>
    </row>
    <row r="104" spans="1:30" ht="22.15" customHeight="1" x14ac:dyDescent="0.2">
      <c r="A104" s="57"/>
      <c r="B104" s="57"/>
      <c r="C104" s="57"/>
      <c r="D104" s="57"/>
      <c r="E104" s="57"/>
      <c r="F104" s="57"/>
      <c r="G104" s="57"/>
      <c r="H104" s="63"/>
      <c r="I104" s="63"/>
      <c r="J104" s="63"/>
      <c r="K104" s="66" t="str">
        <f t="shared" si="14"/>
        <v/>
      </c>
      <c r="L104" s="59"/>
      <c r="M104" s="70" t="str">
        <f t="shared" ca="1" si="15"/>
        <v/>
      </c>
      <c r="N104" s="57"/>
      <c r="O104" s="57"/>
      <c r="P104" s="57"/>
      <c r="Q104" s="69" t="str">
        <f>IF(B104="","",AC104-IFERROR(SUMIFS('🌴 الإجازات'!$G:$G,'🌴 الإجازات'!$B:$B,B104,'🌴 الإجازات'!$K:$K,"معتمدة"),0))</f>
        <v/>
      </c>
      <c r="R104" s="57"/>
      <c r="S104" s="57"/>
      <c r="T104" s="61"/>
      <c r="U104" s="73"/>
      <c r="V104" s="73"/>
      <c r="W104" s="73"/>
      <c r="X104" s="73"/>
      <c r="Y104" s="61"/>
      <c r="Z104" s="61"/>
      <c r="AA104" s="61"/>
      <c r="AB104" s="66" t="str">
        <f t="shared" si="16"/>
        <v/>
      </c>
      <c r="AC104" s="74" t="str">
        <f t="shared" si="17"/>
        <v/>
      </c>
      <c r="AD104" s="61" t="str">
        <f t="shared" ca="1" si="18"/>
        <v/>
      </c>
    </row>
    <row r="105" spans="1:30" ht="22.15" customHeight="1" x14ac:dyDescent="0.2">
      <c r="A105" s="53"/>
      <c r="B105" s="53"/>
      <c r="C105" s="53"/>
      <c r="D105" s="53"/>
      <c r="E105" s="53"/>
      <c r="F105" s="53"/>
      <c r="G105" s="53"/>
      <c r="H105" s="62"/>
      <c r="I105" s="62"/>
      <c r="J105" s="62"/>
      <c r="K105" s="67" t="str">
        <f t="shared" si="14"/>
        <v/>
      </c>
      <c r="L105" s="55"/>
      <c r="M105" s="71" t="str">
        <f t="shared" ca="1" si="15"/>
        <v/>
      </c>
      <c r="N105" s="53"/>
      <c r="O105" s="53"/>
      <c r="P105" s="53"/>
      <c r="Q105" s="68" t="str">
        <f>IF(B105="","",AC105-IFERROR(SUMIFS('🌴 الإجازات'!$G:$G,'🌴 الإجازات'!$B:$B,B105,'🌴 الإجازات'!$K:$K,"معتمدة"),0))</f>
        <v/>
      </c>
      <c r="R105" s="53"/>
      <c r="S105" s="53"/>
      <c r="T105" s="50"/>
      <c r="U105" s="72"/>
      <c r="V105" s="72"/>
      <c r="W105" s="72"/>
      <c r="X105" s="72"/>
      <c r="Y105" s="50"/>
      <c r="Z105" s="50"/>
      <c r="AA105" s="50"/>
      <c r="AB105" s="67" t="str">
        <f t="shared" si="16"/>
        <v/>
      </c>
      <c r="AC105" s="44" t="str">
        <f t="shared" si="17"/>
        <v/>
      </c>
      <c r="AD105" s="50" t="str">
        <f t="shared" ca="1" si="18"/>
        <v/>
      </c>
    </row>
    <row r="106" spans="1:30" ht="22.15" customHeight="1" x14ac:dyDescent="0.2">
      <c r="A106" s="57"/>
      <c r="B106" s="57"/>
      <c r="C106" s="57"/>
      <c r="D106" s="57"/>
      <c r="E106" s="57"/>
      <c r="F106" s="57"/>
      <c r="G106" s="57"/>
      <c r="H106" s="63"/>
      <c r="I106" s="63"/>
      <c r="J106" s="63"/>
      <c r="K106" s="66" t="str">
        <f t="shared" ref="K106:K137" si="19">IF(H106&lt;&gt;"",H106+I106+J106,"")</f>
        <v/>
      </c>
      <c r="L106" s="59"/>
      <c r="M106" s="70" t="str">
        <f t="shared" ca="1" si="15"/>
        <v/>
      </c>
      <c r="N106" s="57"/>
      <c r="O106" s="57"/>
      <c r="P106" s="57"/>
      <c r="Q106" s="69" t="str">
        <f>IF(B106="","",AC106-IFERROR(SUMIFS('🌴 الإجازات'!$G:$G,'🌴 الإجازات'!$B:$B,B106,'🌴 الإجازات'!$K:$K,"معتمدة"),0))</f>
        <v/>
      </c>
      <c r="R106" s="57"/>
      <c r="S106" s="57"/>
      <c r="T106" s="61"/>
      <c r="U106" s="73"/>
      <c r="V106" s="73"/>
      <c r="W106" s="73"/>
      <c r="X106" s="73"/>
      <c r="Y106" s="61"/>
      <c r="Z106" s="61"/>
      <c r="AA106" s="61"/>
      <c r="AB106" s="66" t="str">
        <f t="shared" si="16"/>
        <v/>
      </c>
      <c r="AC106" s="74" t="str">
        <f t="shared" si="17"/>
        <v/>
      </c>
      <c r="AD106" s="61" t="str">
        <f t="shared" ca="1" si="18"/>
        <v/>
      </c>
    </row>
    <row r="107" spans="1:30" ht="22.15" customHeight="1" x14ac:dyDescent="0.2">
      <c r="A107" s="53"/>
      <c r="B107" s="53"/>
      <c r="C107" s="53"/>
      <c r="D107" s="53"/>
      <c r="E107" s="53"/>
      <c r="F107" s="53"/>
      <c r="G107" s="53"/>
      <c r="H107" s="62"/>
      <c r="I107" s="62"/>
      <c r="J107" s="62"/>
      <c r="K107" s="67" t="str">
        <f t="shared" si="19"/>
        <v/>
      </c>
      <c r="L107" s="55"/>
      <c r="M107" s="71" t="str">
        <f t="shared" ca="1" si="15"/>
        <v/>
      </c>
      <c r="N107" s="53"/>
      <c r="O107" s="53"/>
      <c r="P107" s="53"/>
      <c r="Q107" s="68" t="str">
        <f>IF(B107="","",AC107-IFERROR(SUMIFS('🌴 الإجازات'!$G:$G,'🌴 الإجازات'!$B:$B,B107,'🌴 الإجازات'!$K:$K,"معتمدة"),0))</f>
        <v/>
      </c>
      <c r="R107" s="53"/>
      <c r="S107" s="53"/>
      <c r="T107" s="50"/>
      <c r="U107" s="72"/>
      <c r="V107" s="72"/>
      <c r="W107" s="72"/>
      <c r="X107" s="72"/>
      <c r="Y107" s="50"/>
      <c r="Z107" s="50"/>
      <c r="AA107" s="50"/>
      <c r="AB107" s="67" t="str">
        <f t="shared" si="16"/>
        <v/>
      </c>
      <c r="AC107" s="44" t="str">
        <f t="shared" si="17"/>
        <v/>
      </c>
      <c r="AD107" s="50" t="str">
        <f t="shared" ca="1" si="18"/>
        <v/>
      </c>
    </row>
    <row r="108" spans="1:30" ht="22.15" customHeight="1" x14ac:dyDescent="0.2">
      <c r="A108" s="57"/>
      <c r="B108" s="57"/>
      <c r="C108" s="57"/>
      <c r="D108" s="57"/>
      <c r="E108" s="57"/>
      <c r="F108" s="57"/>
      <c r="G108" s="57"/>
      <c r="H108" s="63"/>
      <c r="I108" s="63"/>
      <c r="J108" s="63"/>
      <c r="K108" s="66" t="str">
        <f t="shared" si="19"/>
        <v/>
      </c>
      <c r="L108" s="59"/>
      <c r="M108" s="70" t="str">
        <f t="shared" ca="1" si="15"/>
        <v/>
      </c>
      <c r="N108" s="57"/>
      <c r="O108" s="57"/>
      <c r="P108" s="57"/>
      <c r="Q108" s="69" t="str">
        <f>IF(B108="","",AC108-IFERROR(SUMIFS('🌴 الإجازات'!$G:$G,'🌴 الإجازات'!$B:$B,B108,'🌴 الإجازات'!$K:$K,"معتمدة"),0))</f>
        <v/>
      </c>
      <c r="R108" s="57"/>
      <c r="S108" s="57"/>
      <c r="T108" s="61"/>
      <c r="U108" s="73"/>
      <c r="V108" s="73"/>
      <c r="W108" s="73"/>
      <c r="X108" s="73"/>
      <c r="Y108" s="61"/>
      <c r="Z108" s="61"/>
      <c r="AA108" s="61"/>
      <c r="AB108" s="66" t="str">
        <f t="shared" si="16"/>
        <v/>
      </c>
      <c r="AC108" s="74" t="str">
        <f t="shared" si="17"/>
        <v/>
      </c>
      <c r="AD108" s="61" t="str">
        <f t="shared" ca="1" si="18"/>
        <v/>
      </c>
    </row>
    <row r="109" spans="1:30" ht="22.15" customHeight="1" x14ac:dyDescent="0.2">
      <c r="A109" s="53"/>
      <c r="B109" s="53"/>
      <c r="C109" s="53"/>
      <c r="D109" s="53"/>
      <c r="E109" s="53"/>
      <c r="F109" s="53"/>
      <c r="G109" s="53"/>
      <c r="H109" s="62"/>
      <c r="I109" s="62"/>
      <c r="J109" s="62"/>
      <c r="K109" s="67" t="str">
        <f t="shared" si="19"/>
        <v/>
      </c>
      <c r="L109" s="55"/>
      <c r="M109" s="71" t="str">
        <f t="shared" ca="1" si="15"/>
        <v/>
      </c>
      <c r="N109" s="53"/>
      <c r="O109" s="53"/>
      <c r="P109" s="53"/>
      <c r="Q109" s="68" t="str">
        <f>IF(B109="","",AC109-IFERROR(SUMIFS('🌴 الإجازات'!$G:$G,'🌴 الإجازات'!$B:$B,B109,'🌴 الإجازات'!$K:$K,"معتمدة"),0))</f>
        <v/>
      </c>
      <c r="R109" s="53"/>
      <c r="S109" s="53"/>
      <c r="T109" s="50"/>
      <c r="U109" s="72"/>
      <c r="V109" s="72"/>
      <c r="W109" s="72"/>
      <c r="X109" s="72"/>
      <c r="Y109" s="50"/>
      <c r="Z109" s="50"/>
      <c r="AA109" s="50"/>
      <c r="AB109" s="67" t="str">
        <f t="shared" si="16"/>
        <v/>
      </c>
      <c r="AC109" s="44" t="str">
        <f t="shared" si="17"/>
        <v/>
      </c>
      <c r="AD109" s="50" t="str">
        <f t="shared" ca="1" si="18"/>
        <v/>
      </c>
    </row>
    <row r="110" spans="1:30" ht="22.15" customHeight="1" x14ac:dyDescent="0.2">
      <c r="A110" s="57"/>
      <c r="B110" s="57"/>
      <c r="C110" s="57"/>
      <c r="D110" s="57"/>
      <c r="E110" s="57"/>
      <c r="F110" s="57"/>
      <c r="G110" s="57"/>
      <c r="H110" s="63"/>
      <c r="I110" s="63"/>
      <c r="J110" s="63"/>
      <c r="K110" s="66" t="str">
        <f t="shared" si="19"/>
        <v/>
      </c>
      <c r="L110" s="59"/>
      <c r="M110" s="70" t="str">
        <f t="shared" ca="1" si="15"/>
        <v/>
      </c>
      <c r="N110" s="57"/>
      <c r="O110" s="57"/>
      <c r="P110" s="57"/>
      <c r="Q110" s="69" t="str">
        <f>IF(B110="","",AC110-IFERROR(SUMIFS('🌴 الإجازات'!$G:$G,'🌴 الإجازات'!$B:$B,B110,'🌴 الإجازات'!$K:$K,"معتمدة"),0))</f>
        <v/>
      </c>
      <c r="R110" s="57"/>
      <c r="S110" s="57"/>
      <c r="T110" s="61"/>
      <c r="U110" s="73"/>
      <c r="V110" s="73"/>
      <c r="W110" s="73"/>
      <c r="X110" s="73"/>
      <c r="Y110" s="61"/>
      <c r="Z110" s="61"/>
      <c r="AA110" s="61"/>
      <c r="AB110" s="66" t="str">
        <f t="shared" si="16"/>
        <v/>
      </c>
      <c r="AC110" s="74" t="str">
        <f t="shared" si="17"/>
        <v/>
      </c>
      <c r="AD110" s="61" t="str">
        <f t="shared" ca="1" si="18"/>
        <v/>
      </c>
    </row>
    <row r="111" spans="1:30" ht="22.15" customHeight="1" x14ac:dyDescent="0.2">
      <c r="A111" s="53"/>
      <c r="B111" s="53"/>
      <c r="C111" s="53"/>
      <c r="D111" s="53"/>
      <c r="E111" s="53"/>
      <c r="F111" s="53"/>
      <c r="G111" s="53"/>
      <c r="H111" s="62"/>
      <c r="I111" s="62"/>
      <c r="J111" s="62"/>
      <c r="K111" s="67" t="str">
        <f t="shared" si="19"/>
        <v/>
      </c>
      <c r="L111" s="55"/>
      <c r="M111" s="71" t="str">
        <f t="shared" ca="1" si="15"/>
        <v/>
      </c>
      <c r="N111" s="53"/>
      <c r="O111" s="53"/>
      <c r="P111" s="53"/>
      <c r="Q111" s="68" t="str">
        <f>IF(B111="","",AC111-IFERROR(SUMIFS('🌴 الإجازات'!$G:$G,'🌴 الإجازات'!$B:$B,B111,'🌴 الإجازات'!$K:$K,"معتمدة"),0))</f>
        <v/>
      </c>
      <c r="R111" s="53"/>
      <c r="S111" s="53"/>
      <c r="T111" s="50"/>
      <c r="U111" s="72"/>
      <c r="V111" s="72"/>
      <c r="W111" s="72"/>
      <c r="X111" s="72"/>
      <c r="Y111" s="50"/>
      <c r="Z111" s="50"/>
      <c r="AA111" s="50"/>
      <c r="AB111" s="67" t="str">
        <f t="shared" si="16"/>
        <v/>
      </c>
      <c r="AC111" s="44" t="str">
        <f t="shared" si="17"/>
        <v/>
      </c>
      <c r="AD111" s="50" t="str">
        <f t="shared" ca="1" si="18"/>
        <v/>
      </c>
    </row>
    <row r="112" spans="1:30" ht="22.15" customHeight="1" x14ac:dyDescent="0.2">
      <c r="A112" s="57"/>
      <c r="B112" s="57"/>
      <c r="C112" s="57"/>
      <c r="D112" s="57"/>
      <c r="E112" s="57"/>
      <c r="F112" s="57"/>
      <c r="G112" s="57"/>
      <c r="H112" s="63"/>
      <c r="I112" s="63"/>
      <c r="J112" s="63"/>
      <c r="K112" s="66" t="str">
        <f t="shared" si="19"/>
        <v/>
      </c>
      <c r="L112" s="59"/>
      <c r="M112" s="70" t="str">
        <f t="shared" ca="1" si="15"/>
        <v/>
      </c>
      <c r="N112" s="57"/>
      <c r="O112" s="57"/>
      <c r="P112" s="57"/>
      <c r="Q112" s="69" t="str">
        <f>IF(B112="","",AC112-IFERROR(SUMIFS('🌴 الإجازات'!$G:$G,'🌴 الإجازات'!$B:$B,B112,'🌴 الإجازات'!$K:$K,"معتمدة"),0))</f>
        <v/>
      </c>
      <c r="R112" s="57"/>
      <c r="S112" s="57"/>
      <c r="T112" s="61"/>
      <c r="U112" s="73"/>
      <c r="V112" s="73"/>
      <c r="W112" s="73"/>
      <c r="X112" s="73"/>
      <c r="Y112" s="61"/>
      <c r="Z112" s="61"/>
      <c r="AA112" s="61"/>
      <c r="AB112" s="66" t="str">
        <f t="shared" si="16"/>
        <v/>
      </c>
      <c r="AC112" s="74" t="str">
        <f t="shared" si="17"/>
        <v/>
      </c>
      <c r="AD112" s="61" t="str">
        <f t="shared" ca="1" si="18"/>
        <v/>
      </c>
    </row>
    <row r="113" spans="1:30" ht="22.15" customHeight="1" x14ac:dyDescent="0.2">
      <c r="A113" s="53"/>
      <c r="B113" s="53"/>
      <c r="C113" s="53"/>
      <c r="D113" s="53"/>
      <c r="E113" s="53"/>
      <c r="F113" s="53"/>
      <c r="G113" s="53"/>
      <c r="H113" s="62"/>
      <c r="I113" s="62"/>
      <c r="J113" s="62"/>
      <c r="K113" s="67" t="str">
        <f t="shared" si="19"/>
        <v/>
      </c>
      <c r="L113" s="55"/>
      <c r="M113" s="71" t="str">
        <f t="shared" ca="1" si="15"/>
        <v/>
      </c>
      <c r="N113" s="53"/>
      <c r="O113" s="53"/>
      <c r="P113" s="53"/>
      <c r="Q113" s="68" t="str">
        <f>IF(B113="","",AC113-IFERROR(SUMIFS('🌴 الإجازات'!$G:$G,'🌴 الإجازات'!$B:$B,B113,'🌴 الإجازات'!$K:$K,"معتمدة"),0))</f>
        <v/>
      </c>
      <c r="R113" s="53"/>
      <c r="S113" s="53"/>
      <c r="T113" s="50"/>
      <c r="U113" s="72"/>
      <c r="V113" s="72"/>
      <c r="W113" s="72"/>
      <c r="X113" s="72"/>
      <c r="Y113" s="50"/>
      <c r="Z113" s="50"/>
      <c r="AA113" s="50"/>
      <c r="AB113" s="67" t="str">
        <f t="shared" si="16"/>
        <v/>
      </c>
      <c r="AC113" s="44" t="str">
        <f t="shared" si="17"/>
        <v/>
      </c>
      <c r="AD113" s="50" t="str">
        <f t="shared" ca="1" si="18"/>
        <v/>
      </c>
    </row>
    <row r="114" spans="1:30" ht="22.15" customHeight="1" x14ac:dyDescent="0.2">
      <c r="A114" s="57"/>
      <c r="B114" s="57"/>
      <c r="C114" s="57"/>
      <c r="D114" s="57"/>
      <c r="E114" s="57"/>
      <c r="F114" s="57"/>
      <c r="G114" s="57"/>
      <c r="H114" s="63"/>
      <c r="I114" s="63"/>
      <c r="J114" s="63"/>
      <c r="K114" s="66" t="str">
        <f t="shared" si="19"/>
        <v/>
      </c>
      <c r="L114" s="59"/>
      <c r="M114" s="70" t="str">
        <f t="shared" ca="1" si="15"/>
        <v/>
      </c>
      <c r="N114" s="57"/>
      <c r="O114" s="57"/>
      <c r="P114" s="57"/>
      <c r="Q114" s="69" t="str">
        <f>IF(B114="","",AC114-IFERROR(SUMIFS('🌴 الإجازات'!$G:$G,'🌴 الإجازات'!$B:$B,B114,'🌴 الإجازات'!$K:$K,"معتمدة"),0))</f>
        <v/>
      </c>
      <c r="R114" s="57"/>
      <c r="S114" s="57"/>
      <c r="T114" s="61"/>
      <c r="U114" s="73"/>
      <c r="V114" s="73"/>
      <c r="W114" s="73"/>
      <c r="X114" s="73"/>
      <c r="Y114" s="61"/>
      <c r="Z114" s="61"/>
      <c r="AA114" s="61"/>
      <c r="AB114" s="66" t="str">
        <f t="shared" si="16"/>
        <v/>
      </c>
      <c r="AC114" s="74" t="str">
        <f t="shared" si="17"/>
        <v/>
      </c>
      <c r="AD114" s="61" t="str">
        <f t="shared" ca="1" si="18"/>
        <v/>
      </c>
    </row>
    <row r="115" spans="1:30" ht="22.15" customHeight="1" x14ac:dyDescent="0.2">
      <c r="A115" s="53"/>
      <c r="B115" s="53"/>
      <c r="C115" s="53"/>
      <c r="D115" s="53"/>
      <c r="E115" s="53"/>
      <c r="F115" s="53"/>
      <c r="G115" s="53"/>
      <c r="H115" s="62"/>
      <c r="I115" s="62"/>
      <c r="J115" s="62"/>
      <c r="K115" s="67" t="str">
        <f t="shared" si="19"/>
        <v/>
      </c>
      <c r="L115" s="55"/>
      <c r="M115" s="71" t="str">
        <f t="shared" ca="1" si="15"/>
        <v/>
      </c>
      <c r="N115" s="53"/>
      <c r="O115" s="53"/>
      <c r="P115" s="53"/>
      <c r="Q115" s="68" t="str">
        <f>IF(B115="","",AC115-IFERROR(SUMIFS('🌴 الإجازات'!$G:$G,'🌴 الإجازات'!$B:$B,B115,'🌴 الإجازات'!$K:$K,"معتمدة"),0))</f>
        <v/>
      </c>
      <c r="R115" s="53"/>
      <c r="S115" s="53"/>
      <c r="T115" s="50"/>
      <c r="U115" s="72"/>
      <c r="V115" s="72"/>
      <c r="W115" s="72"/>
      <c r="X115" s="72"/>
      <c r="Y115" s="50"/>
      <c r="Z115" s="50"/>
      <c r="AA115" s="50"/>
      <c r="AB115" s="67" t="str">
        <f t="shared" si="16"/>
        <v/>
      </c>
      <c r="AC115" s="44" t="str">
        <f t="shared" si="17"/>
        <v/>
      </c>
      <c r="AD115" s="50" t="str">
        <f t="shared" ca="1" si="18"/>
        <v/>
      </c>
    </row>
    <row r="116" spans="1:30" ht="22.15" customHeight="1" x14ac:dyDescent="0.2">
      <c r="A116" s="57"/>
      <c r="B116" s="57"/>
      <c r="C116" s="57"/>
      <c r="D116" s="57"/>
      <c r="E116" s="57"/>
      <c r="F116" s="57"/>
      <c r="G116" s="57"/>
      <c r="H116" s="63"/>
      <c r="I116" s="63"/>
      <c r="J116" s="63"/>
      <c r="K116" s="66" t="str">
        <f t="shared" si="19"/>
        <v/>
      </c>
      <c r="L116" s="59"/>
      <c r="M116" s="70" t="str">
        <f t="shared" ca="1" si="15"/>
        <v/>
      </c>
      <c r="N116" s="57"/>
      <c r="O116" s="57"/>
      <c r="P116" s="57"/>
      <c r="Q116" s="69" t="str">
        <f>IF(B116="","",AC116-IFERROR(SUMIFS('🌴 الإجازات'!$G:$G,'🌴 الإجازات'!$B:$B,B116,'🌴 الإجازات'!$K:$K,"معتمدة"),0))</f>
        <v/>
      </c>
      <c r="R116" s="57"/>
      <c r="S116" s="57"/>
      <c r="T116" s="61"/>
      <c r="U116" s="73"/>
      <c r="V116" s="73"/>
      <c r="W116" s="73"/>
      <c r="X116" s="73"/>
      <c r="Y116" s="61"/>
      <c r="Z116" s="61"/>
      <c r="AA116" s="61"/>
      <c r="AB116" s="66" t="str">
        <f t="shared" si="16"/>
        <v/>
      </c>
      <c r="AC116" s="74" t="str">
        <f t="shared" si="17"/>
        <v/>
      </c>
      <c r="AD116" s="61" t="str">
        <f t="shared" ca="1" si="18"/>
        <v/>
      </c>
    </row>
    <row r="117" spans="1:30" ht="22.15" customHeight="1" x14ac:dyDescent="0.2">
      <c r="A117" s="53"/>
      <c r="B117" s="53"/>
      <c r="C117" s="53"/>
      <c r="D117" s="53"/>
      <c r="E117" s="53"/>
      <c r="F117" s="53"/>
      <c r="G117" s="53"/>
      <c r="H117" s="62"/>
      <c r="I117" s="62"/>
      <c r="J117" s="62"/>
      <c r="K117" s="67" t="str">
        <f t="shared" si="19"/>
        <v/>
      </c>
      <c r="L117" s="55"/>
      <c r="M117" s="71" t="str">
        <f t="shared" ca="1" si="15"/>
        <v/>
      </c>
      <c r="N117" s="53"/>
      <c r="O117" s="53"/>
      <c r="P117" s="53"/>
      <c r="Q117" s="68" t="str">
        <f>IF(B117="","",AC117-IFERROR(SUMIFS('🌴 الإجازات'!$G:$G,'🌴 الإجازات'!$B:$B,B117,'🌴 الإجازات'!$K:$K,"معتمدة"),0))</f>
        <v/>
      </c>
      <c r="R117" s="53"/>
      <c r="S117" s="53"/>
      <c r="T117" s="50"/>
      <c r="U117" s="72"/>
      <c r="V117" s="72"/>
      <c r="W117" s="72"/>
      <c r="X117" s="72"/>
      <c r="Y117" s="50"/>
      <c r="Z117" s="50"/>
      <c r="AA117" s="50"/>
      <c r="AB117" s="67" t="str">
        <f t="shared" si="16"/>
        <v/>
      </c>
      <c r="AC117" s="44" t="str">
        <f t="shared" si="17"/>
        <v/>
      </c>
      <c r="AD117" s="50" t="str">
        <f t="shared" ca="1" si="18"/>
        <v/>
      </c>
    </row>
    <row r="118" spans="1:30" ht="22.15" customHeight="1" x14ac:dyDescent="0.2">
      <c r="A118" s="57"/>
      <c r="B118" s="57"/>
      <c r="C118" s="57"/>
      <c r="D118" s="57"/>
      <c r="E118" s="57"/>
      <c r="F118" s="57"/>
      <c r="G118" s="57"/>
      <c r="H118" s="63"/>
      <c r="I118" s="63"/>
      <c r="J118" s="63"/>
      <c r="K118" s="66" t="str">
        <f t="shared" si="19"/>
        <v/>
      </c>
      <c r="L118" s="59"/>
      <c r="M118" s="70" t="str">
        <f t="shared" ca="1" si="15"/>
        <v/>
      </c>
      <c r="N118" s="57"/>
      <c r="O118" s="57"/>
      <c r="P118" s="57"/>
      <c r="Q118" s="69" t="str">
        <f>IF(B118="","",AC118-IFERROR(SUMIFS('🌴 الإجازات'!$G:$G,'🌴 الإجازات'!$B:$B,B118,'🌴 الإجازات'!$K:$K,"معتمدة"),0))</f>
        <v/>
      </c>
      <c r="R118" s="57"/>
      <c r="S118" s="57"/>
      <c r="T118" s="61"/>
      <c r="U118" s="73"/>
      <c r="V118" s="73"/>
      <c r="W118" s="73"/>
      <c r="X118" s="73"/>
      <c r="Y118" s="61"/>
      <c r="Z118" s="61"/>
      <c r="AA118" s="61"/>
      <c r="AB118" s="66" t="str">
        <f t="shared" si="16"/>
        <v/>
      </c>
      <c r="AC118" s="74" t="str">
        <f t="shared" si="17"/>
        <v/>
      </c>
      <c r="AD118" s="61" t="str">
        <f t="shared" ca="1" si="18"/>
        <v/>
      </c>
    </row>
    <row r="119" spans="1:30" ht="22.15" customHeight="1" x14ac:dyDescent="0.2">
      <c r="A119" s="53"/>
      <c r="B119" s="53"/>
      <c r="C119" s="53"/>
      <c r="D119" s="53"/>
      <c r="E119" s="53"/>
      <c r="F119" s="53"/>
      <c r="G119" s="53"/>
      <c r="H119" s="62"/>
      <c r="I119" s="62"/>
      <c r="J119" s="62"/>
      <c r="K119" s="67" t="str">
        <f t="shared" si="19"/>
        <v/>
      </c>
      <c r="L119" s="55"/>
      <c r="M119" s="71" t="str">
        <f t="shared" ca="1" si="15"/>
        <v/>
      </c>
      <c r="N119" s="53"/>
      <c r="O119" s="53"/>
      <c r="P119" s="53"/>
      <c r="Q119" s="68" t="str">
        <f>IF(B119="","",AC119-IFERROR(SUMIFS('🌴 الإجازات'!$G:$G,'🌴 الإجازات'!$B:$B,B119,'🌴 الإجازات'!$K:$K,"معتمدة"),0))</f>
        <v/>
      </c>
      <c r="R119" s="53"/>
      <c r="S119" s="53"/>
      <c r="T119" s="50"/>
      <c r="U119" s="72"/>
      <c r="V119" s="72"/>
      <c r="W119" s="72"/>
      <c r="X119" s="72"/>
      <c r="Y119" s="50"/>
      <c r="Z119" s="50"/>
      <c r="AA119" s="50"/>
      <c r="AB119" s="67" t="str">
        <f t="shared" si="16"/>
        <v/>
      </c>
      <c r="AC119" s="44" t="str">
        <f t="shared" si="17"/>
        <v/>
      </c>
      <c r="AD119" s="50" t="str">
        <f t="shared" ca="1" si="18"/>
        <v/>
      </c>
    </row>
    <row r="120" spans="1:30" ht="22.15" customHeight="1" x14ac:dyDescent="0.2">
      <c r="A120" s="57"/>
      <c r="B120" s="57"/>
      <c r="C120" s="57"/>
      <c r="D120" s="57"/>
      <c r="E120" s="57"/>
      <c r="F120" s="57"/>
      <c r="G120" s="57"/>
      <c r="H120" s="63"/>
      <c r="I120" s="63"/>
      <c r="J120" s="63"/>
      <c r="K120" s="66" t="str">
        <f t="shared" si="19"/>
        <v/>
      </c>
      <c r="L120" s="59"/>
      <c r="M120" s="70" t="str">
        <f t="shared" ca="1" si="15"/>
        <v/>
      </c>
      <c r="N120" s="57"/>
      <c r="O120" s="57"/>
      <c r="P120" s="57"/>
      <c r="Q120" s="69" t="str">
        <f>IF(B120="","",AC120-IFERROR(SUMIFS('🌴 الإجازات'!$G:$G,'🌴 الإجازات'!$B:$B,B120,'🌴 الإجازات'!$K:$K,"معتمدة"),0))</f>
        <v/>
      </c>
      <c r="R120" s="57"/>
      <c r="S120" s="57"/>
      <c r="T120" s="61"/>
      <c r="U120" s="73"/>
      <c r="V120" s="73"/>
      <c r="W120" s="73"/>
      <c r="X120" s="73"/>
      <c r="Y120" s="61"/>
      <c r="Z120" s="61"/>
      <c r="AA120" s="61"/>
      <c r="AB120" s="66" t="str">
        <f t="shared" si="16"/>
        <v/>
      </c>
      <c r="AC120" s="74" t="str">
        <f t="shared" si="17"/>
        <v/>
      </c>
      <c r="AD120" s="61" t="str">
        <f t="shared" ca="1" si="18"/>
        <v/>
      </c>
    </row>
    <row r="121" spans="1:30" ht="22.15" customHeight="1" x14ac:dyDescent="0.2">
      <c r="A121" s="53"/>
      <c r="B121" s="53"/>
      <c r="C121" s="53"/>
      <c r="D121" s="53"/>
      <c r="E121" s="53"/>
      <c r="F121" s="53"/>
      <c r="G121" s="53"/>
      <c r="H121" s="62"/>
      <c r="I121" s="62"/>
      <c r="J121" s="62"/>
      <c r="K121" s="67" t="str">
        <f t="shared" si="19"/>
        <v/>
      </c>
      <c r="L121" s="55"/>
      <c r="M121" s="71" t="str">
        <f t="shared" ca="1" si="15"/>
        <v/>
      </c>
      <c r="N121" s="53"/>
      <c r="O121" s="53"/>
      <c r="P121" s="53"/>
      <c r="Q121" s="68" t="str">
        <f>IF(B121="","",AC121-IFERROR(SUMIFS('🌴 الإجازات'!$G:$G,'🌴 الإجازات'!$B:$B,B121,'🌴 الإجازات'!$K:$K,"معتمدة"),0))</f>
        <v/>
      </c>
      <c r="R121" s="53"/>
      <c r="S121" s="53"/>
      <c r="T121" s="50"/>
      <c r="U121" s="72"/>
      <c r="V121" s="72"/>
      <c r="W121" s="72"/>
      <c r="X121" s="72"/>
      <c r="Y121" s="50"/>
      <c r="Z121" s="50"/>
      <c r="AA121" s="50"/>
      <c r="AB121" s="67" t="str">
        <f t="shared" si="16"/>
        <v/>
      </c>
      <c r="AC121" s="44" t="str">
        <f t="shared" si="17"/>
        <v/>
      </c>
      <c r="AD121" s="50" t="str">
        <f t="shared" ca="1" si="18"/>
        <v/>
      </c>
    </row>
    <row r="122" spans="1:30" ht="22.15" customHeight="1" x14ac:dyDescent="0.2">
      <c r="A122" s="57"/>
      <c r="B122" s="57"/>
      <c r="C122" s="57"/>
      <c r="D122" s="57"/>
      <c r="E122" s="57"/>
      <c r="F122" s="57"/>
      <c r="G122" s="57"/>
      <c r="H122" s="63"/>
      <c r="I122" s="63"/>
      <c r="J122" s="63"/>
      <c r="K122" s="66" t="str">
        <f t="shared" si="19"/>
        <v/>
      </c>
      <c r="L122" s="59"/>
      <c r="M122" s="70" t="str">
        <f t="shared" ca="1" si="15"/>
        <v/>
      </c>
      <c r="N122" s="57"/>
      <c r="O122" s="57"/>
      <c r="P122" s="57"/>
      <c r="Q122" s="69" t="str">
        <f>IF(B122="","",AC122-IFERROR(SUMIFS('🌴 الإجازات'!$G:$G,'🌴 الإجازات'!$B:$B,B122,'🌴 الإجازات'!$K:$K,"معتمدة"),0))</f>
        <v/>
      </c>
      <c r="R122" s="57"/>
      <c r="S122" s="57"/>
      <c r="T122" s="61"/>
      <c r="U122" s="73"/>
      <c r="V122" s="73"/>
      <c r="W122" s="73"/>
      <c r="X122" s="73"/>
      <c r="Y122" s="61"/>
      <c r="Z122" s="61"/>
      <c r="AA122" s="61"/>
      <c r="AB122" s="66" t="str">
        <f t="shared" si="16"/>
        <v/>
      </c>
      <c r="AC122" s="74" t="str">
        <f t="shared" si="17"/>
        <v/>
      </c>
      <c r="AD122" s="61" t="str">
        <f t="shared" ca="1" si="18"/>
        <v/>
      </c>
    </row>
    <row r="123" spans="1:30" ht="22.15" customHeight="1" x14ac:dyDescent="0.2">
      <c r="A123" s="53"/>
      <c r="B123" s="53"/>
      <c r="C123" s="53"/>
      <c r="D123" s="53"/>
      <c r="E123" s="53"/>
      <c r="F123" s="53"/>
      <c r="G123" s="53"/>
      <c r="H123" s="62"/>
      <c r="I123" s="62"/>
      <c r="J123" s="62"/>
      <c r="K123" s="67" t="str">
        <f t="shared" si="19"/>
        <v/>
      </c>
      <c r="L123" s="55"/>
      <c r="M123" s="71" t="str">
        <f t="shared" ca="1" si="15"/>
        <v/>
      </c>
      <c r="N123" s="53"/>
      <c r="O123" s="53"/>
      <c r="P123" s="53"/>
      <c r="Q123" s="68" t="str">
        <f>IF(B123="","",AC123-IFERROR(SUMIFS('🌴 الإجازات'!$G:$G,'🌴 الإجازات'!$B:$B,B123,'🌴 الإجازات'!$K:$K,"معتمدة"),0))</f>
        <v/>
      </c>
      <c r="R123" s="53"/>
      <c r="S123" s="53"/>
      <c r="T123" s="50"/>
      <c r="U123" s="72"/>
      <c r="V123" s="72"/>
      <c r="W123" s="72"/>
      <c r="X123" s="72"/>
      <c r="Y123" s="50"/>
      <c r="Z123" s="50"/>
      <c r="AA123" s="50"/>
      <c r="AB123" s="67" t="str">
        <f t="shared" si="16"/>
        <v/>
      </c>
      <c r="AC123" s="44" t="str">
        <f t="shared" si="17"/>
        <v/>
      </c>
      <c r="AD123" s="50" t="str">
        <f t="shared" ca="1" si="18"/>
        <v/>
      </c>
    </row>
    <row r="124" spans="1:30" ht="22.15" customHeight="1" x14ac:dyDescent="0.2">
      <c r="A124" s="57"/>
      <c r="B124" s="57"/>
      <c r="C124" s="57"/>
      <c r="D124" s="57"/>
      <c r="E124" s="57"/>
      <c r="F124" s="57"/>
      <c r="G124" s="57"/>
      <c r="H124" s="63"/>
      <c r="I124" s="63"/>
      <c r="J124" s="63"/>
      <c r="K124" s="66" t="str">
        <f t="shared" si="19"/>
        <v/>
      </c>
      <c r="L124" s="59"/>
      <c r="M124" s="70" t="str">
        <f t="shared" ca="1" si="15"/>
        <v/>
      </c>
      <c r="N124" s="57"/>
      <c r="O124" s="57"/>
      <c r="P124" s="57"/>
      <c r="Q124" s="69" t="str">
        <f>IF(B124="","",AC124-IFERROR(SUMIFS('🌴 الإجازات'!$G:$G,'🌴 الإجازات'!$B:$B,B124,'🌴 الإجازات'!$K:$K,"معتمدة"),0))</f>
        <v/>
      </c>
      <c r="R124" s="57"/>
      <c r="S124" s="57"/>
      <c r="T124" s="61"/>
      <c r="U124" s="73"/>
      <c r="V124" s="73"/>
      <c r="W124" s="73"/>
      <c r="X124" s="73"/>
      <c r="Y124" s="61"/>
      <c r="Z124" s="61"/>
      <c r="AA124" s="61"/>
      <c r="AB124" s="66" t="str">
        <f t="shared" si="16"/>
        <v/>
      </c>
      <c r="AC124" s="74" t="str">
        <f t="shared" si="17"/>
        <v/>
      </c>
      <c r="AD124" s="61" t="str">
        <f t="shared" ca="1" si="18"/>
        <v/>
      </c>
    </row>
    <row r="125" spans="1:30" ht="22.15" customHeight="1" x14ac:dyDescent="0.2">
      <c r="A125" s="53"/>
      <c r="B125" s="53"/>
      <c r="C125" s="53"/>
      <c r="D125" s="53"/>
      <c r="E125" s="53"/>
      <c r="F125" s="53"/>
      <c r="G125" s="53"/>
      <c r="H125" s="62"/>
      <c r="I125" s="62"/>
      <c r="J125" s="62"/>
      <c r="K125" s="67" t="str">
        <f t="shared" si="19"/>
        <v/>
      </c>
      <c r="L125" s="55"/>
      <c r="M125" s="71" t="str">
        <f t="shared" ca="1" si="15"/>
        <v/>
      </c>
      <c r="N125" s="53"/>
      <c r="O125" s="53"/>
      <c r="P125" s="53"/>
      <c r="Q125" s="68" t="str">
        <f>IF(B125="","",AC125-IFERROR(SUMIFS('🌴 الإجازات'!$G:$G,'🌴 الإجازات'!$B:$B,B125,'🌴 الإجازات'!$K:$K,"معتمدة"),0))</f>
        <v/>
      </c>
      <c r="R125" s="53"/>
      <c r="S125" s="53"/>
      <c r="T125" s="50"/>
      <c r="U125" s="72"/>
      <c r="V125" s="72"/>
      <c r="W125" s="72"/>
      <c r="X125" s="72"/>
      <c r="Y125" s="50"/>
      <c r="Z125" s="50"/>
      <c r="AA125" s="50"/>
      <c r="AB125" s="67" t="str">
        <f t="shared" si="16"/>
        <v/>
      </c>
      <c r="AC125" s="44" t="str">
        <f t="shared" si="17"/>
        <v/>
      </c>
      <c r="AD125" s="50" t="str">
        <f t="shared" ca="1" si="18"/>
        <v/>
      </c>
    </row>
    <row r="126" spans="1:30" ht="22.15" customHeight="1" x14ac:dyDescent="0.2">
      <c r="A126" s="57"/>
      <c r="B126" s="57"/>
      <c r="C126" s="57"/>
      <c r="D126" s="57"/>
      <c r="E126" s="57"/>
      <c r="F126" s="57"/>
      <c r="G126" s="57"/>
      <c r="H126" s="63"/>
      <c r="I126" s="63"/>
      <c r="J126" s="63"/>
      <c r="K126" s="66" t="str">
        <f t="shared" si="19"/>
        <v/>
      </c>
      <c r="L126" s="59"/>
      <c r="M126" s="70" t="str">
        <f t="shared" ca="1" si="15"/>
        <v/>
      </c>
      <c r="N126" s="57"/>
      <c r="O126" s="57"/>
      <c r="P126" s="57"/>
      <c r="Q126" s="69" t="str">
        <f>IF(B126="","",AC126-IFERROR(SUMIFS('🌴 الإجازات'!$G:$G,'🌴 الإجازات'!$B:$B,B126,'🌴 الإجازات'!$K:$K,"معتمدة"),0))</f>
        <v/>
      </c>
      <c r="R126" s="57"/>
      <c r="S126" s="57"/>
      <c r="T126" s="61"/>
      <c r="U126" s="73"/>
      <c r="V126" s="73"/>
      <c r="W126" s="73"/>
      <c r="X126" s="73"/>
      <c r="Y126" s="61"/>
      <c r="Z126" s="61"/>
      <c r="AA126" s="61"/>
      <c r="AB126" s="66" t="str">
        <f t="shared" si="16"/>
        <v/>
      </c>
      <c r="AC126" s="74" t="str">
        <f t="shared" si="17"/>
        <v/>
      </c>
      <c r="AD126" s="61" t="str">
        <f t="shared" ca="1" si="18"/>
        <v/>
      </c>
    </row>
    <row r="127" spans="1:30" ht="22.15" customHeight="1" x14ac:dyDescent="0.2">
      <c r="A127" s="53"/>
      <c r="B127" s="53"/>
      <c r="C127" s="53"/>
      <c r="D127" s="53"/>
      <c r="E127" s="53"/>
      <c r="F127" s="53"/>
      <c r="G127" s="53"/>
      <c r="H127" s="62"/>
      <c r="I127" s="62"/>
      <c r="J127" s="62"/>
      <c r="K127" s="67" t="str">
        <f t="shared" si="19"/>
        <v/>
      </c>
      <c r="L127" s="55"/>
      <c r="M127" s="71" t="str">
        <f t="shared" ca="1" si="15"/>
        <v/>
      </c>
      <c r="N127" s="53"/>
      <c r="O127" s="53"/>
      <c r="P127" s="53"/>
      <c r="Q127" s="68" t="str">
        <f>IF(B127="","",AC127-IFERROR(SUMIFS('🌴 الإجازات'!$G:$G,'🌴 الإجازات'!$B:$B,B127,'🌴 الإجازات'!$K:$K,"معتمدة"),0))</f>
        <v/>
      </c>
      <c r="R127" s="53"/>
      <c r="S127" s="53"/>
      <c r="T127" s="50"/>
      <c r="U127" s="72"/>
      <c r="V127" s="72"/>
      <c r="W127" s="72"/>
      <c r="X127" s="72"/>
      <c r="Y127" s="50"/>
      <c r="Z127" s="50"/>
      <c r="AA127" s="50"/>
      <c r="AB127" s="67" t="str">
        <f t="shared" si="16"/>
        <v/>
      </c>
      <c r="AC127" s="44" t="str">
        <f t="shared" si="17"/>
        <v/>
      </c>
      <c r="AD127" s="50" t="str">
        <f t="shared" ca="1" si="18"/>
        <v/>
      </c>
    </row>
    <row r="128" spans="1:30" ht="22.15" customHeight="1" x14ac:dyDescent="0.2">
      <c r="A128" s="57"/>
      <c r="B128" s="57"/>
      <c r="C128" s="57"/>
      <c r="D128" s="57"/>
      <c r="E128" s="57"/>
      <c r="F128" s="57"/>
      <c r="G128" s="57"/>
      <c r="H128" s="63"/>
      <c r="I128" s="63"/>
      <c r="J128" s="63"/>
      <c r="K128" s="66" t="str">
        <f t="shared" si="19"/>
        <v/>
      </c>
      <c r="L128" s="59"/>
      <c r="M128" s="70" t="str">
        <f t="shared" ca="1" si="15"/>
        <v/>
      </c>
      <c r="N128" s="57"/>
      <c r="O128" s="57"/>
      <c r="P128" s="57"/>
      <c r="Q128" s="69" t="str">
        <f>IF(B128="","",AC128-IFERROR(SUMIFS('🌴 الإجازات'!$G:$G,'🌴 الإجازات'!$B:$B,B128,'🌴 الإجازات'!$K:$K,"معتمدة"),0))</f>
        <v/>
      </c>
      <c r="R128" s="57"/>
      <c r="S128" s="57"/>
      <c r="T128" s="61"/>
      <c r="U128" s="73"/>
      <c r="V128" s="73"/>
      <c r="W128" s="73"/>
      <c r="X128" s="73"/>
      <c r="Y128" s="61"/>
      <c r="Z128" s="61"/>
      <c r="AA128" s="61"/>
      <c r="AB128" s="66" t="str">
        <f t="shared" si="16"/>
        <v/>
      </c>
      <c r="AC128" s="74" t="str">
        <f t="shared" si="17"/>
        <v/>
      </c>
      <c r="AD128" s="61" t="str">
        <f t="shared" ca="1" si="18"/>
        <v/>
      </c>
    </row>
    <row r="129" spans="1:30" ht="22.15" customHeight="1" x14ac:dyDescent="0.2">
      <c r="A129" s="53"/>
      <c r="B129" s="53"/>
      <c r="C129" s="53"/>
      <c r="D129" s="53"/>
      <c r="E129" s="53"/>
      <c r="F129" s="53"/>
      <c r="G129" s="53"/>
      <c r="H129" s="62"/>
      <c r="I129" s="62"/>
      <c r="J129" s="62"/>
      <c r="K129" s="67" t="str">
        <f t="shared" si="19"/>
        <v/>
      </c>
      <c r="L129" s="55"/>
      <c r="M129" s="71" t="str">
        <f t="shared" ca="1" si="15"/>
        <v/>
      </c>
      <c r="N129" s="53"/>
      <c r="O129" s="53"/>
      <c r="P129" s="53"/>
      <c r="Q129" s="68" t="str">
        <f>IF(B129="","",AC129-IFERROR(SUMIFS('🌴 الإجازات'!$G:$G,'🌴 الإجازات'!$B:$B,B129,'🌴 الإجازات'!$K:$K,"معتمدة"),0))</f>
        <v/>
      </c>
      <c r="R129" s="53"/>
      <c r="S129" s="53"/>
      <c r="T129" s="50"/>
      <c r="U129" s="72"/>
      <c r="V129" s="72"/>
      <c r="W129" s="72"/>
      <c r="X129" s="72"/>
      <c r="Y129" s="50"/>
      <c r="Z129" s="50"/>
      <c r="AA129" s="50"/>
      <c r="AB129" s="67" t="str">
        <f t="shared" si="16"/>
        <v/>
      </c>
      <c r="AC129" s="44" t="str">
        <f t="shared" si="17"/>
        <v/>
      </c>
      <c r="AD129" s="50" t="str">
        <f t="shared" ca="1" si="18"/>
        <v/>
      </c>
    </row>
    <row r="130" spans="1:30" ht="22.15" customHeight="1" x14ac:dyDescent="0.2">
      <c r="A130" s="57"/>
      <c r="B130" s="57"/>
      <c r="C130" s="57"/>
      <c r="D130" s="57"/>
      <c r="E130" s="57"/>
      <c r="F130" s="57"/>
      <c r="G130" s="57"/>
      <c r="H130" s="63"/>
      <c r="I130" s="63"/>
      <c r="J130" s="63"/>
      <c r="K130" s="66" t="str">
        <f t="shared" si="19"/>
        <v/>
      </c>
      <c r="L130" s="59"/>
      <c r="M130" s="70" t="str">
        <f t="shared" ca="1" si="15"/>
        <v/>
      </c>
      <c r="N130" s="57"/>
      <c r="O130" s="57"/>
      <c r="P130" s="57"/>
      <c r="Q130" s="69" t="str">
        <f>IF(B130="","",AC130-IFERROR(SUMIFS('🌴 الإجازات'!$G:$G,'🌴 الإجازات'!$B:$B,B130,'🌴 الإجازات'!$K:$K,"معتمدة"),0))</f>
        <v/>
      </c>
      <c r="R130" s="57"/>
      <c r="S130" s="57"/>
      <c r="T130" s="61"/>
      <c r="U130" s="73"/>
      <c r="V130" s="73"/>
      <c r="W130" s="73"/>
      <c r="X130" s="73"/>
      <c r="Y130" s="61"/>
      <c r="Z130" s="61"/>
      <c r="AA130" s="61"/>
      <c r="AB130" s="66" t="str">
        <f t="shared" si="16"/>
        <v/>
      </c>
      <c r="AC130" s="74" t="str">
        <f t="shared" si="17"/>
        <v/>
      </c>
      <c r="AD130" s="61" t="str">
        <f t="shared" ca="1" si="18"/>
        <v/>
      </c>
    </row>
    <row r="131" spans="1:30" ht="22.15" customHeight="1" x14ac:dyDescent="0.2">
      <c r="A131" s="53"/>
      <c r="B131" s="53"/>
      <c r="C131" s="53"/>
      <c r="D131" s="53"/>
      <c r="E131" s="53"/>
      <c r="F131" s="53"/>
      <c r="G131" s="53"/>
      <c r="H131" s="62"/>
      <c r="I131" s="62"/>
      <c r="J131" s="62"/>
      <c r="K131" s="67" t="str">
        <f t="shared" si="19"/>
        <v/>
      </c>
      <c r="L131" s="55"/>
      <c r="M131" s="71" t="str">
        <f t="shared" ca="1" si="15"/>
        <v/>
      </c>
      <c r="N131" s="53"/>
      <c r="O131" s="53"/>
      <c r="P131" s="53"/>
      <c r="Q131" s="68" t="str">
        <f>IF(B131="","",AC131-IFERROR(SUMIFS('🌴 الإجازات'!$G:$G,'🌴 الإجازات'!$B:$B,B131,'🌴 الإجازات'!$K:$K,"معتمدة"),0))</f>
        <v/>
      </c>
      <c r="R131" s="53"/>
      <c r="S131" s="53"/>
      <c r="T131" s="50"/>
      <c r="U131" s="72"/>
      <c r="V131" s="72"/>
      <c r="W131" s="72"/>
      <c r="X131" s="72"/>
      <c r="Y131" s="50"/>
      <c r="Z131" s="50"/>
      <c r="AA131" s="50"/>
      <c r="AB131" s="67" t="str">
        <f t="shared" si="16"/>
        <v/>
      </c>
      <c r="AC131" s="44" t="str">
        <f t="shared" si="17"/>
        <v/>
      </c>
      <c r="AD131" s="50" t="str">
        <f t="shared" ca="1" si="18"/>
        <v/>
      </c>
    </row>
    <row r="132" spans="1:30" ht="22.15" customHeight="1" x14ac:dyDescent="0.2">
      <c r="A132" s="57"/>
      <c r="B132" s="57"/>
      <c r="C132" s="57"/>
      <c r="D132" s="57"/>
      <c r="E132" s="57"/>
      <c r="F132" s="57"/>
      <c r="G132" s="57"/>
      <c r="H132" s="63"/>
      <c r="I132" s="63"/>
      <c r="J132" s="63"/>
      <c r="K132" s="66" t="str">
        <f t="shared" si="19"/>
        <v/>
      </c>
      <c r="L132" s="59"/>
      <c r="M132" s="70" t="str">
        <f t="shared" ca="1" si="15"/>
        <v/>
      </c>
      <c r="N132" s="57"/>
      <c r="O132" s="57"/>
      <c r="P132" s="57"/>
      <c r="Q132" s="69" t="str">
        <f>IF(B132="","",AC132-IFERROR(SUMIFS('🌴 الإجازات'!$G:$G,'🌴 الإجازات'!$B:$B,B132,'🌴 الإجازات'!$K:$K,"معتمدة"),0))</f>
        <v/>
      </c>
      <c r="R132" s="57"/>
      <c r="S132" s="57"/>
      <c r="T132" s="61"/>
      <c r="U132" s="73"/>
      <c r="V132" s="73"/>
      <c r="W132" s="73"/>
      <c r="X132" s="73"/>
      <c r="Y132" s="61"/>
      <c r="Z132" s="61"/>
      <c r="AA132" s="61"/>
      <c r="AB132" s="66" t="str">
        <f t="shared" si="16"/>
        <v/>
      </c>
      <c r="AC132" s="74" t="str">
        <f t="shared" si="17"/>
        <v/>
      </c>
      <c r="AD132" s="61" t="str">
        <f t="shared" ca="1" si="18"/>
        <v/>
      </c>
    </row>
    <row r="133" spans="1:30" ht="22.15" customHeight="1" x14ac:dyDescent="0.2">
      <c r="A133" s="53"/>
      <c r="B133" s="53"/>
      <c r="C133" s="53"/>
      <c r="D133" s="53"/>
      <c r="E133" s="53"/>
      <c r="F133" s="53"/>
      <c r="G133" s="53"/>
      <c r="H133" s="62"/>
      <c r="I133" s="62"/>
      <c r="J133" s="62"/>
      <c r="K133" s="67" t="str">
        <f t="shared" si="19"/>
        <v/>
      </c>
      <c r="L133" s="55"/>
      <c r="M133" s="71" t="str">
        <f t="shared" ref="M133:M164" ca="1" si="20">IF(L133&lt;&gt;"",DATEDIF(L133,TODAY(),"Y"),"")</f>
        <v/>
      </c>
      <c r="N133" s="53"/>
      <c r="O133" s="53"/>
      <c r="P133" s="53"/>
      <c r="Q133" s="68" t="str">
        <f>IF(B133="","",AC133-IFERROR(SUMIFS('🌴 الإجازات'!$G:$G,'🌴 الإجازات'!$B:$B,B133,'🌴 الإجازات'!$K:$K,"معتمدة"),0))</f>
        <v/>
      </c>
      <c r="R133" s="53"/>
      <c r="S133" s="53"/>
      <c r="T133" s="50"/>
      <c r="U133" s="72"/>
      <c r="V133" s="72"/>
      <c r="W133" s="72"/>
      <c r="X133" s="72"/>
      <c r="Y133" s="50"/>
      <c r="Z133" s="50"/>
      <c r="AA133" s="50"/>
      <c r="AB133" s="67" t="str">
        <f t="shared" ref="AB133:AB164" si="21">IF(AND(B133&lt;&gt;"",L133&lt;&gt;""),(0.5*H133*MIN(M133,5))+(1*H133*MAX(0,M133-5)),"")</f>
        <v/>
      </c>
      <c r="AC133" s="44" t="str">
        <f t="shared" ref="AC133:AC164" si="22">IF(B133&lt;&gt;"",IF(IFERROR(M133,0)&gt;=5,LeaveDaysSenior,LeaveDaysJunior),"")</f>
        <v/>
      </c>
      <c r="AD133" s="50" t="str">
        <f t="shared" ref="AD133:AD164" ca="1" si="23">IF(B133="","",IF(AND(X133&lt;&gt;"",X133-TODAY()&lt;=ExpiryWarnDays,X133-TODAY()&gt;=0),"⚠️ إقامة تنتهي خلال "&amp;(X133-TODAY())&amp;" يوم",IF(AND(V133&lt;&gt;"",V133-TODAY()&lt;=ExpiryWarnDays,V133-TODAY()&gt;=0),"⚠️ عقد ينتهي خلال "&amp;(V133-TODAY())&amp;" يوم",IF(AND(W133&lt;&gt;"",W133-TODAY()&lt;=30,W133-TODAY()&gt;=0),"🟡 تجربة تنتهي خلال "&amp;(W133-TODAY())&amp;" يوم",""))))</f>
        <v/>
      </c>
    </row>
    <row r="134" spans="1:30" ht="22.15" customHeight="1" x14ac:dyDescent="0.2">
      <c r="A134" s="57"/>
      <c r="B134" s="57"/>
      <c r="C134" s="57"/>
      <c r="D134" s="57"/>
      <c r="E134" s="57"/>
      <c r="F134" s="57"/>
      <c r="G134" s="57"/>
      <c r="H134" s="63"/>
      <c r="I134" s="63"/>
      <c r="J134" s="63"/>
      <c r="K134" s="66" t="str">
        <f t="shared" si="19"/>
        <v/>
      </c>
      <c r="L134" s="59"/>
      <c r="M134" s="70" t="str">
        <f t="shared" ca="1" si="20"/>
        <v/>
      </c>
      <c r="N134" s="57"/>
      <c r="O134" s="57"/>
      <c r="P134" s="57"/>
      <c r="Q134" s="69" t="str">
        <f>IF(B134="","",AC134-IFERROR(SUMIFS('🌴 الإجازات'!$G:$G,'🌴 الإجازات'!$B:$B,B134,'🌴 الإجازات'!$K:$K,"معتمدة"),0))</f>
        <v/>
      </c>
      <c r="R134" s="57"/>
      <c r="S134" s="57"/>
      <c r="T134" s="61"/>
      <c r="U134" s="73"/>
      <c r="V134" s="73"/>
      <c r="W134" s="73"/>
      <c r="X134" s="73"/>
      <c r="Y134" s="61"/>
      <c r="Z134" s="61"/>
      <c r="AA134" s="61"/>
      <c r="AB134" s="66" t="str">
        <f t="shared" si="21"/>
        <v/>
      </c>
      <c r="AC134" s="74" t="str">
        <f t="shared" si="22"/>
        <v/>
      </c>
      <c r="AD134" s="61" t="str">
        <f t="shared" ca="1" si="23"/>
        <v/>
      </c>
    </row>
    <row r="135" spans="1:30" ht="22.15" customHeight="1" x14ac:dyDescent="0.2">
      <c r="A135" s="53"/>
      <c r="B135" s="53"/>
      <c r="C135" s="53"/>
      <c r="D135" s="53"/>
      <c r="E135" s="53"/>
      <c r="F135" s="53"/>
      <c r="G135" s="53"/>
      <c r="H135" s="62"/>
      <c r="I135" s="62"/>
      <c r="J135" s="62"/>
      <c r="K135" s="67" t="str">
        <f t="shared" si="19"/>
        <v/>
      </c>
      <c r="L135" s="55"/>
      <c r="M135" s="71" t="str">
        <f t="shared" ca="1" si="20"/>
        <v/>
      </c>
      <c r="N135" s="53"/>
      <c r="O135" s="53"/>
      <c r="P135" s="53"/>
      <c r="Q135" s="68" t="str">
        <f>IF(B135="","",AC135-IFERROR(SUMIFS('🌴 الإجازات'!$G:$G,'🌴 الإجازات'!$B:$B,B135,'🌴 الإجازات'!$K:$K,"معتمدة"),0))</f>
        <v/>
      </c>
      <c r="R135" s="53"/>
      <c r="S135" s="53"/>
      <c r="T135" s="50"/>
      <c r="U135" s="72"/>
      <c r="V135" s="72"/>
      <c r="W135" s="72"/>
      <c r="X135" s="72"/>
      <c r="Y135" s="50"/>
      <c r="Z135" s="50"/>
      <c r="AA135" s="50"/>
      <c r="AB135" s="67" t="str">
        <f t="shared" si="21"/>
        <v/>
      </c>
      <c r="AC135" s="44" t="str">
        <f t="shared" si="22"/>
        <v/>
      </c>
      <c r="AD135" s="50" t="str">
        <f t="shared" ca="1" si="23"/>
        <v/>
      </c>
    </row>
    <row r="136" spans="1:30" ht="22.15" customHeight="1" x14ac:dyDescent="0.2">
      <c r="A136" s="57"/>
      <c r="B136" s="57"/>
      <c r="C136" s="57"/>
      <c r="D136" s="57"/>
      <c r="E136" s="57"/>
      <c r="F136" s="57"/>
      <c r="G136" s="57"/>
      <c r="H136" s="63"/>
      <c r="I136" s="63"/>
      <c r="J136" s="63"/>
      <c r="K136" s="66" t="str">
        <f t="shared" si="19"/>
        <v/>
      </c>
      <c r="L136" s="59"/>
      <c r="M136" s="70" t="str">
        <f t="shared" ca="1" si="20"/>
        <v/>
      </c>
      <c r="N136" s="57"/>
      <c r="O136" s="57"/>
      <c r="P136" s="57"/>
      <c r="Q136" s="69" t="str">
        <f>IF(B136="","",AC136-IFERROR(SUMIFS('🌴 الإجازات'!$G:$G,'🌴 الإجازات'!$B:$B,B136,'🌴 الإجازات'!$K:$K,"معتمدة"),0))</f>
        <v/>
      </c>
      <c r="R136" s="57"/>
      <c r="S136" s="57"/>
      <c r="T136" s="61"/>
      <c r="U136" s="73"/>
      <c r="V136" s="73"/>
      <c r="W136" s="73"/>
      <c r="X136" s="73"/>
      <c r="Y136" s="61"/>
      <c r="Z136" s="61"/>
      <c r="AA136" s="61"/>
      <c r="AB136" s="66" t="str">
        <f t="shared" si="21"/>
        <v/>
      </c>
      <c r="AC136" s="74" t="str">
        <f t="shared" si="22"/>
        <v/>
      </c>
      <c r="AD136" s="61" t="str">
        <f t="shared" ca="1" si="23"/>
        <v/>
      </c>
    </row>
    <row r="137" spans="1:30" ht="22.15" customHeight="1" x14ac:dyDescent="0.2">
      <c r="A137" s="53"/>
      <c r="B137" s="53"/>
      <c r="C137" s="53"/>
      <c r="D137" s="53"/>
      <c r="E137" s="53"/>
      <c r="F137" s="53"/>
      <c r="G137" s="53"/>
      <c r="H137" s="62"/>
      <c r="I137" s="62"/>
      <c r="J137" s="62"/>
      <c r="K137" s="67" t="str">
        <f t="shared" si="19"/>
        <v/>
      </c>
      <c r="L137" s="55"/>
      <c r="M137" s="71" t="str">
        <f t="shared" ca="1" si="20"/>
        <v/>
      </c>
      <c r="N137" s="53"/>
      <c r="O137" s="53"/>
      <c r="P137" s="53"/>
      <c r="Q137" s="68" t="str">
        <f>IF(B137="","",AC137-IFERROR(SUMIFS('🌴 الإجازات'!$G:$G,'🌴 الإجازات'!$B:$B,B137,'🌴 الإجازات'!$K:$K,"معتمدة"),0))</f>
        <v/>
      </c>
      <c r="R137" s="53"/>
      <c r="S137" s="53"/>
      <c r="T137" s="50"/>
      <c r="U137" s="72"/>
      <c r="V137" s="72"/>
      <c r="W137" s="72"/>
      <c r="X137" s="72"/>
      <c r="Y137" s="50"/>
      <c r="Z137" s="50"/>
      <c r="AA137" s="50"/>
      <c r="AB137" s="67" t="str">
        <f t="shared" si="21"/>
        <v/>
      </c>
      <c r="AC137" s="44" t="str">
        <f t="shared" si="22"/>
        <v/>
      </c>
      <c r="AD137" s="50" t="str">
        <f t="shared" ca="1" si="23"/>
        <v/>
      </c>
    </row>
    <row r="138" spans="1:30" ht="22.15" customHeight="1" x14ac:dyDescent="0.2">
      <c r="A138" s="57"/>
      <c r="B138" s="57"/>
      <c r="C138" s="57"/>
      <c r="D138" s="57"/>
      <c r="E138" s="57"/>
      <c r="F138" s="57"/>
      <c r="G138" s="57"/>
      <c r="H138" s="63"/>
      <c r="I138" s="63"/>
      <c r="J138" s="63"/>
      <c r="K138" s="66" t="str">
        <f t="shared" ref="K138:K169" si="24">IF(H138&lt;&gt;"",H138+I138+J138,"")</f>
        <v/>
      </c>
      <c r="L138" s="59"/>
      <c r="M138" s="70" t="str">
        <f t="shared" ca="1" si="20"/>
        <v/>
      </c>
      <c r="N138" s="57"/>
      <c r="O138" s="57"/>
      <c r="P138" s="57"/>
      <c r="Q138" s="69" t="str">
        <f>IF(B138="","",AC138-IFERROR(SUMIFS('🌴 الإجازات'!$G:$G,'🌴 الإجازات'!$B:$B,B138,'🌴 الإجازات'!$K:$K,"معتمدة"),0))</f>
        <v/>
      </c>
      <c r="R138" s="57"/>
      <c r="S138" s="57"/>
      <c r="T138" s="61"/>
      <c r="U138" s="73"/>
      <c r="V138" s="73"/>
      <c r="W138" s="73"/>
      <c r="X138" s="73"/>
      <c r="Y138" s="61"/>
      <c r="Z138" s="61"/>
      <c r="AA138" s="61"/>
      <c r="AB138" s="66" t="str">
        <f t="shared" si="21"/>
        <v/>
      </c>
      <c r="AC138" s="74" t="str">
        <f t="shared" si="22"/>
        <v/>
      </c>
      <c r="AD138" s="61" t="str">
        <f t="shared" ca="1" si="23"/>
        <v/>
      </c>
    </row>
    <row r="139" spans="1:30" ht="22.15" customHeight="1" x14ac:dyDescent="0.2">
      <c r="A139" s="53"/>
      <c r="B139" s="53"/>
      <c r="C139" s="53"/>
      <c r="D139" s="53"/>
      <c r="E139" s="53"/>
      <c r="F139" s="53"/>
      <c r="G139" s="53"/>
      <c r="H139" s="62"/>
      <c r="I139" s="62"/>
      <c r="J139" s="62"/>
      <c r="K139" s="67" t="str">
        <f t="shared" si="24"/>
        <v/>
      </c>
      <c r="L139" s="55"/>
      <c r="M139" s="71" t="str">
        <f t="shared" ca="1" si="20"/>
        <v/>
      </c>
      <c r="N139" s="53"/>
      <c r="O139" s="53"/>
      <c r="P139" s="53"/>
      <c r="Q139" s="68" t="str">
        <f>IF(B139="","",AC139-IFERROR(SUMIFS('🌴 الإجازات'!$G:$G,'🌴 الإجازات'!$B:$B,B139,'🌴 الإجازات'!$K:$K,"معتمدة"),0))</f>
        <v/>
      </c>
      <c r="R139" s="53"/>
      <c r="S139" s="53"/>
      <c r="T139" s="50"/>
      <c r="U139" s="72"/>
      <c r="V139" s="72"/>
      <c r="W139" s="72"/>
      <c r="X139" s="72"/>
      <c r="Y139" s="50"/>
      <c r="Z139" s="50"/>
      <c r="AA139" s="50"/>
      <c r="AB139" s="67" t="str">
        <f t="shared" si="21"/>
        <v/>
      </c>
      <c r="AC139" s="44" t="str">
        <f t="shared" si="22"/>
        <v/>
      </c>
      <c r="AD139" s="50" t="str">
        <f t="shared" ca="1" si="23"/>
        <v/>
      </c>
    </row>
    <row r="140" spans="1:30" ht="22.15" customHeight="1" x14ac:dyDescent="0.2">
      <c r="A140" s="57"/>
      <c r="B140" s="57"/>
      <c r="C140" s="57"/>
      <c r="D140" s="57"/>
      <c r="E140" s="57"/>
      <c r="F140" s="57"/>
      <c r="G140" s="57"/>
      <c r="H140" s="63"/>
      <c r="I140" s="63"/>
      <c r="J140" s="63"/>
      <c r="K140" s="66" t="str">
        <f t="shared" si="24"/>
        <v/>
      </c>
      <c r="L140" s="59"/>
      <c r="M140" s="70" t="str">
        <f t="shared" ca="1" si="20"/>
        <v/>
      </c>
      <c r="N140" s="57"/>
      <c r="O140" s="57"/>
      <c r="P140" s="57"/>
      <c r="Q140" s="69" t="str">
        <f>IF(B140="","",AC140-IFERROR(SUMIFS('🌴 الإجازات'!$G:$G,'🌴 الإجازات'!$B:$B,B140,'🌴 الإجازات'!$K:$K,"معتمدة"),0))</f>
        <v/>
      </c>
      <c r="R140" s="57"/>
      <c r="S140" s="57"/>
      <c r="T140" s="61"/>
      <c r="U140" s="73"/>
      <c r="V140" s="73"/>
      <c r="W140" s="73"/>
      <c r="X140" s="73"/>
      <c r="Y140" s="61"/>
      <c r="Z140" s="61"/>
      <c r="AA140" s="61"/>
      <c r="AB140" s="66" t="str">
        <f t="shared" si="21"/>
        <v/>
      </c>
      <c r="AC140" s="74" t="str">
        <f t="shared" si="22"/>
        <v/>
      </c>
      <c r="AD140" s="61" t="str">
        <f t="shared" ca="1" si="23"/>
        <v/>
      </c>
    </row>
    <row r="141" spans="1:30" ht="22.15" customHeight="1" x14ac:dyDescent="0.2">
      <c r="A141" s="53"/>
      <c r="B141" s="53"/>
      <c r="C141" s="53"/>
      <c r="D141" s="53"/>
      <c r="E141" s="53"/>
      <c r="F141" s="53"/>
      <c r="G141" s="53"/>
      <c r="H141" s="62"/>
      <c r="I141" s="62"/>
      <c r="J141" s="62"/>
      <c r="K141" s="67" t="str">
        <f t="shared" si="24"/>
        <v/>
      </c>
      <c r="L141" s="55"/>
      <c r="M141" s="71" t="str">
        <f t="shared" ca="1" si="20"/>
        <v/>
      </c>
      <c r="N141" s="53"/>
      <c r="O141" s="53"/>
      <c r="P141" s="53"/>
      <c r="Q141" s="68" t="str">
        <f>IF(B141="","",AC141-IFERROR(SUMIFS('🌴 الإجازات'!$G:$G,'🌴 الإجازات'!$B:$B,B141,'🌴 الإجازات'!$K:$K,"معتمدة"),0))</f>
        <v/>
      </c>
      <c r="R141" s="53"/>
      <c r="S141" s="53"/>
      <c r="T141" s="50"/>
      <c r="U141" s="72"/>
      <c r="V141" s="72"/>
      <c r="W141" s="72"/>
      <c r="X141" s="72"/>
      <c r="Y141" s="50"/>
      <c r="Z141" s="50"/>
      <c r="AA141" s="50"/>
      <c r="AB141" s="67" t="str">
        <f t="shared" si="21"/>
        <v/>
      </c>
      <c r="AC141" s="44" t="str">
        <f t="shared" si="22"/>
        <v/>
      </c>
      <c r="AD141" s="50" t="str">
        <f t="shared" ca="1" si="23"/>
        <v/>
      </c>
    </row>
    <row r="142" spans="1:30" ht="22.15" customHeight="1" x14ac:dyDescent="0.2">
      <c r="A142" s="57"/>
      <c r="B142" s="57"/>
      <c r="C142" s="57"/>
      <c r="D142" s="57"/>
      <c r="E142" s="57"/>
      <c r="F142" s="57"/>
      <c r="G142" s="57"/>
      <c r="H142" s="63"/>
      <c r="I142" s="63"/>
      <c r="J142" s="63"/>
      <c r="K142" s="66" t="str">
        <f t="shared" si="24"/>
        <v/>
      </c>
      <c r="L142" s="59"/>
      <c r="M142" s="70" t="str">
        <f t="shared" ca="1" si="20"/>
        <v/>
      </c>
      <c r="N142" s="57"/>
      <c r="O142" s="57"/>
      <c r="P142" s="57"/>
      <c r="Q142" s="69" t="str">
        <f>IF(B142="","",AC142-IFERROR(SUMIFS('🌴 الإجازات'!$G:$G,'🌴 الإجازات'!$B:$B,B142,'🌴 الإجازات'!$K:$K,"معتمدة"),0))</f>
        <v/>
      </c>
      <c r="R142" s="57"/>
      <c r="S142" s="57"/>
      <c r="T142" s="61"/>
      <c r="U142" s="73"/>
      <c r="V142" s="73"/>
      <c r="W142" s="73"/>
      <c r="X142" s="73"/>
      <c r="Y142" s="61"/>
      <c r="Z142" s="61"/>
      <c r="AA142" s="61"/>
      <c r="AB142" s="66" t="str">
        <f t="shared" si="21"/>
        <v/>
      </c>
      <c r="AC142" s="74" t="str">
        <f t="shared" si="22"/>
        <v/>
      </c>
      <c r="AD142" s="61" t="str">
        <f t="shared" ca="1" si="23"/>
        <v/>
      </c>
    </row>
    <row r="143" spans="1:30" ht="22.15" customHeight="1" x14ac:dyDescent="0.2">
      <c r="A143" s="53"/>
      <c r="B143" s="53"/>
      <c r="C143" s="53"/>
      <c r="D143" s="53"/>
      <c r="E143" s="53"/>
      <c r="F143" s="53"/>
      <c r="G143" s="53"/>
      <c r="H143" s="62"/>
      <c r="I143" s="62"/>
      <c r="J143" s="62"/>
      <c r="K143" s="67" t="str">
        <f t="shared" si="24"/>
        <v/>
      </c>
      <c r="L143" s="55"/>
      <c r="M143" s="71" t="str">
        <f t="shared" ca="1" si="20"/>
        <v/>
      </c>
      <c r="N143" s="53"/>
      <c r="O143" s="53"/>
      <c r="P143" s="53"/>
      <c r="Q143" s="68" t="str">
        <f>IF(B143="","",AC143-IFERROR(SUMIFS('🌴 الإجازات'!$G:$G,'🌴 الإجازات'!$B:$B,B143,'🌴 الإجازات'!$K:$K,"معتمدة"),0))</f>
        <v/>
      </c>
      <c r="R143" s="53"/>
      <c r="S143" s="53"/>
      <c r="T143" s="50"/>
      <c r="U143" s="72"/>
      <c r="V143" s="72"/>
      <c r="W143" s="72"/>
      <c r="X143" s="72"/>
      <c r="Y143" s="50"/>
      <c r="Z143" s="50"/>
      <c r="AA143" s="50"/>
      <c r="AB143" s="67" t="str">
        <f t="shared" si="21"/>
        <v/>
      </c>
      <c r="AC143" s="44" t="str">
        <f t="shared" si="22"/>
        <v/>
      </c>
      <c r="AD143" s="50" t="str">
        <f t="shared" ca="1" si="23"/>
        <v/>
      </c>
    </row>
    <row r="144" spans="1:30" ht="22.15" customHeight="1" x14ac:dyDescent="0.2">
      <c r="A144" s="57"/>
      <c r="B144" s="57"/>
      <c r="C144" s="57"/>
      <c r="D144" s="57"/>
      <c r="E144" s="57"/>
      <c r="F144" s="57"/>
      <c r="G144" s="57"/>
      <c r="H144" s="63"/>
      <c r="I144" s="63"/>
      <c r="J144" s="63"/>
      <c r="K144" s="66" t="str">
        <f t="shared" si="24"/>
        <v/>
      </c>
      <c r="L144" s="59"/>
      <c r="M144" s="70" t="str">
        <f t="shared" ca="1" si="20"/>
        <v/>
      </c>
      <c r="N144" s="57"/>
      <c r="O144" s="57"/>
      <c r="P144" s="57"/>
      <c r="Q144" s="69" t="str">
        <f>IF(B144="","",AC144-IFERROR(SUMIFS('🌴 الإجازات'!$G:$G,'🌴 الإجازات'!$B:$B,B144,'🌴 الإجازات'!$K:$K,"معتمدة"),0))</f>
        <v/>
      </c>
      <c r="R144" s="57"/>
      <c r="S144" s="57"/>
      <c r="T144" s="61"/>
      <c r="U144" s="73"/>
      <c r="V144" s="73"/>
      <c r="W144" s="73"/>
      <c r="X144" s="73"/>
      <c r="Y144" s="61"/>
      <c r="Z144" s="61"/>
      <c r="AA144" s="61"/>
      <c r="AB144" s="66" t="str">
        <f t="shared" si="21"/>
        <v/>
      </c>
      <c r="AC144" s="74" t="str">
        <f t="shared" si="22"/>
        <v/>
      </c>
      <c r="AD144" s="61" t="str">
        <f t="shared" ca="1" si="23"/>
        <v/>
      </c>
    </row>
    <row r="145" spans="1:30" ht="22.15" customHeight="1" x14ac:dyDescent="0.2">
      <c r="A145" s="53"/>
      <c r="B145" s="53"/>
      <c r="C145" s="53"/>
      <c r="D145" s="53"/>
      <c r="E145" s="53"/>
      <c r="F145" s="53"/>
      <c r="G145" s="53"/>
      <c r="H145" s="62"/>
      <c r="I145" s="62"/>
      <c r="J145" s="62"/>
      <c r="K145" s="67" t="str">
        <f t="shared" si="24"/>
        <v/>
      </c>
      <c r="L145" s="55"/>
      <c r="M145" s="71" t="str">
        <f t="shared" ca="1" si="20"/>
        <v/>
      </c>
      <c r="N145" s="53"/>
      <c r="O145" s="53"/>
      <c r="P145" s="53"/>
      <c r="Q145" s="68" t="str">
        <f>IF(B145="","",AC145-IFERROR(SUMIFS('🌴 الإجازات'!$G:$G,'🌴 الإجازات'!$B:$B,B145,'🌴 الإجازات'!$K:$K,"معتمدة"),0))</f>
        <v/>
      </c>
      <c r="R145" s="53"/>
      <c r="S145" s="53"/>
      <c r="T145" s="50"/>
      <c r="U145" s="72"/>
      <c r="V145" s="72"/>
      <c r="W145" s="72"/>
      <c r="X145" s="72"/>
      <c r="Y145" s="50"/>
      <c r="Z145" s="50"/>
      <c r="AA145" s="50"/>
      <c r="AB145" s="67" t="str">
        <f t="shared" si="21"/>
        <v/>
      </c>
      <c r="AC145" s="44" t="str">
        <f t="shared" si="22"/>
        <v/>
      </c>
      <c r="AD145" s="50" t="str">
        <f t="shared" ca="1" si="23"/>
        <v/>
      </c>
    </row>
    <row r="146" spans="1:30" ht="22.15" customHeight="1" x14ac:dyDescent="0.2">
      <c r="A146" s="57"/>
      <c r="B146" s="57"/>
      <c r="C146" s="57"/>
      <c r="D146" s="57"/>
      <c r="E146" s="57"/>
      <c r="F146" s="57"/>
      <c r="G146" s="57"/>
      <c r="H146" s="63"/>
      <c r="I146" s="63"/>
      <c r="J146" s="63"/>
      <c r="K146" s="66" t="str">
        <f t="shared" si="24"/>
        <v/>
      </c>
      <c r="L146" s="59"/>
      <c r="M146" s="70" t="str">
        <f t="shared" ca="1" si="20"/>
        <v/>
      </c>
      <c r="N146" s="57"/>
      <c r="O146" s="57"/>
      <c r="P146" s="57"/>
      <c r="Q146" s="69" t="str">
        <f>IF(B146="","",AC146-IFERROR(SUMIFS('🌴 الإجازات'!$G:$G,'🌴 الإجازات'!$B:$B,B146,'🌴 الإجازات'!$K:$K,"معتمدة"),0))</f>
        <v/>
      </c>
      <c r="R146" s="57"/>
      <c r="S146" s="57"/>
      <c r="T146" s="61"/>
      <c r="U146" s="73"/>
      <c r="V146" s="73"/>
      <c r="W146" s="73"/>
      <c r="X146" s="73"/>
      <c r="Y146" s="61"/>
      <c r="Z146" s="61"/>
      <c r="AA146" s="61"/>
      <c r="AB146" s="66" t="str">
        <f t="shared" si="21"/>
        <v/>
      </c>
      <c r="AC146" s="74" t="str">
        <f t="shared" si="22"/>
        <v/>
      </c>
      <c r="AD146" s="61" t="str">
        <f t="shared" ca="1" si="23"/>
        <v/>
      </c>
    </row>
    <row r="147" spans="1:30" ht="22.15" customHeight="1" x14ac:dyDescent="0.2">
      <c r="A147" s="53"/>
      <c r="B147" s="53"/>
      <c r="C147" s="53"/>
      <c r="D147" s="53"/>
      <c r="E147" s="53"/>
      <c r="F147" s="53"/>
      <c r="G147" s="53"/>
      <c r="H147" s="62"/>
      <c r="I147" s="62"/>
      <c r="J147" s="62"/>
      <c r="K147" s="67" t="str">
        <f t="shared" si="24"/>
        <v/>
      </c>
      <c r="L147" s="55"/>
      <c r="M147" s="71" t="str">
        <f t="shared" ca="1" si="20"/>
        <v/>
      </c>
      <c r="N147" s="53"/>
      <c r="O147" s="53"/>
      <c r="P147" s="53"/>
      <c r="Q147" s="68" t="str">
        <f>IF(B147="","",AC147-IFERROR(SUMIFS('🌴 الإجازات'!$G:$G,'🌴 الإجازات'!$B:$B,B147,'🌴 الإجازات'!$K:$K,"معتمدة"),0))</f>
        <v/>
      </c>
      <c r="R147" s="53"/>
      <c r="S147" s="53"/>
      <c r="T147" s="50"/>
      <c r="U147" s="72"/>
      <c r="V147" s="72"/>
      <c r="W147" s="72"/>
      <c r="X147" s="72"/>
      <c r="Y147" s="50"/>
      <c r="Z147" s="50"/>
      <c r="AA147" s="50"/>
      <c r="AB147" s="67" t="str">
        <f t="shared" si="21"/>
        <v/>
      </c>
      <c r="AC147" s="44" t="str">
        <f t="shared" si="22"/>
        <v/>
      </c>
      <c r="AD147" s="50" t="str">
        <f t="shared" ca="1" si="23"/>
        <v/>
      </c>
    </row>
    <row r="148" spans="1:30" ht="22.15" customHeight="1" x14ac:dyDescent="0.2">
      <c r="A148" s="57"/>
      <c r="B148" s="57"/>
      <c r="C148" s="57"/>
      <c r="D148" s="57"/>
      <c r="E148" s="57"/>
      <c r="F148" s="57"/>
      <c r="G148" s="57"/>
      <c r="H148" s="63"/>
      <c r="I148" s="63"/>
      <c r="J148" s="63"/>
      <c r="K148" s="66" t="str">
        <f t="shared" si="24"/>
        <v/>
      </c>
      <c r="L148" s="59"/>
      <c r="M148" s="70" t="str">
        <f t="shared" ca="1" si="20"/>
        <v/>
      </c>
      <c r="N148" s="57"/>
      <c r="O148" s="57"/>
      <c r="P148" s="57"/>
      <c r="Q148" s="69" t="str">
        <f>IF(B148="","",AC148-IFERROR(SUMIFS('🌴 الإجازات'!$G:$G,'🌴 الإجازات'!$B:$B,B148,'🌴 الإجازات'!$K:$K,"معتمدة"),0))</f>
        <v/>
      </c>
      <c r="R148" s="57"/>
      <c r="S148" s="57"/>
      <c r="T148" s="61"/>
      <c r="U148" s="73"/>
      <c r="V148" s="73"/>
      <c r="W148" s="73"/>
      <c r="X148" s="73"/>
      <c r="Y148" s="61"/>
      <c r="Z148" s="61"/>
      <c r="AA148" s="61"/>
      <c r="AB148" s="66" t="str">
        <f t="shared" si="21"/>
        <v/>
      </c>
      <c r="AC148" s="74" t="str">
        <f t="shared" si="22"/>
        <v/>
      </c>
      <c r="AD148" s="61" t="str">
        <f t="shared" ca="1" si="23"/>
        <v/>
      </c>
    </row>
    <row r="149" spans="1:30" ht="22.15" customHeight="1" x14ac:dyDescent="0.2">
      <c r="A149" s="53"/>
      <c r="B149" s="53"/>
      <c r="C149" s="53"/>
      <c r="D149" s="53"/>
      <c r="E149" s="53"/>
      <c r="F149" s="53"/>
      <c r="G149" s="53"/>
      <c r="H149" s="62"/>
      <c r="I149" s="62"/>
      <c r="J149" s="62"/>
      <c r="K149" s="67" t="str">
        <f t="shared" si="24"/>
        <v/>
      </c>
      <c r="L149" s="55"/>
      <c r="M149" s="71" t="str">
        <f t="shared" ca="1" si="20"/>
        <v/>
      </c>
      <c r="N149" s="53"/>
      <c r="O149" s="53"/>
      <c r="P149" s="53"/>
      <c r="Q149" s="68" t="str">
        <f>IF(B149="","",AC149-IFERROR(SUMIFS('🌴 الإجازات'!$G:$G,'🌴 الإجازات'!$B:$B,B149,'🌴 الإجازات'!$K:$K,"معتمدة"),0))</f>
        <v/>
      </c>
      <c r="R149" s="53"/>
      <c r="S149" s="53"/>
      <c r="T149" s="50"/>
      <c r="U149" s="72"/>
      <c r="V149" s="72"/>
      <c r="W149" s="72"/>
      <c r="X149" s="72"/>
      <c r="Y149" s="50"/>
      <c r="Z149" s="50"/>
      <c r="AA149" s="50"/>
      <c r="AB149" s="67" t="str">
        <f t="shared" si="21"/>
        <v/>
      </c>
      <c r="AC149" s="44" t="str">
        <f t="shared" si="22"/>
        <v/>
      </c>
      <c r="AD149" s="50" t="str">
        <f t="shared" ca="1" si="23"/>
        <v/>
      </c>
    </row>
    <row r="150" spans="1:30" ht="22.15" customHeight="1" x14ac:dyDescent="0.2">
      <c r="A150" s="57"/>
      <c r="B150" s="57"/>
      <c r="C150" s="57"/>
      <c r="D150" s="57"/>
      <c r="E150" s="57"/>
      <c r="F150" s="57"/>
      <c r="G150" s="57"/>
      <c r="H150" s="63"/>
      <c r="I150" s="63"/>
      <c r="J150" s="63"/>
      <c r="K150" s="66" t="str">
        <f t="shared" si="24"/>
        <v/>
      </c>
      <c r="L150" s="59"/>
      <c r="M150" s="70" t="str">
        <f t="shared" ca="1" si="20"/>
        <v/>
      </c>
      <c r="N150" s="57"/>
      <c r="O150" s="57"/>
      <c r="P150" s="57"/>
      <c r="Q150" s="69" t="str">
        <f>IF(B150="","",AC150-IFERROR(SUMIFS('🌴 الإجازات'!$G:$G,'🌴 الإجازات'!$B:$B,B150,'🌴 الإجازات'!$K:$K,"معتمدة"),0))</f>
        <v/>
      </c>
      <c r="R150" s="57"/>
      <c r="S150" s="57"/>
      <c r="T150" s="61"/>
      <c r="U150" s="73"/>
      <c r="V150" s="73"/>
      <c r="W150" s="73"/>
      <c r="X150" s="73"/>
      <c r="Y150" s="61"/>
      <c r="Z150" s="61"/>
      <c r="AA150" s="61"/>
      <c r="AB150" s="66" t="str">
        <f t="shared" si="21"/>
        <v/>
      </c>
      <c r="AC150" s="74" t="str">
        <f t="shared" si="22"/>
        <v/>
      </c>
      <c r="AD150" s="61" t="str">
        <f t="shared" ca="1" si="23"/>
        <v/>
      </c>
    </row>
    <row r="151" spans="1:30" ht="22.15" customHeight="1" x14ac:dyDescent="0.2">
      <c r="A151" s="53"/>
      <c r="B151" s="53"/>
      <c r="C151" s="53"/>
      <c r="D151" s="53"/>
      <c r="E151" s="53"/>
      <c r="F151" s="53"/>
      <c r="G151" s="53"/>
      <c r="H151" s="62"/>
      <c r="I151" s="62"/>
      <c r="J151" s="62"/>
      <c r="K151" s="67" t="str">
        <f t="shared" si="24"/>
        <v/>
      </c>
      <c r="L151" s="55"/>
      <c r="M151" s="71" t="str">
        <f t="shared" ca="1" si="20"/>
        <v/>
      </c>
      <c r="N151" s="53"/>
      <c r="O151" s="53"/>
      <c r="P151" s="53"/>
      <c r="Q151" s="68" t="str">
        <f>IF(B151="","",AC151-IFERROR(SUMIFS('🌴 الإجازات'!$G:$G,'🌴 الإجازات'!$B:$B,B151,'🌴 الإجازات'!$K:$K,"معتمدة"),0))</f>
        <v/>
      </c>
      <c r="R151" s="53"/>
      <c r="S151" s="53"/>
      <c r="T151" s="50"/>
      <c r="U151" s="72"/>
      <c r="V151" s="72"/>
      <c r="W151" s="72"/>
      <c r="X151" s="72"/>
      <c r="Y151" s="50"/>
      <c r="Z151" s="50"/>
      <c r="AA151" s="50"/>
      <c r="AB151" s="67" t="str">
        <f t="shared" si="21"/>
        <v/>
      </c>
      <c r="AC151" s="44" t="str">
        <f t="shared" si="22"/>
        <v/>
      </c>
      <c r="AD151" s="50" t="str">
        <f t="shared" ca="1" si="23"/>
        <v/>
      </c>
    </row>
    <row r="152" spans="1:30" ht="22.15" customHeight="1" x14ac:dyDescent="0.2">
      <c r="A152" s="57"/>
      <c r="B152" s="57"/>
      <c r="C152" s="57"/>
      <c r="D152" s="57"/>
      <c r="E152" s="57"/>
      <c r="F152" s="57"/>
      <c r="G152" s="57"/>
      <c r="H152" s="63"/>
      <c r="I152" s="63"/>
      <c r="J152" s="63"/>
      <c r="K152" s="66" t="str">
        <f t="shared" si="24"/>
        <v/>
      </c>
      <c r="L152" s="59"/>
      <c r="M152" s="70" t="str">
        <f t="shared" ca="1" si="20"/>
        <v/>
      </c>
      <c r="N152" s="57"/>
      <c r="O152" s="57"/>
      <c r="P152" s="57"/>
      <c r="Q152" s="69" t="str">
        <f>IF(B152="","",AC152-IFERROR(SUMIFS('🌴 الإجازات'!$G:$G,'🌴 الإجازات'!$B:$B,B152,'🌴 الإجازات'!$K:$K,"معتمدة"),0))</f>
        <v/>
      </c>
      <c r="R152" s="57"/>
      <c r="S152" s="57"/>
      <c r="T152" s="61"/>
      <c r="U152" s="73"/>
      <c r="V152" s="73"/>
      <c r="W152" s="73"/>
      <c r="X152" s="73"/>
      <c r="Y152" s="61"/>
      <c r="Z152" s="61"/>
      <c r="AA152" s="61"/>
      <c r="AB152" s="66" t="str">
        <f t="shared" si="21"/>
        <v/>
      </c>
      <c r="AC152" s="74" t="str">
        <f t="shared" si="22"/>
        <v/>
      </c>
      <c r="AD152" s="61" t="str">
        <f t="shared" ca="1" si="23"/>
        <v/>
      </c>
    </row>
    <row r="153" spans="1:30" ht="22.15" customHeight="1" x14ac:dyDescent="0.2">
      <c r="A153" s="53"/>
      <c r="B153" s="53"/>
      <c r="C153" s="53"/>
      <c r="D153" s="53"/>
      <c r="E153" s="53"/>
      <c r="F153" s="53"/>
      <c r="G153" s="53"/>
      <c r="H153" s="62"/>
      <c r="I153" s="62"/>
      <c r="J153" s="62"/>
      <c r="K153" s="67" t="str">
        <f t="shared" si="24"/>
        <v/>
      </c>
      <c r="L153" s="55"/>
      <c r="M153" s="71" t="str">
        <f t="shared" ca="1" si="20"/>
        <v/>
      </c>
      <c r="N153" s="53"/>
      <c r="O153" s="53"/>
      <c r="P153" s="53"/>
      <c r="Q153" s="68" t="str">
        <f>IF(B153="","",AC153-IFERROR(SUMIFS('🌴 الإجازات'!$G:$G,'🌴 الإجازات'!$B:$B,B153,'🌴 الإجازات'!$K:$K,"معتمدة"),0))</f>
        <v/>
      </c>
      <c r="R153" s="53"/>
      <c r="S153" s="53"/>
      <c r="T153" s="50"/>
      <c r="U153" s="72"/>
      <c r="V153" s="72"/>
      <c r="W153" s="72"/>
      <c r="X153" s="72"/>
      <c r="Y153" s="50"/>
      <c r="Z153" s="50"/>
      <c r="AA153" s="50"/>
      <c r="AB153" s="67" t="str">
        <f t="shared" si="21"/>
        <v/>
      </c>
      <c r="AC153" s="44" t="str">
        <f t="shared" si="22"/>
        <v/>
      </c>
      <c r="AD153" s="50" t="str">
        <f t="shared" ca="1" si="23"/>
        <v/>
      </c>
    </row>
    <row r="154" spans="1:30" ht="22.15" customHeight="1" x14ac:dyDescent="0.2">
      <c r="A154" s="57"/>
      <c r="B154" s="57"/>
      <c r="C154" s="57"/>
      <c r="D154" s="57"/>
      <c r="E154" s="57"/>
      <c r="F154" s="57"/>
      <c r="G154" s="57"/>
      <c r="H154" s="63"/>
      <c r="I154" s="63"/>
      <c r="J154" s="63"/>
      <c r="K154" s="66" t="str">
        <f t="shared" si="24"/>
        <v/>
      </c>
      <c r="L154" s="59"/>
      <c r="M154" s="70" t="str">
        <f t="shared" ca="1" si="20"/>
        <v/>
      </c>
      <c r="N154" s="57"/>
      <c r="O154" s="57"/>
      <c r="P154" s="57"/>
      <c r="Q154" s="69" t="str">
        <f>IF(B154="","",AC154-IFERROR(SUMIFS('🌴 الإجازات'!$G:$G,'🌴 الإجازات'!$B:$B,B154,'🌴 الإجازات'!$K:$K,"معتمدة"),0))</f>
        <v/>
      </c>
      <c r="R154" s="57"/>
      <c r="S154" s="57"/>
      <c r="T154" s="61"/>
      <c r="U154" s="73"/>
      <c r="V154" s="73"/>
      <c r="W154" s="73"/>
      <c r="X154" s="73"/>
      <c r="Y154" s="61"/>
      <c r="Z154" s="61"/>
      <c r="AA154" s="61"/>
      <c r="AB154" s="66" t="str">
        <f t="shared" si="21"/>
        <v/>
      </c>
      <c r="AC154" s="74" t="str">
        <f t="shared" si="22"/>
        <v/>
      </c>
      <c r="AD154" s="61" t="str">
        <f t="shared" ca="1" si="23"/>
        <v/>
      </c>
    </row>
    <row r="155" spans="1:30" ht="22.15" customHeight="1" x14ac:dyDescent="0.2">
      <c r="A155" s="53"/>
      <c r="B155" s="53"/>
      <c r="C155" s="53"/>
      <c r="D155" s="53"/>
      <c r="E155" s="53"/>
      <c r="F155" s="53"/>
      <c r="G155" s="53"/>
      <c r="H155" s="62"/>
      <c r="I155" s="62"/>
      <c r="J155" s="62"/>
      <c r="K155" s="67" t="str">
        <f t="shared" si="24"/>
        <v/>
      </c>
      <c r="L155" s="55"/>
      <c r="M155" s="71" t="str">
        <f t="shared" ca="1" si="20"/>
        <v/>
      </c>
      <c r="N155" s="53"/>
      <c r="O155" s="53"/>
      <c r="P155" s="53"/>
      <c r="Q155" s="68" t="str">
        <f>IF(B155="","",AC155-IFERROR(SUMIFS('🌴 الإجازات'!$G:$G,'🌴 الإجازات'!$B:$B,B155,'🌴 الإجازات'!$K:$K,"معتمدة"),0))</f>
        <v/>
      </c>
      <c r="R155" s="53"/>
      <c r="S155" s="53"/>
      <c r="T155" s="50"/>
      <c r="U155" s="72"/>
      <c r="V155" s="72"/>
      <c r="W155" s="72"/>
      <c r="X155" s="72"/>
      <c r="Y155" s="50"/>
      <c r="Z155" s="50"/>
      <c r="AA155" s="50"/>
      <c r="AB155" s="67" t="str">
        <f t="shared" si="21"/>
        <v/>
      </c>
      <c r="AC155" s="44" t="str">
        <f t="shared" si="22"/>
        <v/>
      </c>
      <c r="AD155" s="50" t="str">
        <f t="shared" ca="1" si="23"/>
        <v/>
      </c>
    </row>
    <row r="156" spans="1:30" ht="22.15" customHeight="1" x14ac:dyDescent="0.2">
      <c r="A156" s="57"/>
      <c r="B156" s="57"/>
      <c r="C156" s="57"/>
      <c r="D156" s="57"/>
      <c r="E156" s="57"/>
      <c r="F156" s="57"/>
      <c r="G156" s="57"/>
      <c r="H156" s="63"/>
      <c r="I156" s="63"/>
      <c r="J156" s="63"/>
      <c r="K156" s="66" t="str">
        <f t="shared" si="24"/>
        <v/>
      </c>
      <c r="L156" s="59"/>
      <c r="M156" s="70" t="str">
        <f t="shared" ca="1" si="20"/>
        <v/>
      </c>
      <c r="N156" s="57"/>
      <c r="O156" s="57"/>
      <c r="P156" s="57"/>
      <c r="Q156" s="69" t="str">
        <f>IF(B156="","",AC156-IFERROR(SUMIFS('🌴 الإجازات'!$G:$G,'🌴 الإجازات'!$B:$B,B156,'🌴 الإجازات'!$K:$K,"معتمدة"),0))</f>
        <v/>
      </c>
      <c r="R156" s="57"/>
      <c r="S156" s="57"/>
      <c r="T156" s="61"/>
      <c r="U156" s="73"/>
      <c r="V156" s="73"/>
      <c r="W156" s="73"/>
      <c r="X156" s="73"/>
      <c r="Y156" s="61"/>
      <c r="Z156" s="61"/>
      <c r="AA156" s="61"/>
      <c r="AB156" s="66" t="str">
        <f t="shared" si="21"/>
        <v/>
      </c>
      <c r="AC156" s="74" t="str">
        <f t="shared" si="22"/>
        <v/>
      </c>
      <c r="AD156" s="61" t="str">
        <f t="shared" ca="1" si="23"/>
        <v/>
      </c>
    </row>
    <row r="157" spans="1:30" ht="22.15" customHeight="1" x14ac:dyDescent="0.2">
      <c r="A157" s="53"/>
      <c r="B157" s="53"/>
      <c r="C157" s="53"/>
      <c r="D157" s="53"/>
      <c r="E157" s="53"/>
      <c r="F157" s="53"/>
      <c r="G157" s="53"/>
      <c r="H157" s="62"/>
      <c r="I157" s="62"/>
      <c r="J157" s="62"/>
      <c r="K157" s="67" t="str">
        <f t="shared" si="24"/>
        <v/>
      </c>
      <c r="L157" s="55"/>
      <c r="M157" s="71" t="str">
        <f t="shared" ca="1" si="20"/>
        <v/>
      </c>
      <c r="N157" s="53"/>
      <c r="O157" s="53"/>
      <c r="P157" s="53"/>
      <c r="Q157" s="68" t="str">
        <f>IF(B157="","",AC157-IFERROR(SUMIFS('🌴 الإجازات'!$G:$G,'🌴 الإجازات'!$B:$B,B157,'🌴 الإجازات'!$K:$K,"معتمدة"),0))</f>
        <v/>
      </c>
      <c r="R157" s="53"/>
      <c r="S157" s="53"/>
      <c r="T157" s="50"/>
      <c r="U157" s="72"/>
      <c r="V157" s="72"/>
      <c r="W157" s="72"/>
      <c r="X157" s="72"/>
      <c r="Y157" s="50"/>
      <c r="Z157" s="50"/>
      <c r="AA157" s="50"/>
      <c r="AB157" s="67" t="str">
        <f t="shared" si="21"/>
        <v/>
      </c>
      <c r="AC157" s="44" t="str">
        <f t="shared" si="22"/>
        <v/>
      </c>
      <c r="AD157" s="50" t="str">
        <f t="shared" ca="1" si="23"/>
        <v/>
      </c>
    </row>
    <row r="158" spans="1:30" ht="22.15" customHeight="1" x14ac:dyDescent="0.2">
      <c r="A158" s="57"/>
      <c r="B158" s="57"/>
      <c r="C158" s="57"/>
      <c r="D158" s="57"/>
      <c r="E158" s="57"/>
      <c r="F158" s="57"/>
      <c r="G158" s="57"/>
      <c r="H158" s="63"/>
      <c r="I158" s="63"/>
      <c r="J158" s="63"/>
      <c r="K158" s="66" t="str">
        <f t="shared" si="24"/>
        <v/>
      </c>
      <c r="L158" s="59"/>
      <c r="M158" s="70" t="str">
        <f t="shared" ca="1" si="20"/>
        <v/>
      </c>
      <c r="N158" s="57"/>
      <c r="O158" s="57"/>
      <c r="P158" s="57"/>
      <c r="Q158" s="69" t="str">
        <f>IF(B158="","",AC158-IFERROR(SUMIFS('🌴 الإجازات'!$G:$G,'🌴 الإجازات'!$B:$B,B158,'🌴 الإجازات'!$K:$K,"معتمدة"),0))</f>
        <v/>
      </c>
      <c r="R158" s="57"/>
      <c r="S158" s="57"/>
      <c r="T158" s="61"/>
      <c r="U158" s="73"/>
      <c r="V158" s="73"/>
      <c r="W158" s="73"/>
      <c r="X158" s="73"/>
      <c r="Y158" s="61"/>
      <c r="Z158" s="61"/>
      <c r="AA158" s="61"/>
      <c r="AB158" s="66" t="str">
        <f t="shared" si="21"/>
        <v/>
      </c>
      <c r="AC158" s="74" t="str">
        <f t="shared" si="22"/>
        <v/>
      </c>
      <c r="AD158" s="61" t="str">
        <f t="shared" ca="1" si="23"/>
        <v/>
      </c>
    </row>
    <row r="159" spans="1:30" ht="22.15" customHeight="1" x14ac:dyDescent="0.2">
      <c r="A159" s="53"/>
      <c r="B159" s="53"/>
      <c r="C159" s="53"/>
      <c r="D159" s="53"/>
      <c r="E159" s="53"/>
      <c r="F159" s="53"/>
      <c r="G159" s="53"/>
      <c r="H159" s="62"/>
      <c r="I159" s="62"/>
      <c r="J159" s="62"/>
      <c r="K159" s="67" t="str">
        <f t="shared" si="24"/>
        <v/>
      </c>
      <c r="L159" s="55"/>
      <c r="M159" s="71" t="str">
        <f t="shared" ca="1" si="20"/>
        <v/>
      </c>
      <c r="N159" s="53"/>
      <c r="O159" s="53"/>
      <c r="P159" s="53"/>
      <c r="Q159" s="68" t="str">
        <f>IF(B159="","",AC159-IFERROR(SUMIFS('🌴 الإجازات'!$G:$G,'🌴 الإجازات'!$B:$B,B159,'🌴 الإجازات'!$K:$K,"معتمدة"),0))</f>
        <v/>
      </c>
      <c r="R159" s="53"/>
      <c r="S159" s="53"/>
      <c r="T159" s="50"/>
      <c r="U159" s="72"/>
      <c r="V159" s="72"/>
      <c r="W159" s="72"/>
      <c r="X159" s="72"/>
      <c r="Y159" s="50"/>
      <c r="Z159" s="50"/>
      <c r="AA159" s="50"/>
      <c r="AB159" s="67" t="str">
        <f t="shared" si="21"/>
        <v/>
      </c>
      <c r="AC159" s="44" t="str">
        <f t="shared" si="22"/>
        <v/>
      </c>
      <c r="AD159" s="50" t="str">
        <f t="shared" ca="1" si="23"/>
        <v/>
      </c>
    </row>
    <row r="160" spans="1:30" ht="22.15" customHeight="1" x14ac:dyDescent="0.2">
      <c r="A160" s="57"/>
      <c r="B160" s="57"/>
      <c r="C160" s="57"/>
      <c r="D160" s="57"/>
      <c r="E160" s="57"/>
      <c r="F160" s="57"/>
      <c r="G160" s="57"/>
      <c r="H160" s="63"/>
      <c r="I160" s="63"/>
      <c r="J160" s="63"/>
      <c r="K160" s="66" t="str">
        <f t="shared" si="24"/>
        <v/>
      </c>
      <c r="L160" s="59"/>
      <c r="M160" s="70" t="str">
        <f t="shared" ca="1" si="20"/>
        <v/>
      </c>
      <c r="N160" s="57"/>
      <c r="O160" s="57"/>
      <c r="P160" s="57"/>
      <c r="Q160" s="69" t="str">
        <f>IF(B160="","",AC160-IFERROR(SUMIFS('🌴 الإجازات'!$G:$G,'🌴 الإجازات'!$B:$B,B160,'🌴 الإجازات'!$K:$K,"معتمدة"),0))</f>
        <v/>
      </c>
      <c r="R160" s="57"/>
      <c r="S160" s="57"/>
      <c r="T160" s="61"/>
      <c r="U160" s="73"/>
      <c r="V160" s="73"/>
      <c r="W160" s="73"/>
      <c r="X160" s="73"/>
      <c r="Y160" s="61"/>
      <c r="Z160" s="61"/>
      <c r="AA160" s="61"/>
      <c r="AB160" s="66" t="str">
        <f t="shared" si="21"/>
        <v/>
      </c>
      <c r="AC160" s="74" t="str">
        <f t="shared" si="22"/>
        <v/>
      </c>
      <c r="AD160" s="61" t="str">
        <f t="shared" ca="1" si="23"/>
        <v/>
      </c>
    </row>
    <row r="161" spans="1:30" ht="22.15" customHeight="1" x14ac:dyDescent="0.2">
      <c r="A161" s="53"/>
      <c r="B161" s="53"/>
      <c r="C161" s="53"/>
      <c r="D161" s="53"/>
      <c r="E161" s="53"/>
      <c r="F161" s="53"/>
      <c r="G161" s="53"/>
      <c r="H161" s="62"/>
      <c r="I161" s="62"/>
      <c r="J161" s="62"/>
      <c r="K161" s="67" t="str">
        <f t="shared" si="24"/>
        <v/>
      </c>
      <c r="L161" s="55"/>
      <c r="M161" s="71" t="str">
        <f t="shared" ca="1" si="20"/>
        <v/>
      </c>
      <c r="N161" s="53"/>
      <c r="O161" s="53"/>
      <c r="P161" s="53"/>
      <c r="Q161" s="68" t="str">
        <f>IF(B161="","",AC161-IFERROR(SUMIFS('🌴 الإجازات'!$G:$G,'🌴 الإجازات'!$B:$B,B161,'🌴 الإجازات'!$K:$K,"معتمدة"),0))</f>
        <v/>
      </c>
      <c r="R161" s="53"/>
      <c r="S161" s="53"/>
      <c r="T161" s="50"/>
      <c r="U161" s="72"/>
      <c r="V161" s="72"/>
      <c r="W161" s="72"/>
      <c r="X161" s="72"/>
      <c r="Y161" s="50"/>
      <c r="Z161" s="50"/>
      <c r="AA161" s="50"/>
      <c r="AB161" s="67" t="str">
        <f t="shared" si="21"/>
        <v/>
      </c>
      <c r="AC161" s="44" t="str">
        <f t="shared" si="22"/>
        <v/>
      </c>
      <c r="AD161" s="50" t="str">
        <f t="shared" ca="1" si="23"/>
        <v/>
      </c>
    </row>
    <row r="162" spans="1:30" ht="22.15" customHeight="1" x14ac:dyDescent="0.2">
      <c r="A162" s="57"/>
      <c r="B162" s="57"/>
      <c r="C162" s="57"/>
      <c r="D162" s="57"/>
      <c r="E162" s="57"/>
      <c r="F162" s="57"/>
      <c r="G162" s="57"/>
      <c r="H162" s="63"/>
      <c r="I162" s="63"/>
      <c r="J162" s="63"/>
      <c r="K162" s="66" t="str">
        <f t="shared" si="24"/>
        <v/>
      </c>
      <c r="L162" s="59"/>
      <c r="M162" s="70" t="str">
        <f t="shared" ca="1" si="20"/>
        <v/>
      </c>
      <c r="N162" s="57"/>
      <c r="O162" s="57"/>
      <c r="P162" s="57"/>
      <c r="Q162" s="69" t="str">
        <f>IF(B162="","",AC162-IFERROR(SUMIFS('🌴 الإجازات'!$G:$G,'🌴 الإجازات'!$B:$B,B162,'🌴 الإجازات'!$K:$K,"معتمدة"),0))</f>
        <v/>
      </c>
      <c r="R162" s="57"/>
      <c r="S162" s="57"/>
      <c r="T162" s="61"/>
      <c r="U162" s="73"/>
      <c r="V162" s="73"/>
      <c r="W162" s="73"/>
      <c r="X162" s="73"/>
      <c r="Y162" s="61"/>
      <c r="Z162" s="61"/>
      <c r="AA162" s="61"/>
      <c r="AB162" s="66" t="str">
        <f t="shared" si="21"/>
        <v/>
      </c>
      <c r="AC162" s="74" t="str">
        <f t="shared" si="22"/>
        <v/>
      </c>
      <c r="AD162" s="61" t="str">
        <f t="shared" ca="1" si="23"/>
        <v/>
      </c>
    </row>
    <row r="163" spans="1:30" ht="22.15" customHeight="1" x14ac:dyDescent="0.2">
      <c r="A163" s="53"/>
      <c r="B163" s="53"/>
      <c r="C163" s="53"/>
      <c r="D163" s="53"/>
      <c r="E163" s="53"/>
      <c r="F163" s="53"/>
      <c r="G163" s="53"/>
      <c r="H163" s="62"/>
      <c r="I163" s="62"/>
      <c r="J163" s="62"/>
      <c r="K163" s="67" t="str">
        <f t="shared" si="24"/>
        <v/>
      </c>
      <c r="L163" s="55"/>
      <c r="M163" s="71" t="str">
        <f t="shared" ca="1" si="20"/>
        <v/>
      </c>
      <c r="N163" s="53"/>
      <c r="O163" s="53"/>
      <c r="P163" s="53"/>
      <c r="Q163" s="68" t="str">
        <f>IF(B163="","",AC163-IFERROR(SUMIFS('🌴 الإجازات'!$G:$G,'🌴 الإجازات'!$B:$B,B163,'🌴 الإجازات'!$K:$K,"معتمدة"),0))</f>
        <v/>
      </c>
      <c r="R163" s="53"/>
      <c r="S163" s="53"/>
      <c r="T163" s="50"/>
      <c r="U163" s="72"/>
      <c r="V163" s="72"/>
      <c r="W163" s="72"/>
      <c r="X163" s="72"/>
      <c r="Y163" s="50"/>
      <c r="Z163" s="50"/>
      <c r="AA163" s="50"/>
      <c r="AB163" s="67" t="str">
        <f t="shared" si="21"/>
        <v/>
      </c>
      <c r="AC163" s="44" t="str">
        <f t="shared" si="22"/>
        <v/>
      </c>
      <c r="AD163" s="50" t="str">
        <f t="shared" ca="1" si="23"/>
        <v/>
      </c>
    </row>
    <row r="164" spans="1:30" ht="22.15" customHeight="1" x14ac:dyDescent="0.2">
      <c r="A164" s="57"/>
      <c r="B164" s="57"/>
      <c r="C164" s="57"/>
      <c r="D164" s="57"/>
      <c r="E164" s="57"/>
      <c r="F164" s="57"/>
      <c r="G164" s="57"/>
      <c r="H164" s="63"/>
      <c r="I164" s="63"/>
      <c r="J164" s="63"/>
      <c r="K164" s="66" t="str">
        <f t="shared" si="24"/>
        <v/>
      </c>
      <c r="L164" s="59"/>
      <c r="M164" s="70" t="str">
        <f t="shared" ca="1" si="20"/>
        <v/>
      </c>
      <c r="N164" s="57"/>
      <c r="O164" s="57"/>
      <c r="P164" s="57"/>
      <c r="Q164" s="69" t="str">
        <f>IF(B164="","",AC164-IFERROR(SUMIFS('🌴 الإجازات'!$G:$G,'🌴 الإجازات'!$B:$B,B164,'🌴 الإجازات'!$K:$K,"معتمدة"),0))</f>
        <v/>
      </c>
      <c r="R164" s="57"/>
      <c r="S164" s="57"/>
      <c r="T164" s="61"/>
      <c r="U164" s="73"/>
      <c r="V164" s="73"/>
      <c r="W164" s="73"/>
      <c r="X164" s="73"/>
      <c r="Y164" s="61"/>
      <c r="Z164" s="61"/>
      <c r="AA164" s="61"/>
      <c r="AB164" s="66" t="str">
        <f t="shared" si="21"/>
        <v/>
      </c>
      <c r="AC164" s="74" t="str">
        <f t="shared" si="22"/>
        <v/>
      </c>
      <c r="AD164" s="61" t="str">
        <f t="shared" ca="1" si="23"/>
        <v/>
      </c>
    </row>
    <row r="165" spans="1:30" ht="22.15" customHeight="1" x14ac:dyDescent="0.2">
      <c r="A165" s="53"/>
      <c r="B165" s="53"/>
      <c r="C165" s="53"/>
      <c r="D165" s="53"/>
      <c r="E165" s="53"/>
      <c r="F165" s="53"/>
      <c r="G165" s="53"/>
      <c r="H165" s="62"/>
      <c r="I165" s="62"/>
      <c r="J165" s="62"/>
      <c r="K165" s="67" t="str">
        <f t="shared" si="24"/>
        <v/>
      </c>
      <c r="L165" s="55"/>
      <c r="M165" s="71" t="str">
        <f t="shared" ref="M165:M196" ca="1" si="25">IF(L165&lt;&gt;"",DATEDIF(L165,TODAY(),"Y"),"")</f>
        <v/>
      </c>
      <c r="N165" s="53"/>
      <c r="O165" s="53"/>
      <c r="P165" s="53"/>
      <c r="Q165" s="68" t="str">
        <f>IF(B165="","",AC165-IFERROR(SUMIFS('🌴 الإجازات'!$G:$G,'🌴 الإجازات'!$B:$B,B165,'🌴 الإجازات'!$K:$K,"معتمدة"),0))</f>
        <v/>
      </c>
      <c r="R165" s="53"/>
      <c r="S165" s="53"/>
      <c r="T165" s="50"/>
      <c r="U165" s="72"/>
      <c r="V165" s="72"/>
      <c r="W165" s="72"/>
      <c r="X165" s="72"/>
      <c r="Y165" s="50"/>
      <c r="Z165" s="50"/>
      <c r="AA165" s="50"/>
      <c r="AB165" s="67" t="str">
        <f t="shared" ref="AB165:AB196" si="26">IF(AND(B165&lt;&gt;"",L165&lt;&gt;""),(0.5*H165*MIN(M165,5))+(1*H165*MAX(0,M165-5)),"")</f>
        <v/>
      </c>
      <c r="AC165" s="44" t="str">
        <f t="shared" ref="AC165:AC196" si="27">IF(B165&lt;&gt;"",IF(IFERROR(M165,0)&gt;=5,LeaveDaysSenior,LeaveDaysJunior),"")</f>
        <v/>
      </c>
      <c r="AD165" s="50" t="str">
        <f t="shared" ref="AD165:AD196" ca="1" si="28">IF(B165="","",IF(AND(X165&lt;&gt;"",X165-TODAY()&lt;=ExpiryWarnDays,X165-TODAY()&gt;=0),"⚠️ إقامة تنتهي خلال "&amp;(X165-TODAY())&amp;" يوم",IF(AND(V165&lt;&gt;"",V165-TODAY()&lt;=ExpiryWarnDays,V165-TODAY()&gt;=0),"⚠️ عقد ينتهي خلال "&amp;(V165-TODAY())&amp;" يوم",IF(AND(W165&lt;&gt;"",W165-TODAY()&lt;=30,W165-TODAY()&gt;=0),"🟡 تجربة تنتهي خلال "&amp;(W165-TODAY())&amp;" يوم",""))))</f>
        <v/>
      </c>
    </row>
    <row r="166" spans="1:30" ht="22.15" customHeight="1" x14ac:dyDescent="0.2">
      <c r="A166" s="57"/>
      <c r="B166" s="57"/>
      <c r="C166" s="57"/>
      <c r="D166" s="57"/>
      <c r="E166" s="57"/>
      <c r="F166" s="57"/>
      <c r="G166" s="57"/>
      <c r="H166" s="63"/>
      <c r="I166" s="63"/>
      <c r="J166" s="63"/>
      <c r="K166" s="66" t="str">
        <f t="shared" si="24"/>
        <v/>
      </c>
      <c r="L166" s="59"/>
      <c r="M166" s="70" t="str">
        <f t="shared" ca="1" si="25"/>
        <v/>
      </c>
      <c r="N166" s="57"/>
      <c r="O166" s="57"/>
      <c r="P166" s="57"/>
      <c r="Q166" s="69" t="str">
        <f>IF(B166="","",AC166-IFERROR(SUMIFS('🌴 الإجازات'!$G:$G,'🌴 الإجازات'!$B:$B,B166,'🌴 الإجازات'!$K:$K,"معتمدة"),0))</f>
        <v/>
      </c>
      <c r="R166" s="57"/>
      <c r="S166" s="57"/>
      <c r="T166" s="61"/>
      <c r="U166" s="73"/>
      <c r="V166" s="73"/>
      <c r="W166" s="73"/>
      <c r="X166" s="73"/>
      <c r="Y166" s="61"/>
      <c r="Z166" s="61"/>
      <c r="AA166" s="61"/>
      <c r="AB166" s="66" t="str">
        <f t="shared" si="26"/>
        <v/>
      </c>
      <c r="AC166" s="74" t="str">
        <f t="shared" si="27"/>
        <v/>
      </c>
      <c r="AD166" s="61" t="str">
        <f t="shared" ca="1" si="28"/>
        <v/>
      </c>
    </row>
    <row r="167" spans="1:30" ht="22.15" customHeight="1" x14ac:dyDescent="0.2">
      <c r="A167" s="53"/>
      <c r="B167" s="53"/>
      <c r="C167" s="53"/>
      <c r="D167" s="53"/>
      <c r="E167" s="53"/>
      <c r="F167" s="53"/>
      <c r="G167" s="53"/>
      <c r="H167" s="62"/>
      <c r="I167" s="62"/>
      <c r="J167" s="62"/>
      <c r="K167" s="67" t="str">
        <f t="shared" si="24"/>
        <v/>
      </c>
      <c r="L167" s="55"/>
      <c r="M167" s="71" t="str">
        <f t="shared" ca="1" si="25"/>
        <v/>
      </c>
      <c r="N167" s="53"/>
      <c r="O167" s="53"/>
      <c r="P167" s="53"/>
      <c r="Q167" s="68" t="str">
        <f>IF(B167="","",AC167-IFERROR(SUMIFS('🌴 الإجازات'!$G:$G,'🌴 الإجازات'!$B:$B,B167,'🌴 الإجازات'!$K:$K,"معتمدة"),0))</f>
        <v/>
      </c>
      <c r="R167" s="53"/>
      <c r="S167" s="53"/>
      <c r="T167" s="50"/>
      <c r="U167" s="72"/>
      <c r="V167" s="72"/>
      <c r="W167" s="72"/>
      <c r="X167" s="72"/>
      <c r="Y167" s="50"/>
      <c r="Z167" s="50"/>
      <c r="AA167" s="50"/>
      <c r="AB167" s="67" t="str">
        <f t="shared" si="26"/>
        <v/>
      </c>
      <c r="AC167" s="44" t="str">
        <f t="shared" si="27"/>
        <v/>
      </c>
      <c r="AD167" s="50" t="str">
        <f t="shared" ca="1" si="28"/>
        <v/>
      </c>
    </row>
    <row r="168" spans="1:30" ht="22.15" customHeight="1" x14ac:dyDescent="0.2">
      <c r="A168" s="57"/>
      <c r="B168" s="57"/>
      <c r="C168" s="57"/>
      <c r="D168" s="57"/>
      <c r="E168" s="57"/>
      <c r="F168" s="57"/>
      <c r="G168" s="57"/>
      <c r="H168" s="63"/>
      <c r="I168" s="63"/>
      <c r="J168" s="63"/>
      <c r="K168" s="66" t="str">
        <f t="shared" si="24"/>
        <v/>
      </c>
      <c r="L168" s="59"/>
      <c r="M168" s="70" t="str">
        <f t="shared" ca="1" si="25"/>
        <v/>
      </c>
      <c r="N168" s="57"/>
      <c r="O168" s="57"/>
      <c r="P168" s="57"/>
      <c r="Q168" s="69" t="str">
        <f>IF(B168="","",AC168-IFERROR(SUMIFS('🌴 الإجازات'!$G:$G,'🌴 الإجازات'!$B:$B,B168,'🌴 الإجازات'!$K:$K,"معتمدة"),0))</f>
        <v/>
      </c>
      <c r="R168" s="57"/>
      <c r="S168" s="57"/>
      <c r="T168" s="61"/>
      <c r="U168" s="73"/>
      <c r="V168" s="73"/>
      <c r="W168" s="73"/>
      <c r="X168" s="73"/>
      <c r="Y168" s="61"/>
      <c r="Z168" s="61"/>
      <c r="AA168" s="61"/>
      <c r="AB168" s="66" t="str">
        <f t="shared" si="26"/>
        <v/>
      </c>
      <c r="AC168" s="74" t="str">
        <f t="shared" si="27"/>
        <v/>
      </c>
      <c r="AD168" s="61" t="str">
        <f t="shared" ca="1" si="28"/>
        <v/>
      </c>
    </row>
    <row r="169" spans="1:30" ht="22.15" customHeight="1" x14ac:dyDescent="0.2">
      <c r="A169" s="53"/>
      <c r="B169" s="53"/>
      <c r="C169" s="53"/>
      <c r="D169" s="53"/>
      <c r="E169" s="53"/>
      <c r="F169" s="53"/>
      <c r="G169" s="53"/>
      <c r="H169" s="62"/>
      <c r="I169" s="62"/>
      <c r="J169" s="62"/>
      <c r="K169" s="67" t="str">
        <f t="shared" si="24"/>
        <v/>
      </c>
      <c r="L169" s="55"/>
      <c r="M169" s="71" t="str">
        <f t="shared" ca="1" si="25"/>
        <v/>
      </c>
      <c r="N169" s="53"/>
      <c r="O169" s="53"/>
      <c r="P169" s="53"/>
      <c r="Q169" s="68" t="str">
        <f>IF(B169="","",AC169-IFERROR(SUMIFS('🌴 الإجازات'!$G:$G,'🌴 الإجازات'!$B:$B,B169,'🌴 الإجازات'!$K:$K,"معتمدة"),0))</f>
        <v/>
      </c>
      <c r="R169" s="53"/>
      <c r="S169" s="53"/>
      <c r="T169" s="50"/>
      <c r="U169" s="72"/>
      <c r="V169" s="72"/>
      <c r="W169" s="72"/>
      <c r="X169" s="72"/>
      <c r="Y169" s="50"/>
      <c r="Z169" s="50"/>
      <c r="AA169" s="50"/>
      <c r="AB169" s="67" t="str">
        <f t="shared" si="26"/>
        <v/>
      </c>
      <c r="AC169" s="44" t="str">
        <f t="shared" si="27"/>
        <v/>
      </c>
      <c r="AD169" s="50" t="str">
        <f t="shared" ca="1" si="28"/>
        <v/>
      </c>
    </row>
    <row r="170" spans="1:30" ht="22.15" customHeight="1" x14ac:dyDescent="0.2">
      <c r="A170" s="57"/>
      <c r="B170" s="57"/>
      <c r="C170" s="57"/>
      <c r="D170" s="57"/>
      <c r="E170" s="57"/>
      <c r="F170" s="57"/>
      <c r="G170" s="57"/>
      <c r="H170" s="63"/>
      <c r="I170" s="63"/>
      <c r="J170" s="63"/>
      <c r="K170" s="66" t="str">
        <f t="shared" ref="K170:K201" si="29">IF(H170&lt;&gt;"",H170+I170+J170,"")</f>
        <v/>
      </c>
      <c r="L170" s="59"/>
      <c r="M170" s="70" t="str">
        <f t="shared" ca="1" si="25"/>
        <v/>
      </c>
      <c r="N170" s="57"/>
      <c r="O170" s="57"/>
      <c r="P170" s="57"/>
      <c r="Q170" s="69" t="str">
        <f>IF(B170="","",AC170-IFERROR(SUMIFS('🌴 الإجازات'!$G:$G,'🌴 الإجازات'!$B:$B,B170,'🌴 الإجازات'!$K:$K,"معتمدة"),0))</f>
        <v/>
      </c>
      <c r="R170" s="57"/>
      <c r="S170" s="57"/>
      <c r="T170" s="61"/>
      <c r="U170" s="73"/>
      <c r="V170" s="73"/>
      <c r="W170" s="73"/>
      <c r="X170" s="73"/>
      <c r="Y170" s="61"/>
      <c r="Z170" s="61"/>
      <c r="AA170" s="61"/>
      <c r="AB170" s="66" t="str">
        <f t="shared" si="26"/>
        <v/>
      </c>
      <c r="AC170" s="74" t="str">
        <f t="shared" si="27"/>
        <v/>
      </c>
      <c r="AD170" s="61" t="str">
        <f t="shared" ca="1" si="28"/>
        <v/>
      </c>
    </row>
    <row r="171" spans="1:30" ht="22.15" customHeight="1" x14ac:dyDescent="0.2">
      <c r="A171" s="53"/>
      <c r="B171" s="53"/>
      <c r="C171" s="53"/>
      <c r="D171" s="53"/>
      <c r="E171" s="53"/>
      <c r="F171" s="53"/>
      <c r="G171" s="53"/>
      <c r="H171" s="62"/>
      <c r="I171" s="62"/>
      <c r="J171" s="62"/>
      <c r="K171" s="67" t="str">
        <f t="shared" si="29"/>
        <v/>
      </c>
      <c r="L171" s="55"/>
      <c r="M171" s="71" t="str">
        <f t="shared" ca="1" si="25"/>
        <v/>
      </c>
      <c r="N171" s="53"/>
      <c r="O171" s="53"/>
      <c r="P171" s="53"/>
      <c r="Q171" s="68" t="str">
        <f>IF(B171="","",AC171-IFERROR(SUMIFS('🌴 الإجازات'!$G:$G,'🌴 الإجازات'!$B:$B,B171,'🌴 الإجازات'!$K:$K,"معتمدة"),0))</f>
        <v/>
      </c>
      <c r="R171" s="53"/>
      <c r="S171" s="53"/>
      <c r="T171" s="50"/>
      <c r="U171" s="72"/>
      <c r="V171" s="72"/>
      <c r="W171" s="72"/>
      <c r="X171" s="72"/>
      <c r="Y171" s="50"/>
      <c r="Z171" s="50"/>
      <c r="AA171" s="50"/>
      <c r="AB171" s="67" t="str">
        <f t="shared" si="26"/>
        <v/>
      </c>
      <c r="AC171" s="44" t="str">
        <f t="shared" si="27"/>
        <v/>
      </c>
      <c r="AD171" s="50" t="str">
        <f t="shared" ca="1" si="28"/>
        <v/>
      </c>
    </row>
    <row r="172" spans="1:30" ht="22.15" customHeight="1" x14ac:dyDescent="0.2">
      <c r="A172" s="57"/>
      <c r="B172" s="57"/>
      <c r="C172" s="57"/>
      <c r="D172" s="57"/>
      <c r="E172" s="57"/>
      <c r="F172" s="57"/>
      <c r="G172" s="57"/>
      <c r="H172" s="63"/>
      <c r="I172" s="63"/>
      <c r="J172" s="63"/>
      <c r="K172" s="66" t="str">
        <f t="shared" si="29"/>
        <v/>
      </c>
      <c r="L172" s="59"/>
      <c r="M172" s="70" t="str">
        <f t="shared" ca="1" si="25"/>
        <v/>
      </c>
      <c r="N172" s="57"/>
      <c r="O172" s="57"/>
      <c r="P172" s="57"/>
      <c r="Q172" s="69" t="str">
        <f>IF(B172="","",AC172-IFERROR(SUMIFS('🌴 الإجازات'!$G:$G,'🌴 الإجازات'!$B:$B,B172,'🌴 الإجازات'!$K:$K,"معتمدة"),0))</f>
        <v/>
      </c>
      <c r="R172" s="57"/>
      <c r="S172" s="57"/>
      <c r="T172" s="61"/>
      <c r="U172" s="73"/>
      <c r="V172" s="73"/>
      <c r="W172" s="73"/>
      <c r="X172" s="73"/>
      <c r="Y172" s="61"/>
      <c r="Z172" s="61"/>
      <c r="AA172" s="61"/>
      <c r="AB172" s="66" t="str">
        <f t="shared" si="26"/>
        <v/>
      </c>
      <c r="AC172" s="74" t="str">
        <f t="shared" si="27"/>
        <v/>
      </c>
      <c r="AD172" s="61" t="str">
        <f t="shared" ca="1" si="28"/>
        <v/>
      </c>
    </row>
    <row r="173" spans="1:30" ht="22.15" customHeight="1" x14ac:dyDescent="0.2">
      <c r="A173" s="53"/>
      <c r="B173" s="53"/>
      <c r="C173" s="53"/>
      <c r="D173" s="53"/>
      <c r="E173" s="53"/>
      <c r="F173" s="53"/>
      <c r="G173" s="53"/>
      <c r="H173" s="62"/>
      <c r="I173" s="62"/>
      <c r="J173" s="62"/>
      <c r="K173" s="67" t="str">
        <f t="shared" si="29"/>
        <v/>
      </c>
      <c r="L173" s="55"/>
      <c r="M173" s="71" t="str">
        <f t="shared" ca="1" si="25"/>
        <v/>
      </c>
      <c r="N173" s="53"/>
      <c r="O173" s="53"/>
      <c r="P173" s="53"/>
      <c r="Q173" s="68" t="str">
        <f>IF(B173="","",AC173-IFERROR(SUMIFS('🌴 الإجازات'!$G:$G,'🌴 الإجازات'!$B:$B,B173,'🌴 الإجازات'!$K:$K,"معتمدة"),0))</f>
        <v/>
      </c>
      <c r="R173" s="53"/>
      <c r="S173" s="53"/>
      <c r="T173" s="50"/>
      <c r="U173" s="72"/>
      <c r="V173" s="72"/>
      <c r="W173" s="72"/>
      <c r="X173" s="72"/>
      <c r="Y173" s="50"/>
      <c r="Z173" s="50"/>
      <c r="AA173" s="50"/>
      <c r="AB173" s="67" t="str">
        <f t="shared" si="26"/>
        <v/>
      </c>
      <c r="AC173" s="44" t="str">
        <f t="shared" si="27"/>
        <v/>
      </c>
      <c r="AD173" s="50" t="str">
        <f t="shared" ca="1" si="28"/>
        <v/>
      </c>
    </row>
    <row r="174" spans="1:30" ht="22.15" customHeight="1" x14ac:dyDescent="0.2">
      <c r="A174" s="57"/>
      <c r="B174" s="57"/>
      <c r="C174" s="57"/>
      <c r="D174" s="57"/>
      <c r="E174" s="57"/>
      <c r="F174" s="57"/>
      <c r="G174" s="57"/>
      <c r="H174" s="63"/>
      <c r="I174" s="63"/>
      <c r="J174" s="63"/>
      <c r="K174" s="66" t="str">
        <f t="shared" si="29"/>
        <v/>
      </c>
      <c r="L174" s="59"/>
      <c r="M174" s="70" t="str">
        <f t="shared" ca="1" si="25"/>
        <v/>
      </c>
      <c r="N174" s="57"/>
      <c r="O174" s="57"/>
      <c r="P174" s="57"/>
      <c r="Q174" s="69" t="str">
        <f>IF(B174="","",AC174-IFERROR(SUMIFS('🌴 الإجازات'!$G:$G,'🌴 الإجازات'!$B:$B,B174,'🌴 الإجازات'!$K:$K,"معتمدة"),0))</f>
        <v/>
      </c>
      <c r="R174" s="57"/>
      <c r="S174" s="57"/>
      <c r="T174" s="61"/>
      <c r="U174" s="73"/>
      <c r="V174" s="73"/>
      <c r="W174" s="73"/>
      <c r="X174" s="73"/>
      <c r="Y174" s="61"/>
      <c r="Z174" s="61"/>
      <c r="AA174" s="61"/>
      <c r="AB174" s="66" t="str">
        <f t="shared" si="26"/>
        <v/>
      </c>
      <c r="AC174" s="74" t="str">
        <f t="shared" si="27"/>
        <v/>
      </c>
      <c r="AD174" s="61" t="str">
        <f t="shared" ca="1" si="28"/>
        <v/>
      </c>
    </row>
    <row r="175" spans="1:30" ht="22.15" customHeight="1" x14ac:dyDescent="0.2">
      <c r="A175" s="53"/>
      <c r="B175" s="53"/>
      <c r="C175" s="53"/>
      <c r="D175" s="53"/>
      <c r="E175" s="53"/>
      <c r="F175" s="53"/>
      <c r="G175" s="53"/>
      <c r="H175" s="62"/>
      <c r="I175" s="62"/>
      <c r="J175" s="62"/>
      <c r="K175" s="67" t="str">
        <f t="shared" si="29"/>
        <v/>
      </c>
      <c r="L175" s="55"/>
      <c r="M175" s="71" t="str">
        <f t="shared" ca="1" si="25"/>
        <v/>
      </c>
      <c r="N175" s="53"/>
      <c r="O175" s="53"/>
      <c r="P175" s="53"/>
      <c r="Q175" s="68" t="str">
        <f>IF(B175="","",AC175-IFERROR(SUMIFS('🌴 الإجازات'!$G:$G,'🌴 الإجازات'!$B:$B,B175,'🌴 الإجازات'!$K:$K,"معتمدة"),0))</f>
        <v/>
      </c>
      <c r="R175" s="53"/>
      <c r="S175" s="53"/>
      <c r="T175" s="50"/>
      <c r="U175" s="72"/>
      <c r="V175" s="72"/>
      <c r="W175" s="72"/>
      <c r="X175" s="72"/>
      <c r="Y175" s="50"/>
      <c r="Z175" s="50"/>
      <c r="AA175" s="50"/>
      <c r="AB175" s="67" t="str">
        <f t="shared" si="26"/>
        <v/>
      </c>
      <c r="AC175" s="44" t="str">
        <f t="shared" si="27"/>
        <v/>
      </c>
      <c r="AD175" s="50" t="str">
        <f t="shared" ca="1" si="28"/>
        <v/>
      </c>
    </row>
    <row r="176" spans="1:30" ht="22.15" customHeight="1" x14ac:dyDescent="0.2">
      <c r="A176" s="57"/>
      <c r="B176" s="57"/>
      <c r="C176" s="57"/>
      <c r="D176" s="57"/>
      <c r="E176" s="57"/>
      <c r="F176" s="57"/>
      <c r="G176" s="57"/>
      <c r="H176" s="63"/>
      <c r="I176" s="63"/>
      <c r="J176" s="63"/>
      <c r="K176" s="66" t="str">
        <f t="shared" si="29"/>
        <v/>
      </c>
      <c r="L176" s="59"/>
      <c r="M176" s="70" t="str">
        <f t="shared" ca="1" si="25"/>
        <v/>
      </c>
      <c r="N176" s="57"/>
      <c r="O176" s="57"/>
      <c r="P176" s="57"/>
      <c r="Q176" s="69" t="str">
        <f>IF(B176="","",AC176-IFERROR(SUMIFS('🌴 الإجازات'!$G:$G,'🌴 الإجازات'!$B:$B,B176,'🌴 الإجازات'!$K:$K,"معتمدة"),0))</f>
        <v/>
      </c>
      <c r="R176" s="57"/>
      <c r="S176" s="57"/>
      <c r="T176" s="61"/>
      <c r="U176" s="73"/>
      <c r="V176" s="73"/>
      <c r="W176" s="73"/>
      <c r="X176" s="73"/>
      <c r="Y176" s="61"/>
      <c r="Z176" s="61"/>
      <c r="AA176" s="61"/>
      <c r="AB176" s="66" t="str">
        <f t="shared" si="26"/>
        <v/>
      </c>
      <c r="AC176" s="74" t="str">
        <f t="shared" si="27"/>
        <v/>
      </c>
      <c r="AD176" s="61" t="str">
        <f t="shared" ca="1" si="28"/>
        <v/>
      </c>
    </row>
    <row r="177" spans="1:30" ht="22.15" customHeight="1" x14ac:dyDescent="0.2">
      <c r="A177" s="53"/>
      <c r="B177" s="53"/>
      <c r="C177" s="53"/>
      <c r="D177" s="53"/>
      <c r="E177" s="53"/>
      <c r="F177" s="53"/>
      <c r="G177" s="53"/>
      <c r="H177" s="62"/>
      <c r="I177" s="62"/>
      <c r="J177" s="62"/>
      <c r="K177" s="67" t="str">
        <f t="shared" si="29"/>
        <v/>
      </c>
      <c r="L177" s="55"/>
      <c r="M177" s="71" t="str">
        <f t="shared" ca="1" si="25"/>
        <v/>
      </c>
      <c r="N177" s="53"/>
      <c r="O177" s="53"/>
      <c r="P177" s="53"/>
      <c r="Q177" s="68" t="str">
        <f>IF(B177="","",AC177-IFERROR(SUMIFS('🌴 الإجازات'!$G:$G,'🌴 الإجازات'!$B:$B,B177,'🌴 الإجازات'!$K:$K,"معتمدة"),0))</f>
        <v/>
      </c>
      <c r="R177" s="53"/>
      <c r="S177" s="53"/>
      <c r="T177" s="50"/>
      <c r="U177" s="72"/>
      <c r="V177" s="72"/>
      <c r="W177" s="72"/>
      <c r="X177" s="72"/>
      <c r="Y177" s="50"/>
      <c r="Z177" s="50"/>
      <c r="AA177" s="50"/>
      <c r="AB177" s="67" t="str">
        <f t="shared" si="26"/>
        <v/>
      </c>
      <c r="AC177" s="44" t="str">
        <f t="shared" si="27"/>
        <v/>
      </c>
      <c r="AD177" s="50" t="str">
        <f t="shared" ca="1" si="28"/>
        <v/>
      </c>
    </row>
    <row r="178" spans="1:30" ht="22.15" customHeight="1" x14ac:dyDescent="0.2">
      <c r="A178" s="57"/>
      <c r="B178" s="57"/>
      <c r="C178" s="57"/>
      <c r="D178" s="57"/>
      <c r="E178" s="57"/>
      <c r="F178" s="57"/>
      <c r="G178" s="57"/>
      <c r="H178" s="63"/>
      <c r="I178" s="63"/>
      <c r="J178" s="63"/>
      <c r="K178" s="66" t="str">
        <f t="shared" si="29"/>
        <v/>
      </c>
      <c r="L178" s="59"/>
      <c r="M178" s="70" t="str">
        <f t="shared" ca="1" si="25"/>
        <v/>
      </c>
      <c r="N178" s="57"/>
      <c r="O178" s="57"/>
      <c r="P178" s="57"/>
      <c r="Q178" s="69" t="str">
        <f>IF(B178="","",AC178-IFERROR(SUMIFS('🌴 الإجازات'!$G:$G,'🌴 الإجازات'!$B:$B,B178,'🌴 الإجازات'!$K:$K,"معتمدة"),0))</f>
        <v/>
      </c>
      <c r="R178" s="57"/>
      <c r="S178" s="57"/>
      <c r="T178" s="61"/>
      <c r="U178" s="73"/>
      <c r="V178" s="73"/>
      <c r="W178" s="73"/>
      <c r="X178" s="73"/>
      <c r="Y178" s="61"/>
      <c r="Z178" s="61"/>
      <c r="AA178" s="61"/>
      <c r="AB178" s="66" t="str">
        <f t="shared" si="26"/>
        <v/>
      </c>
      <c r="AC178" s="74" t="str">
        <f t="shared" si="27"/>
        <v/>
      </c>
      <c r="AD178" s="61" t="str">
        <f t="shared" ca="1" si="28"/>
        <v/>
      </c>
    </row>
    <row r="179" spans="1:30" ht="22.15" customHeight="1" x14ac:dyDescent="0.2">
      <c r="A179" s="53"/>
      <c r="B179" s="53"/>
      <c r="C179" s="53"/>
      <c r="D179" s="53"/>
      <c r="E179" s="53"/>
      <c r="F179" s="53"/>
      <c r="G179" s="53"/>
      <c r="H179" s="62"/>
      <c r="I179" s="62"/>
      <c r="J179" s="62"/>
      <c r="K179" s="67" t="str">
        <f t="shared" si="29"/>
        <v/>
      </c>
      <c r="L179" s="55"/>
      <c r="M179" s="71" t="str">
        <f t="shared" ca="1" si="25"/>
        <v/>
      </c>
      <c r="N179" s="53"/>
      <c r="O179" s="53"/>
      <c r="P179" s="53"/>
      <c r="Q179" s="68" t="str">
        <f>IF(B179="","",AC179-IFERROR(SUMIFS('🌴 الإجازات'!$G:$G,'🌴 الإجازات'!$B:$B,B179,'🌴 الإجازات'!$K:$K,"معتمدة"),0))</f>
        <v/>
      </c>
      <c r="R179" s="53"/>
      <c r="S179" s="53"/>
      <c r="T179" s="50"/>
      <c r="U179" s="72"/>
      <c r="V179" s="72"/>
      <c r="W179" s="72"/>
      <c r="X179" s="72"/>
      <c r="Y179" s="50"/>
      <c r="Z179" s="50"/>
      <c r="AA179" s="50"/>
      <c r="AB179" s="67" t="str">
        <f t="shared" si="26"/>
        <v/>
      </c>
      <c r="AC179" s="44" t="str">
        <f t="shared" si="27"/>
        <v/>
      </c>
      <c r="AD179" s="50" t="str">
        <f t="shared" ca="1" si="28"/>
        <v/>
      </c>
    </row>
    <row r="180" spans="1:30" ht="22.15" customHeight="1" x14ac:dyDescent="0.2">
      <c r="A180" s="57"/>
      <c r="B180" s="57"/>
      <c r="C180" s="57"/>
      <c r="D180" s="57"/>
      <c r="E180" s="57"/>
      <c r="F180" s="57"/>
      <c r="G180" s="57"/>
      <c r="H180" s="63"/>
      <c r="I180" s="63"/>
      <c r="J180" s="63"/>
      <c r="K180" s="66" t="str">
        <f t="shared" si="29"/>
        <v/>
      </c>
      <c r="L180" s="59"/>
      <c r="M180" s="70" t="str">
        <f t="shared" ca="1" si="25"/>
        <v/>
      </c>
      <c r="N180" s="57"/>
      <c r="O180" s="57"/>
      <c r="P180" s="57"/>
      <c r="Q180" s="69" t="str">
        <f>IF(B180="","",AC180-IFERROR(SUMIFS('🌴 الإجازات'!$G:$G,'🌴 الإجازات'!$B:$B,B180,'🌴 الإجازات'!$K:$K,"معتمدة"),0))</f>
        <v/>
      </c>
      <c r="R180" s="57"/>
      <c r="S180" s="57"/>
      <c r="T180" s="61"/>
      <c r="U180" s="73"/>
      <c r="V180" s="73"/>
      <c r="W180" s="73"/>
      <c r="X180" s="73"/>
      <c r="Y180" s="61"/>
      <c r="Z180" s="61"/>
      <c r="AA180" s="61"/>
      <c r="AB180" s="66" t="str">
        <f t="shared" si="26"/>
        <v/>
      </c>
      <c r="AC180" s="74" t="str">
        <f t="shared" si="27"/>
        <v/>
      </c>
      <c r="AD180" s="61" t="str">
        <f t="shared" ca="1" si="28"/>
        <v/>
      </c>
    </row>
    <row r="181" spans="1:30" ht="22.15" customHeight="1" x14ac:dyDescent="0.2">
      <c r="A181" s="53"/>
      <c r="B181" s="53"/>
      <c r="C181" s="53"/>
      <c r="D181" s="53"/>
      <c r="E181" s="53"/>
      <c r="F181" s="53"/>
      <c r="G181" s="53"/>
      <c r="H181" s="62"/>
      <c r="I181" s="62"/>
      <c r="J181" s="62"/>
      <c r="K181" s="67" t="str">
        <f t="shared" si="29"/>
        <v/>
      </c>
      <c r="L181" s="55"/>
      <c r="M181" s="71" t="str">
        <f t="shared" ca="1" si="25"/>
        <v/>
      </c>
      <c r="N181" s="53"/>
      <c r="O181" s="53"/>
      <c r="P181" s="53"/>
      <c r="Q181" s="68" t="str">
        <f>IF(B181="","",AC181-IFERROR(SUMIFS('🌴 الإجازات'!$G:$G,'🌴 الإجازات'!$B:$B,B181,'🌴 الإجازات'!$K:$K,"معتمدة"),0))</f>
        <v/>
      </c>
      <c r="R181" s="53"/>
      <c r="S181" s="53"/>
      <c r="T181" s="50"/>
      <c r="U181" s="72"/>
      <c r="V181" s="72"/>
      <c r="W181" s="72"/>
      <c r="X181" s="72"/>
      <c r="Y181" s="50"/>
      <c r="Z181" s="50"/>
      <c r="AA181" s="50"/>
      <c r="AB181" s="67" t="str">
        <f t="shared" si="26"/>
        <v/>
      </c>
      <c r="AC181" s="44" t="str">
        <f t="shared" si="27"/>
        <v/>
      </c>
      <c r="AD181" s="50" t="str">
        <f t="shared" ca="1" si="28"/>
        <v/>
      </c>
    </row>
    <row r="182" spans="1:30" ht="22.15" customHeight="1" x14ac:dyDescent="0.2">
      <c r="A182" s="57"/>
      <c r="B182" s="57"/>
      <c r="C182" s="57"/>
      <c r="D182" s="57"/>
      <c r="E182" s="57"/>
      <c r="F182" s="57"/>
      <c r="G182" s="57"/>
      <c r="H182" s="63"/>
      <c r="I182" s="63"/>
      <c r="J182" s="63"/>
      <c r="K182" s="66" t="str">
        <f t="shared" si="29"/>
        <v/>
      </c>
      <c r="L182" s="59"/>
      <c r="M182" s="70" t="str">
        <f t="shared" ca="1" si="25"/>
        <v/>
      </c>
      <c r="N182" s="57"/>
      <c r="O182" s="57"/>
      <c r="P182" s="57"/>
      <c r="Q182" s="69" t="str">
        <f>IF(B182="","",AC182-IFERROR(SUMIFS('🌴 الإجازات'!$G:$G,'🌴 الإجازات'!$B:$B,B182,'🌴 الإجازات'!$K:$K,"معتمدة"),0))</f>
        <v/>
      </c>
      <c r="R182" s="57"/>
      <c r="S182" s="57"/>
      <c r="T182" s="61"/>
      <c r="U182" s="73"/>
      <c r="V182" s="73"/>
      <c r="W182" s="73"/>
      <c r="X182" s="73"/>
      <c r="Y182" s="61"/>
      <c r="Z182" s="61"/>
      <c r="AA182" s="61"/>
      <c r="AB182" s="66" t="str">
        <f t="shared" si="26"/>
        <v/>
      </c>
      <c r="AC182" s="74" t="str">
        <f t="shared" si="27"/>
        <v/>
      </c>
      <c r="AD182" s="61" t="str">
        <f t="shared" ca="1" si="28"/>
        <v/>
      </c>
    </row>
    <row r="183" spans="1:30" ht="22.15" customHeight="1" x14ac:dyDescent="0.2">
      <c r="A183" s="53"/>
      <c r="B183" s="53"/>
      <c r="C183" s="53"/>
      <c r="D183" s="53"/>
      <c r="E183" s="53"/>
      <c r="F183" s="53"/>
      <c r="G183" s="53"/>
      <c r="H183" s="62"/>
      <c r="I183" s="62"/>
      <c r="J183" s="62"/>
      <c r="K183" s="67" t="str">
        <f t="shared" si="29"/>
        <v/>
      </c>
      <c r="L183" s="55"/>
      <c r="M183" s="71" t="str">
        <f t="shared" ca="1" si="25"/>
        <v/>
      </c>
      <c r="N183" s="53"/>
      <c r="O183" s="53"/>
      <c r="P183" s="53"/>
      <c r="Q183" s="68" t="str">
        <f>IF(B183="","",AC183-IFERROR(SUMIFS('🌴 الإجازات'!$G:$G,'🌴 الإجازات'!$B:$B,B183,'🌴 الإجازات'!$K:$K,"معتمدة"),0))</f>
        <v/>
      </c>
      <c r="R183" s="53"/>
      <c r="S183" s="53"/>
      <c r="T183" s="50"/>
      <c r="U183" s="72"/>
      <c r="V183" s="72"/>
      <c r="W183" s="72"/>
      <c r="X183" s="72"/>
      <c r="Y183" s="50"/>
      <c r="Z183" s="50"/>
      <c r="AA183" s="50"/>
      <c r="AB183" s="67" t="str">
        <f t="shared" si="26"/>
        <v/>
      </c>
      <c r="AC183" s="44" t="str">
        <f t="shared" si="27"/>
        <v/>
      </c>
      <c r="AD183" s="50" t="str">
        <f t="shared" ca="1" si="28"/>
        <v/>
      </c>
    </row>
    <row r="184" spans="1:30" ht="22.15" customHeight="1" x14ac:dyDescent="0.2">
      <c r="A184" s="57"/>
      <c r="B184" s="57"/>
      <c r="C184" s="57"/>
      <c r="D184" s="57"/>
      <c r="E184" s="57"/>
      <c r="F184" s="57"/>
      <c r="G184" s="57"/>
      <c r="H184" s="63"/>
      <c r="I184" s="63"/>
      <c r="J184" s="63"/>
      <c r="K184" s="66" t="str">
        <f t="shared" si="29"/>
        <v/>
      </c>
      <c r="L184" s="59"/>
      <c r="M184" s="70" t="str">
        <f t="shared" ca="1" si="25"/>
        <v/>
      </c>
      <c r="N184" s="57"/>
      <c r="O184" s="57"/>
      <c r="P184" s="57"/>
      <c r="Q184" s="69" t="str">
        <f>IF(B184="","",AC184-IFERROR(SUMIFS('🌴 الإجازات'!$G:$G,'🌴 الإجازات'!$B:$B,B184,'🌴 الإجازات'!$K:$K,"معتمدة"),0))</f>
        <v/>
      </c>
      <c r="R184" s="57"/>
      <c r="S184" s="57"/>
      <c r="T184" s="61"/>
      <c r="U184" s="73"/>
      <c r="V184" s="73"/>
      <c r="W184" s="73"/>
      <c r="X184" s="73"/>
      <c r="Y184" s="61"/>
      <c r="Z184" s="61"/>
      <c r="AA184" s="61"/>
      <c r="AB184" s="66" t="str">
        <f t="shared" si="26"/>
        <v/>
      </c>
      <c r="AC184" s="74" t="str">
        <f t="shared" si="27"/>
        <v/>
      </c>
      <c r="AD184" s="61" t="str">
        <f t="shared" ca="1" si="28"/>
        <v/>
      </c>
    </row>
    <row r="185" spans="1:30" ht="22.15" customHeight="1" x14ac:dyDescent="0.2">
      <c r="A185" s="53"/>
      <c r="B185" s="53"/>
      <c r="C185" s="53"/>
      <c r="D185" s="53"/>
      <c r="E185" s="53"/>
      <c r="F185" s="53"/>
      <c r="G185" s="53"/>
      <c r="H185" s="62"/>
      <c r="I185" s="62"/>
      <c r="J185" s="62"/>
      <c r="K185" s="67" t="str">
        <f t="shared" si="29"/>
        <v/>
      </c>
      <c r="L185" s="55"/>
      <c r="M185" s="71" t="str">
        <f t="shared" ca="1" si="25"/>
        <v/>
      </c>
      <c r="N185" s="53"/>
      <c r="O185" s="53"/>
      <c r="P185" s="53"/>
      <c r="Q185" s="68" t="str">
        <f>IF(B185="","",AC185-IFERROR(SUMIFS('🌴 الإجازات'!$G:$G,'🌴 الإجازات'!$B:$B,B185,'🌴 الإجازات'!$K:$K,"معتمدة"),0))</f>
        <v/>
      </c>
      <c r="R185" s="53"/>
      <c r="S185" s="53"/>
      <c r="T185" s="50"/>
      <c r="U185" s="72"/>
      <c r="V185" s="72"/>
      <c r="W185" s="72"/>
      <c r="X185" s="72"/>
      <c r="Y185" s="50"/>
      <c r="Z185" s="50"/>
      <c r="AA185" s="50"/>
      <c r="AB185" s="67" t="str">
        <f t="shared" si="26"/>
        <v/>
      </c>
      <c r="AC185" s="44" t="str">
        <f t="shared" si="27"/>
        <v/>
      </c>
      <c r="AD185" s="50" t="str">
        <f t="shared" ca="1" si="28"/>
        <v/>
      </c>
    </row>
    <row r="186" spans="1:30" ht="22.15" customHeight="1" x14ac:dyDescent="0.2">
      <c r="A186" s="57"/>
      <c r="B186" s="57"/>
      <c r="C186" s="57"/>
      <c r="D186" s="57"/>
      <c r="E186" s="57"/>
      <c r="F186" s="57"/>
      <c r="G186" s="57"/>
      <c r="H186" s="63"/>
      <c r="I186" s="63"/>
      <c r="J186" s="63"/>
      <c r="K186" s="66" t="str">
        <f t="shared" si="29"/>
        <v/>
      </c>
      <c r="L186" s="59"/>
      <c r="M186" s="70" t="str">
        <f t="shared" ca="1" si="25"/>
        <v/>
      </c>
      <c r="N186" s="57"/>
      <c r="O186" s="57"/>
      <c r="P186" s="57"/>
      <c r="Q186" s="69" t="str">
        <f>IF(B186="","",AC186-IFERROR(SUMIFS('🌴 الإجازات'!$G:$G,'🌴 الإجازات'!$B:$B,B186,'🌴 الإجازات'!$K:$K,"معتمدة"),0))</f>
        <v/>
      </c>
      <c r="R186" s="57"/>
      <c r="S186" s="57"/>
      <c r="T186" s="61"/>
      <c r="U186" s="73"/>
      <c r="V186" s="73"/>
      <c r="W186" s="73"/>
      <c r="X186" s="73"/>
      <c r="Y186" s="61"/>
      <c r="Z186" s="61"/>
      <c r="AA186" s="61"/>
      <c r="AB186" s="66" t="str">
        <f t="shared" si="26"/>
        <v/>
      </c>
      <c r="AC186" s="74" t="str">
        <f t="shared" si="27"/>
        <v/>
      </c>
      <c r="AD186" s="61" t="str">
        <f t="shared" ca="1" si="28"/>
        <v/>
      </c>
    </row>
    <row r="187" spans="1:30" ht="22.15" customHeight="1" x14ac:dyDescent="0.2">
      <c r="A187" s="53"/>
      <c r="B187" s="53"/>
      <c r="C187" s="53"/>
      <c r="D187" s="53"/>
      <c r="E187" s="53"/>
      <c r="F187" s="53"/>
      <c r="G187" s="53"/>
      <c r="H187" s="62"/>
      <c r="I187" s="62"/>
      <c r="J187" s="62"/>
      <c r="K187" s="67" t="str">
        <f t="shared" si="29"/>
        <v/>
      </c>
      <c r="L187" s="55"/>
      <c r="M187" s="71" t="str">
        <f t="shared" ca="1" si="25"/>
        <v/>
      </c>
      <c r="N187" s="53"/>
      <c r="O187" s="53"/>
      <c r="P187" s="53"/>
      <c r="Q187" s="68" t="str">
        <f>IF(B187="","",AC187-IFERROR(SUMIFS('🌴 الإجازات'!$G:$G,'🌴 الإجازات'!$B:$B,B187,'🌴 الإجازات'!$K:$K,"معتمدة"),0))</f>
        <v/>
      </c>
      <c r="R187" s="53"/>
      <c r="S187" s="53"/>
      <c r="T187" s="50"/>
      <c r="U187" s="72"/>
      <c r="V187" s="72"/>
      <c r="W187" s="72"/>
      <c r="X187" s="72"/>
      <c r="Y187" s="50"/>
      <c r="Z187" s="50"/>
      <c r="AA187" s="50"/>
      <c r="AB187" s="67" t="str">
        <f t="shared" si="26"/>
        <v/>
      </c>
      <c r="AC187" s="44" t="str">
        <f t="shared" si="27"/>
        <v/>
      </c>
      <c r="AD187" s="50" t="str">
        <f t="shared" ca="1" si="28"/>
        <v/>
      </c>
    </row>
    <row r="188" spans="1:30" ht="22.15" customHeight="1" x14ac:dyDescent="0.2">
      <c r="A188" s="57"/>
      <c r="B188" s="57"/>
      <c r="C188" s="57"/>
      <c r="D188" s="57"/>
      <c r="E188" s="57"/>
      <c r="F188" s="57"/>
      <c r="G188" s="57"/>
      <c r="H188" s="63"/>
      <c r="I188" s="63"/>
      <c r="J188" s="63"/>
      <c r="K188" s="66" t="str">
        <f t="shared" si="29"/>
        <v/>
      </c>
      <c r="L188" s="59"/>
      <c r="M188" s="70" t="str">
        <f t="shared" ca="1" si="25"/>
        <v/>
      </c>
      <c r="N188" s="57"/>
      <c r="O188" s="57"/>
      <c r="P188" s="57"/>
      <c r="Q188" s="69" t="str">
        <f>IF(B188="","",AC188-IFERROR(SUMIFS('🌴 الإجازات'!$G:$G,'🌴 الإجازات'!$B:$B,B188,'🌴 الإجازات'!$K:$K,"معتمدة"),0))</f>
        <v/>
      </c>
      <c r="R188" s="57"/>
      <c r="S188" s="57"/>
      <c r="T188" s="61"/>
      <c r="U188" s="73"/>
      <c r="V188" s="73"/>
      <c r="W188" s="73"/>
      <c r="X188" s="73"/>
      <c r="Y188" s="61"/>
      <c r="Z188" s="61"/>
      <c r="AA188" s="61"/>
      <c r="AB188" s="66" t="str">
        <f t="shared" si="26"/>
        <v/>
      </c>
      <c r="AC188" s="74" t="str">
        <f t="shared" si="27"/>
        <v/>
      </c>
      <c r="AD188" s="61" t="str">
        <f t="shared" ca="1" si="28"/>
        <v/>
      </c>
    </row>
    <row r="189" spans="1:30" ht="22.15" customHeight="1" x14ac:dyDescent="0.2">
      <c r="A189" s="53"/>
      <c r="B189" s="53"/>
      <c r="C189" s="53"/>
      <c r="D189" s="53"/>
      <c r="E189" s="53"/>
      <c r="F189" s="53"/>
      <c r="G189" s="53"/>
      <c r="H189" s="62"/>
      <c r="I189" s="62"/>
      <c r="J189" s="62"/>
      <c r="K189" s="67" t="str">
        <f t="shared" si="29"/>
        <v/>
      </c>
      <c r="L189" s="55"/>
      <c r="M189" s="71" t="str">
        <f t="shared" ca="1" si="25"/>
        <v/>
      </c>
      <c r="N189" s="53"/>
      <c r="O189" s="53"/>
      <c r="P189" s="53"/>
      <c r="Q189" s="68" t="str">
        <f>IF(B189="","",AC189-IFERROR(SUMIFS('🌴 الإجازات'!$G:$G,'🌴 الإجازات'!$B:$B,B189,'🌴 الإجازات'!$K:$K,"معتمدة"),0))</f>
        <v/>
      </c>
      <c r="R189" s="53"/>
      <c r="S189" s="53"/>
      <c r="T189" s="50"/>
      <c r="U189" s="72"/>
      <c r="V189" s="72"/>
      <c r="W189" s="72"/>
      <c r="X189" s="72"/>
      <c r="Y189" s="50"/>
      <c r="Z189" s="50"/>
      <c r="AA189" s="50"/>
      <c r="AB189" s="67" t="str">
        <f t="shared" si="26"/>
        <v/>
      </c>
      <c r="AC189" s="44" t="str">
        <f t="shared" si="27"/>
        <v/>
      </c>
      <c r="AD189" s="50" t="str">
        <f t="shared" ca="1" si="28"/>
        <v/>
      </c>
    </row>
    <row r="190" spans="1:30" ht="22.15" customHeight="1" x14ac:dyDescent="0.2">
      <c r="A190" s="57"/>
      <c r="B190" s="57"/>
      <c r="C190" s="57"/>
      <c r="D190" s="57"/>
      <c r="E190" s="57"/>
      <c r="F190" s="57"/>
      <c r="G190" s="57"/>
      <c r="H190" s="63"/>
      <c r="I190" s="63"/>
      <c r="J190" s="63"/>
      <c r="K190" s="66" t="str">
        <f t="shared" si="29"/>
        <v/>
      </c>
      <c r="L190" s="59"/>
      <c r="M190" s="70" t="str">
        <f t="shared" ca="1" si="25"/>
        <v/>
      </c>
      <c r="N190" s="57"/>
      <c r="O190" s="57"/>
      <c r="P190" s="57"/>
      <c r="Q190" s="69" t="str">
        <f>IF(B190="","",AC190-IFERROR(SUMIFS('🌴 الإجازات'!$G:$G,'🌴 الإجازات'!$B:$B,B190,'🌴 الإجازات'!$K:$K,"معتمدة"),0))</f>
        <v/>
      </c>
      <c r="R190" s="57"/>
      <c r="S190" s="57"/>
      <c r="T190" s="61"/>
      <c r="U190" s="73"/>
      <c r="V190" s="73"/>
      <c r="W190" s="73"/>
      <c r="X190" s="73"/>
      <c r="Y190" s="61"/>
      <c r="Z190" s="61"/>
      <c r="AA190" s="61"/>
      <c r="AB190" s="66" t="str">
        <f t="shared" si="26"/>
        <v/>
      </c>
      <c r="AC190" s="74" t="str">
        <f t="shared" si="27"/>
        <v/>
      </c>
      <c r="AD190" s="61" t="str">
        <f t="shared" ca="1" si="28"/>
        <v/>
      </c>
    </row>
    <row r="191" spans="1:30" ht="22.15" customHeight="1" x14ac:dyDescent="0.2">
      <c r="A191" s="53"/>
      <c r="B191" s="53"/>
      <c r="C191" s="53"/>
      <c r="D191" s="53"/>
      <c r="E191" s="53"/>
      <c r="F191" s="53"/>
      <c r="G191" s="53"/>
      <c r="H191" s="62"/>
      <c r="I191" s="62"/>
      <c r="J191" s="62"/>
      <c r="K191" s="67" t="str">
        <f t="shared" si="29"/>
        <v/>
      </c>
      <c r="L191" s="55"/>
      <c r="M191" s="71" t="str">
        <f t="shared" ca="1" si="25"/>
        <v/>
      </c>
      <c r="N191" s="53"/>
      <c r="O191" s="53"/>
      <c r="P191" s="53"/>
      <c r="Q191" s="68" t="str">
        <f>IF(B191="","",AC191-IFERROR(SUMIFS('🌴 الإجازات'!$G:$G,'🌴 الإجازات'!$B:$B,B191,'🌴 الإجازات'!$K:$K,"معتمدة"),0))</f>
        <v/>
      </c>
      <c r="R191" s="53"/>
      <c r="S191" s="53"/>
      <c r="T191" s="50"/>
      <c r="U191" s="72"/>
      <c r="V191" s="72"/>
      <c r="W191" s="72"/>
      <c r="X191" s="72"/>
      <c r="Y191" s="50"/>
      <c r="Z191" s="50"/>
      <c r="AA191" s="50"/>
      <c r="AB191" s="67" t="str">
        <f t="shared" si="26"/>
        <v/>
      </c>
      <c r="AC191" s="44" t="str">
        <f t="shared" si="27"/>
        <v/>
      </c>
      <c r="AD191" s="50" t="str">
        <f t="shared" ca="1" si="28"/>
        <v/>
      </c>
    </row>
    <row r="192" spans="1:30" ht="22.15" customHeight="1" x14ac:dyDescent="0.2">
      <c r="A192" s="57"/>
      <c r="B192" s="57"/>
      <c r="C192" s="57"/>
      <c r="D192" s="57"/>
      <c r="E192" s="57"/>
      <c r="F192" s="57"/>
      <c r="G192" s="57"/>
      <c r="H192" s="63"/>
      <c r="I192" s="63"/>
      <c r="J192" s="63"/>
      <c r="K192" s="66" t="str">
        <f t="shared" si="29"/>
        <v/>
      </c>
      <c r="L192" s="59"/>
      <c r="M192" s="70" t="str">
        <f t="shared" ca="1" si="25"/>
        <v/>
      </c>
      <c r="N192" s="57"/>
      <c r="O192" s="57"/>
      <c r="P192" s="57"/>
      <c r="Q192" s="69" t="str">
        <f>IF(B192="","",AC192-IFERROR(SUMIFS('🌴 الإجازات'!$G:$G,'🌴 الإجازات'!$B:$B,B192,'🌴 الإجازات'!$K:$K,"معتمدة"),0))</f>
        <v/>
      </c>
      <c r="R192" s="57"/>
      <c r="S192" s="57"/>
      <c r="T192" s="61"/>
      <c r="U192" s="73"/>
      <c r="V192" s="73"/>
      <c r="W192" s="73"/>
      <c r="X192" s="73"/>
      <c r="Y192" s="61"/>
      <c r="Z192" s="61"/>
      <c r="AA192" s="61"/>
      <c r="AB192" s="66" t="str">
        <f t="shared" si="26"/>
        <v/>
      </c>
      <c r="AC192" s="74" t="str">
        <f t="shared" si="27"/>
        <v/>
      </c>
      <c r="AD192" s="61" t="str">
        <f t="shared" ca="1" si="28"/>
        <v/>
      </c>
    </row>
    <row r="193" spans="1:30" ht="22.15" customHeight="1" x14ac:dyDescent="0.2">
      <c r="A193" s="53"/>
      <c r="B193" s="53"/>
      <c r="C193" s="53"/>
      <c r="D193" s="53"/>
      <c r="E193" s="53"/>
      <c r="F193" s="53"/>
      <c r="G193" s="53"/>
      <c r="H193" s="62"/>
      <c r="I193" s="62"/>
      <c r="J193" s="62"/>
      <c r="K193" s="67" t="str">
        <f t="shared" si="29"/>
        <v/>
      </c>
      <c r="L193" s="55"/>
      <c r="M193" s="71" t="str">
        <f t="shared" ca="1" si="25"/>
        <v/>
      </c>
      <c r="N193" s="53"/>
      <c r="O193" s="53"/>
      <c r="P193" s="53"/>
      <c r="Q193" s="68" t="str">
        <f>IF(B193="","",AC193-IFERROR(SUMIFS('🌴 الإجازات'!$G:$G,'🌴 الإجازات'!$B:$B,B193,'🌴 الإجازات'!$K:$K,"معتمدة"),0))</f>
        <v/>
      </c>
      <c r="R193" s="53"/>
      <c r="S193" s="53"/>
      <c r="T193" s="50"/>
      <c r="U193" s="72"/>
      <c r="V193" s="72"/>
      <c r="W193" s="72"/>
      <c r="X193" s="72"/>
      <c r="Y193" s="50"/>
      <c r="Z193" s="50"/>
      <c r="AA193" s="50"/>
      <c r="AB193" s="67" t="str">
        <f t="shared" si="26"/>
        <v/>
      </c>
      <c r="AC193" s="44" t="str">
        <f t="shared" si="27"/>
        <v/>
      </c>
      <c r="AD193" s="50" t="str">
        <f t="shared" ca="1" si="28"/>
        <v/>
      </c>
    </row>
    <row r="194" spans="1:30" ht="22.15" customHeight="1" x14ac:dyDescent="0.2">
      <c r="A194" s="57"/>
      <c r="B194" s="57"/>
      <c r="C194" s="57"/>
      <c r="D194" s="57"/>
      <c r="E194" s="57"/>
      <c r="F194" s="57"/>
      <c r="G194" s="57"/>
      <c r="H194" s="63"/>
      <c r="I194" s="63"/>
      <c r="J194" s="63"/>
      <c r="K194" s="66" t="str">
        <f t="shared" si="29"/>
        <v/>
      </c>
      <c r="L194" s="59"/>
      <c r="M194" s="70" t="str">
        <f t="shared" ca="1" si="25"/>
        <v/>
      </c>
      <c r="N194" s="57"/>
      <c r="O194" s="57"/>
      <c r="P194" s="57"/>
      <c r="Q194" s="69" t="str">
        <f>IF(B194="","",AC194-IFERROR(SUMIFS('🌴 الإجازات'!$G:$G,'🌴 الإجازات'!$B:$B,B194,'🌴 الإجازات'!$K:$K,"معتمدة"),0))</f>
        <v/>
      </c>
      <c r="R194" s="57"/>
      <c r="S194" s="57"/>
      <c r="T194" s="61"/>
      <c r="U194" s="73"/>
      <c r="V194" s="73"/>
      <c r="W194" s="73"/>
      <c r="X194" s="73"/>
      <c r="Y194" s="61"/>
      <c r="Z194" s="61"/>
      <c r="AA194" s="61"/>
      <c r="AB194" s="66" t="str">
        <f t="shared" si="26"/>
        <v/>
      </c>
      <c r="AC194" s="74" t="str">
        <f t="shared" si="27"/>
        <v/>
      </c>
      <c r="AD194" s="61" t="str">
        <f t="shared" ca="1" si="28"/>
        <v/>
      </c>
    </row>
    <row r="195" spans="1:30" ht="22.15" customHeight="1" x14ac:dyDescent="0.2">
      <c r="A195" s="53"/>
      <c r="B195" s="53"/>
      <c r="C195" s="53"/>
      <c r="D195" s="53"/>
      <c r="E195" s="53"/>
      <c r="F195" s="53"/>
      <c r="G195" s="53"/>
      <c r="H195" s="62"/>
      <c r="I195" s="62"/>
      <c r="J195" s="62"/>
      <c r="K195" s="67" t="str">
        <f t="shared" si="29"/>
        <v/>
      </c>
      <c r="L195" s="55"/>
      <c r="M195" s="71" t="str">
        <f t="shared" ca="1" si="25"/>
        <v/>
      </c>
      <c r="N195" s="53"/>
      <c r="O195" s="53"/>
      <c r="P195" s="53"/>
      <c r="Q195" s="68" t="str">
        <f>IF(B195="","",AC195-IFERROR(SUMIFS('🌴 الإجازات'!$G:$G,'🌴 الإجازات'!$B:$B,B195,'🌴 الإجازات'!$K:$K,"معتمدة"),0))</f>
        <v/>
      </c>
      <c r="R195" s="53"/>
      <c r="S195" s="53"/>
      <c r="T195" s="50"/>
      <c r="U195" s="72"/>
      <c r="V195" s="72"/>
      <c r="W195" s="72"/>
      <c r="X195" s="72"/>
      <c r="Y195" s="50"/>
      <c r="Z195" s="50"/>
      <c r="AA195" s="50"/>
      <c r="AB195" s="67" t="str">
        <f t="shared" si="26"/>
        <v/>
      </c>
      <c r="AC195" s="44" t="str">
        <f t="shared" si="27"/>
        <v/>
      </c>
      <c r="AD195" s="50" t="str">
        <f t="shared" ca="1" si="28"/>
        <v/>
      </c>
    </row>
    <row r="196" spans="1:30" ht="22.15" customHeight="1" x14ac:dyDescent="0.2">
      <c r="A196" s="57"/>
      <c r="B196" s="57"/>
      <c r="C196" s="57"/>
      <c r="D196" s="57"/>
      <c r="E196" s="57"/>
      <c r="F196" s="57"/>
      <c r="G196" s="57"/>
      <c r="H196" s="63"/>
      <c r="I196" s="63"/>
      <c r="J196" s="63"/>
      <c r="K196" s="66" t="str">
        <f t="shared" si="29"/>
        <v/>
      </c>
      <c r="L196" s="59"/>
      <c r="M196" s="70" t="str">
        <f t="shared" ca="1" si="25"/>
        <v/>
      </c>
      <c r="N196" s="57"/>
      <c r="O196" s="57"/>
      <c r="P196" s="57"/>
      <c r="Q196" s="69" t="str">
        <f>IF(B196="","",AC196-IFERROR(SUMIFS('🌴 الإجازات'!$G:$G,'🌴 الإجازات'!$B:$B,B196,'🌴 الإجازات'!$K:$K,"معتمدة"),0))</f>
        <v/>
      </c>
      <c r="R196" s="57"/>
      <c r="S196" s="57"/>
      <c r="T196" s="61"/>
      <c r="U196" s="73"/>
      <c r="V196" s="73"/>
      <c r="W196" s="73"/>
      <c r="X196" s="73"/>
      <c r="Y196" s="61"/>
      <c r="Z196" s="61"/>
      <c r="AA196" s="61"/>
      <c r="AB196" s="66" t="str">
        <f t="shared" si="26"/>
        <v/>
      </c>
      <c r="AC196" s="74" t="str">
        <f t="shared" si="27"/>
        <v/>
      </c>
      <c r="AD196" s="61" t="str">
        <f t="shared" ca="1" si="28"/>
        <v/>
      </c>
    </row>
    <row r="197" spans="1:30" ht="22.15" customHeight="1" x14ac:dyDescent="0.2">
      <c r="A197" s="53"/>
      <c r="B197" s="53"/>
      <c r="C197" s="53"/>
      <c r="D197" s="53"/>
      <c r="E197" s="53"/>
      <c r="F197" s="53"/>
      <c r="G197" s="53"/>
      <c r="H197" s="62"/>
      <c r="I197" s="62"/>
      <c r="J197" s="62"/>
      <c r="K197" s="67" t="str">
        <f t="shared" si="29"/>
        <v/>
      </c>
      <c r="L197" s="55"/>
      <c r="M197" s="71" t="str">
        <f t="shared" ref="M197:M204" ca="1" si="30">IF(L197&lt;&gt;"",DATEDIF(L197,TODAY(),"Y"),"")</f>
        <v/>
      </c>
      <c r="N197" s="53"/>
      <c r="O197" s="53"/>
      <c r="P197" s="53"/>
      <c r="Q197" s="68" t="str">
        <f>IF(B197="","",AC197-IFERROR(SUMIFS('🌴 الإجازات'!$G:$G,'🌴 الإجازات'!$B:$B,B197,'🌴 الإجازات'!$K:$K,"معتمدة"),0))</f>
        <v/>
      </c>
      <c r="R197" s="53"/>
      <c r="S197" s="53"/>
      <c r="T197" s="50"/>
      <c r="U197" s="72"/>
      <c r="V197" s="72"/>
      <c r="W197" s="72"/>
      <c r="X197" s="72"/>
      <c r="Y197" s="50"/>
      <c r="Z197" s="50"/>
      <c r="AA197" s="50"/>
      <c r="AB197" s="67" t="str">
        <f t="shared" ref="AB197:AB204" si="31">IF(AND(B197&lt;&gt;"",L197&lt;&gt;""),(0.5*H197*MIN(M197,5))+(1*H197*MAX(0,M197-5)),"")</f>
        <v/>
      </c>
      <c r="AC197" s="44" t="str">
        <f t="shared" ref="AC197:AC204" si="32">IF(B197&lt;&gt;"",IF(IFERROR(M197,0)&gt;=5,LeaveDaysSenior,LeaveDaysJunior),"")</f>
        <v/>
      </c>
      <c r="AD197" s="50" t="str">
        <f t="shared" ref="AD197:AD204" ca="1" si="33">IF(B197="","",IF(AND(X197&lt;&gt;"",X197-TODAY()&lt;=ExpiryWarnDays,X197-TODAY()&gt;=0),"⚠️ إقامة تنتهي خلال "&amp;(X197-TODAY())&amp;" يوم",IF(AND(V197&lt;&gt;"",V197-TODAY()&lt;=ExpiryWarnDays,V197-TODAY()&gt;=0),"⚠️ عقد ينتهي خلال "&amp;(V197-TODAY())&amp;" يوم",IF(AND(W197&lt;&gt;"",W197-TODAY()&lt;=30,W197-TODAY()&gt;=0),"🟡 تجربة تنتهي خلال "&amp;(W197-TODAY())&amp;" يوم",""))))</f>
        <v/>
      </c>
    </row>
    <row r="198" spans="1:30" ht="22.15" customHeight="1" x14ac:dyDescent="0.2">
      <c r="A198" s="57"/>
      <c r="B198" s="57"/>
      <c r="C198" s="57"/>
      <c r="D198" s="57"/>
      <c r="E198" s="57"/>
      <c r="F198" s="57"/>
      <c r="G198" s="57"/>
      <c r="H198" s="63"/>
      <c r="I198" s="63"/>
      <c r="J198" s="63"/>
      <c r="K198" s="66" t="str">
        <f t="shared" si="29"/>
        <v/>
      </c>
      <c r="L198" s="59"/>
      <c r="M198" s="70" t="str">
        <f t="shared" ca="1" si="30"/>
        <v/>
      </c>
      <c r="N198" s="57"/>
      <c r="O198" s="57"/>
      <c r="P198" s="57"/>
      <c r="Q198" s="69" t="str">
        <f>IF(B198="","",AC198-IFERROR(SUMIFS('🌴 الإجازات'!$G:$G,'🌴 الإجازات'!$B:$B,B198,'🌴 الإجازات'!$K:$K,"معتمدة"),0))</f>
        <v/>
      </c>
      <c r="R198" s="57"/>
      <c r="S198" s="57"/>
      <c r="T198" s="61"/>
      <c r="U198" s="73"/>
      <c r="V198" s="73"/>
      <c r="W198" s="73"/>
      <c r="X198" s="73"/>
      <c r="Y198" s="61"/>
      <c r="Z198" s="61"/>
      <c r="AA198" s="61"/>
      <c r="AB198" s="66" t="str">
        <f t="shared" si="31"/>
        <v/>
      </c>
      <c r="AC198" s="74" t="str">
        <f t="shared" si="32"/>
        <v/>
      </c>
      <c r="AD198" s="61" t="str">
        <f t="shared" ca="1" si="33"/>
        <v/>
      </c>
    </row>
    <row r="199" spans="1:30" ht="22.15" customHeight="1" x14ac:dyDescent="0.2">
      <c r="A199" s="53"/>
      <c r="B199" s="53"/>
      <c r="C199" s="53"/>
      <c r="D199" s="53"/>
      <c r="E199" s="53"/>
      <c r="F199" s="53"/>
      <c r="G199" s="53"/>
      <c r="H199" s="62"/>
      <c r="I199" s="62"/>
      <c r="J199" s="62"/>
      <c r="K199" s="67" t="str">
        <f t="shared" si="29"/>
        <v/>
      </c>
      <c r="L199" s="55"/>
      <c r="M199" s="71" t="str">
        <f t="shared" ca="1" si="30"/>
        <v/>
      </c>
      <c r="N199" s="53"/>
      <c r="O199" s="53"/>
      <c r="P199" s="53"/>
      <c r="Q199" s="68" t="str">
        <f>IF(B199="","",AC199-IFERROR(SUMIFS('🌴 الإجازات'!$G:$G,'🌴 الإجازات'!$B:$B,B199,'🌴 الإجازات'!$K:$K,"معتمدة"),0))</f>
        <v/>
      </c>
      <c r="R199" s="53"/>
      <c r="S199" s="53"/>
      <c r="T199" s="50"/>
      <c r="U199" s="72"/>
      <c r="V199" s="72"/>
      <c r="W199" s="72"/>
      <c r="X199" s="72"/>
      <c r="Y199" s="50"/>
      <c r="Z199" s="50"/>
      <c r="AA199" s="50"/>
      <c r="AB199" s="67" t="str">
        <f t="shared" si="31"/>
        <v/>
      </c>
      <c r="AC199" s="44" t="str">
        <f t="shared" si="32"/>
        <v/>
      </c>
      <c r="AD199" s="50" t="str">
        <f t="shared" ca="1" si="33"/>
        <v/>
      </c>
    </row>
    <row r="200" spans="1:30" ht="22.15" customHeight="1" x14ac:dyDescent="0.2">
      <c r="A200" s="57"/>
      <c r="B200" s="57"/>
      <c r="C200" s="57"/>
      <c r="D200" s="57"/>
      <c r="E200" s="57"/>
      <c r="F200" s="57"/>
      <c r="G200" s="57"/>
      <c r="H200" s="63"/>
      <c r="I200" s="63"/>
      <c r="J200" s="63"/>
      <c r="K200" s="66" t="str">
        <f t="shared" si="29"/>
        <v/>
      </c>
      <c r="L200" s="59"/>
      <c r="M200" s="70" t="str">
        <f t="shared" ca="1" si="30"/>
        <v/>
      </c>
      <c r="N200" s="57"/>
      <c r="O200" s="57"/>
      <c r="P200" s="57"/>
      <c r="Q200" s="69" t="str">
        <f>IF(B200="","",AC200-IFERROR(SUMIFS('🌴 الإجازات'!$G:$G,'🌴 الإجازات'!$B:$B,B200,'🌴 الإجازات'!$K:$K,"معتمدة"),0))</f>
        <v/>
      </c>
      <c r="R200" s="57"/>
      <c r="S200" s="57"/>
      <c r="T200" s="61"/>
      <c r="U200" s="73"/>
      <c r="V200" s="73"/>
      <c r="W200" s="73"/>
      <c r="X200" s="73"/>
      <c r="Y200" s="61"/>
      <c r="Z200" s="61"/>
      <c r="AA200" s="61"/>
      <c r="AB200" s="66" t="str">
        <f t="shared" si="31"/>
        <v/>
      </c>
      <c r="AC200" s="74" t="str">
        <f t="shared" si="32"/>
        <v/>
      </c>
      <c r="AD200" s="61" t="str">
        <f t="shared" ca="1" si="33"/>
        <v/>
      </c>
    </row>
    <row r="201" spans="1:30" ht="22.15" customHeight="1" x14ac:dyDescent="0.2">
      <c r="A201" s="53"/>
      <c r="B201" s="53"/>
      <c r="C201" s="53"/>
      <c r="D201" s="53"/>
      <c r="E201" s="53"/>
      <c r="F201" s="53"/>
      <c r="G201" s="53"/>
      <c r="H201" s="62"/>
      <c r="I201" s="62"/>
      <c r="J201" s="62"/>
      <c r="K201" s="67" t="str">
        <f t="shared" si="29"/>
        <v/>
      </c>
      <c r="L201" s="55"/>
      <c r="M201" s="71" t="str">
        <f t="shared" ca="1" si="30"/>
        <v/>
      </c>
      <c r="N201" s="53"/>
      <c r="O201" s="53"/>
      <c r="P201" s="53"/>
      <c r="Q201" s="68" t="str">
        <f>IF(B201="","",AC201-IFERROR(SUMIFS('🌴 الإجازات'!$G:$G,'🌴 الإجازات'!$B:$B,B201,'🌴 الإجازات'!$K:$K,"معتمدة"),0))</f>
        <v/>
      </c>
      <c r="R201" s="53"/>
      <c r="S201" s="53"/>
      <c r="T201" s="50"/>
      <c r="U201" s="72"/>
      <c r="V201" s="72"/>
      <c r="W201" s="72"/>
      <c r="X201" s="72"/>
      <c r="Y201" s="50"/>
      <c r="Z201" s="50"/>
      <c r="AA201" s="50"/>
      <c r="AB201" s="67" t="str">
        <f t="shared" si="31"/>
        <v/>
      </c>
      <c r="AC201" s="44" t="str">
        <f t="shared" si="32"/>
        <v/>
      </c>
      <c r="AD201" s="50" t="str">
        <f t="shared" ca="1" si="33"/>
        <v/>
      </c>
    </row>
    <row r="202" spans="1:30" ht="22.15" customHeight="1" x14ac:dyDescent="0.2">
      <c r="A202" s="57"/>
      <c r="B202" s="57"/>
      <c r="C202" s="57"/>
      <c r="D202" s="57"/>
      <c r="E202" s="57"/>
      <c r="F202" s="57"/>
      <c r="G202" s="57"/>
      <c r="H202" s="63"/>
      <c r="I202" s="63"/>
      <c r="J202" s="63"/>
      <c r="K202" s="66" t="str">
        <f t="shared" ref="K202:K204" si="34">IF(H202&lt;&gt;"",H202+I202+J202,"")</f>
        <v/>
      </c>
      <c r="L202" s="59"/>
      <c r="M202" s="70" t="str">
        <f t="shared" ca="1" si="30"/>
        <v/>
      </c>
      <c r="N202" s="57"/>
      <c r="O202" s="57"/>
      <c r="P202" s="57"/>
      <c r="Q202" s="69" t="str">
        <f>IF(B202="","",AC202-IFERROR(SUMIFS('🌴 الإجازات'!$G:$G,'🌴 الإجازات'!$B:$B,B202,'🌴 الإجازات'!$K:$K,"معتمدة"),0))</f>
        <v/>
      </c>
      <c r="R202" s="57"/>
      <c r="S202" s="57"/>
      <c r="T202" s="61"/>
      <c r="U202" s="73"/>
      <c r="V202" s="73"/>
      <c r="W202" s="73"/>
      <c r="X202" s="73"/>
      <c r="Y202" s="61"/>
      <c r="Z202" s="61"/>
      <c r="AA202" s="61"/>
      <c r="AB202" s="66" t="str">
        <f t="shared" si="31"/>
        <v/>
      </c>
      <c r="AC202" s="74" t="str">
        <f t="shared" si="32"/>
        <v/>
      </c>
      <c r="AD202" s="61" t="str">
        <f t="shared" ca="1" si="33"/>
        <v/>
      </c>
    </row>
    <row r="203" spans="1:30" ht="22.15" customHeight="1" x14ac:dyDescent="0.2">
      <c r="A203" s="53"/>
      <c r="B203" s="53"/>
      <c r="C203" s="53"/>
      <c r="D203" s="53"/>
      <c r="E203" s="53"/>
      <c r="F203" s="53"/>
      <c r="G203" s="53"/>
      <c r="H203" s="62"/>
      <c r="I203" s="62"/>
      <c r="J203" s="62"/>
      <c r="K203" s="67" t="str">
        <f t="shared" si="34"/>
        <v/>
      </c>
      <c r="L203" s="55"/>
      <c r="M203" s="71" t="str">
        <f t="shared" ca="1" si="30"/>
        <v/>
      </c>
      <c r="N203" s="53"/>
      <c r="O203" s="53"/>
      <c r="P203" s="53"/>
      <c r="Q203" s="68" t="str">
        <f>IF(B203="","",AC203-IFERROR(SUMIFS('🌴 الإجازات'!$G:$G,'🌴 الإجازات'!$B:$B,B203,'🌴 الإجازات'!$K:$K,"معتمدة"),0))</f>
        <v/>
      </c>
      <c r="R203" s="53"/>
      <c r="S203" s="53"/>
      <c r="T203" s="50"/>
      <c r="U203" s="72"/>
      <c r="V203" s="72"/>
      <c r="W203" s="72"/>
      <c r="X203" s="72"/>
      <c r="Y203" s="50"/>
      <c r="Z203" s="50"/>
      <c r="AA203" s="50"/>
      <c r="AB203" s="67" t="str">
        <f t="shared" si="31"/>
        <v/>
      </c>
      <c r="AC203" s="44" t="str">
        <f t="shared" si="32"/>
        <v/>
      </c>
      <c r="AD203" s="50" t="str">
        <f t="shared" ca="1" si="33"/>
        <v/>
      </c>
    </row>
    <row r="204" spans="1:30" ht="22.15" customHeight="1" x14ac:dyDescent="0.2">
      <c r="A204" s="57"/>
      <c r="B204" s="57"/>
      <c r="C204" s="57"/>
      <c r="D204" s="57"/>
      <c r="E204" s="57"/>
      <c r="F204" s="57"/>
      <c r="G204" s="57"/>
      <c r="H204" s="63"/>
      <c r="I204" s="63"/>
      <c r="J204" s="63"/>
      <c r="K204" s="66" t="str">
        <f t="shared" si="34"/>
        <v/>
      </c>
      <c r="L204" s="59"/>
      <c r="M204" s="70" t="str">
        <f t="shared" ca="1" si="30"/>
        <v/>
      </c>
      <c r="N204" s="57"/>
      <c r="O204" s="57"/>
      <c r="P204" s="57"/>
      <c r="Q204" s="69" t="str">
        <f>IF(B204="","",AC204-IFERROR(SUMIFS('🌴 الإجازات'!$G:$G,'🌴 الإجازات'!$B:$B,B204,'🌴 الإجازات'!$K:$K,"معتمدة"),0))</f>
        <v/>
      </c>
      <c r="R204" s="57"/>
      <c r="S204" s="57"/>
      <c r="T204" s="61"/>
      <c r="U204" s="73"/>
      <c r="V204" s="73"/>
      <c r="W204" s="73"/>
      <c r="X204" s="73"/>
      <c r="Y204" s="61"/>
      <c r="Z204" s="61"/>
      <c r="AA204" s="61"/>
      <c r="AB204" s="66" t="str">
        <f t="shared" si="31"/>
        <v/>
      </c>
      <c r="AC204" s="74" t="str">
        <f t="shared" si="32"/>
        <v/>
      </c>
      <c r="AD204" s="61" t="str">
        <f t="shared" ca="1" si="33"/>
        <v/>
      </c>
    </row>
  </sheetData>
  <mergeCells count="2">
    <mergeCell ref="A1:AD1"/>
    <mergeCell ref="A2:AD2"/>
  </mergeCells>
  <conditionalFormatting sqref="G5:G204">
    <cfRule type="expression" dxfId="9" priority="2" stopIfTrue="1">
      <formula>$G5="نشط"</formula>
    </cfRule>
  </conditionalFormatting>
  <conditionalFormatting sqref="AD5:AD204">
    <cfRule type="expression" dxfId="8" priority="1" stopIfTrue="1">
      <formula>$AD5&lt;&gt;""</formula>
    </cfRule>
  </conditionalFormatting>
  <dataValidations count="3">
    <dataValidation type="list" allowBlank="1" showInputMessage="1" showErrorMessage="1" sqref="E5:E204" xr:uid="{02EEAEDF-FEBF-45BF-B4B4-DEFA7E0F656F}">
      <formula1>ListDepts</formula1>
    </dataValidation>
    <dataValidation type="list" allowBlank="1" showInputMessage="1" showErrorMessage="1" sqref="G5:G204" xr:uid="{7309F7E7-85B7-48BA-903D-579BCAF22DA1}">
      <formula1>ListStatus</formula1>
    </dataValidation>
    <dataValidation type="list" allowBlank="1" showInputMessage="1" showErrorMessage="1" sqref="T5:T204" xr:uid="{F80578D9-683B-470A-9C68-008D327EF6C8}">
      <formula1>ListContractType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293B"/>
  </sheetPr>
  <dimension ref="A1:Z504"/>
  <sheetViews>
    <sheetView showGridLines="0" rightToLeft="1" zoomScaleNormal="100"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sqref="A1:Z1"/>
    </sheetView>
  </sheetViews>
  <sheetFormatPr defaultRowHeight="14.25" x14ac:dyDescent="0.2"/>
  <cols>
    <col min="1" max="1" width="5.625" customWidth="1"/>
    <col min="2" max="2" width="12.625" customWidth="1"/>
    <col min="3" max="3" width="24.625" customWidth="1"/>
    <col min="4" max="5" width="14.625" customWidth="1"/>
    <col min="6" max="8" width="12.625" customWidth="1"/>
    <col min="9" max="9" width="14.625" customWidth="1"/>
    <col min="10" max="10" width="12.625" customWidth="1"/>
    <col min="11" max="11" width="22.625" customWidth="1"/>
    <col min="12" max="12" width="12.625" customWidth="1"/>
  </cols>
  <sheetData>
    <row r="1" spans="1:26" ht="38.1" customHeight="1" x14ac:dyDescent="0.2">
      <c r="A1" s="191" t="s">
        <v>75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20.100000000000001" customHeight="1" x14ac:dyDescent="0.2">
      <c r="A2" s="192" t="s">
        <v>76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spans="1:26" ht="26.1" customHeight="1" x14ac:dyDescent="0.25">
      <c r="A3" s="195" t="s">
        <v>77</v>
      </c>
      <c r="B3" s="196"/>
      <c r="C3" s="196"/>
      <c r="D3" s="193">
        <v>5</v>
      </c>
      <c r="E3" s="194"/>
      <c r="F3" s="194"/>
      <c r="G3" s="195" t="s">
        <v>78</v>
      </c>
      <c r="H3" s="196"/>
      <c r="I3" s="196"/>
      <c r="J3" s="193">
        <v>2026</v>
      </c>
      <c r="K3" s="194"/>
      <c r="L3" s="194"/>
    </row>
    <row r="4" spans="1:26" ht="32.1" customHeight="1" x14ac:dyDescent="0.2">
      <c r="A4" s="35" t="s">
        <v>45</v>
      </c>
      <c r="B4" s="35" t="s">
        <v>46</v>
      </c>
      <c r="C4" s="35" t="s">
        <v>79</v>
      </c>
      <c r="D4" s="35" t="s">
        <v>80</v>
      </c>
      <c r="E4" s="35" t="s">
        <v>50</v>
      </c>
      <c r="F4" s="35" t="s">
        <v>81</v>
      </c>
      <c r="G4" s="35" t="s">
        <v>82</v>
      </c>
      <c r="H4" s="35" t="s">
        <v>83</v>
      </c>
      <c r="I4" s="35" t="s">
        <v>84</v>
      </c>
      <c r="J4" s="35" t="s">
        <v>85</v>
      </c>
      <c r="K4" s="35" t="s">
        <v>62</v>
      </c>
      <c r="L4" s="35" t="s">
        <v>214</v>
      </c>
    </row>
    <row r="5" spans="1:26" ht="22.15" customHeight="1" x14ac:dyDescent="0.2">
      <c r="A5" s="53">
        <v>1</v>
      </c>
      <c r="B5" s="53" t="s">
        <v>63</v>
      </c>
      <c r="C5" s="53" t="str">
        <f>IFERROR(VLOOKUP(B5,'👥 بيانات الموظفين'!B:C,2,0),"")</f>
        <v>عبدالعزيز محمد العتيبي</v>
      </c>
      <c r="D5" s="55">
        <f>DATEVALUE("2026-04-12")</f>
        <v>46124</v>
      </c>
      <c r="E5" s="53" t="s">
        <v>86</v>
      </c>
      <c r="F5" s="75">
        <f>TIMEVALUE("07:61")</f>
        <v>0.33402777777777776</v>
      </c>
      <c r="G5" s="75">
        <f>TIMEVALUE("17:13")</f>
        <v>0.71736111111111112</v>
      </c>
      <c r="H5" s="76">
        <f t="shared" ref="H5:H68" si="0">IFERROR(IF(AND(F5&lt;&gt;"",G5&lt;&gt;""),(G5-F5)*24,""),"")</f>
        <v>9.2000000000000011</v>
      </c>
      <c r="I5" s="68">
        <f t="shared" ref="I5:I68" si="1">IFERROR(IF(E5="متأخر",MAX(0,(F5-TIME(8,0,0))*1440),0),0)</f>
        <v>0</v>
      </c>
      <c r="J5" s="76">
        <f t="shared" ref="J5:J68" si="2">IFERROR(IF(AND(ISNUMBER(H5),H5&gt;WorkHoursDay),H5-WorkHoursDay,0),0)</f>
        <v>1.2000000000000011</v>
      </c>
      <c r="K5" s="53"/>
      <c r="L5" s="51" t="str">
        <f t="shared" ref="L5:L68" si="3">IF(D5&lt;&gt;"",TEXT(D5,"yyyy-mm"),"")</f>
        <v>2026-04</v>
      </c>
    </row>
    <row r="6" spans="1:26" ht="22.15" customHeight="1" x14ac:dyDescent="0.2">
      <c r="A6" s="57">
        <v>2</v>
      </c>
      <c r="B6" s="57" t="s">
        <v>63</v>
      </c>
      <c r="C6" s="57" t="str">
        <f>IFERROR(VLOOKUP(B6,'👥 بيانات الموظفين'!B:C,2,0),"")</f>
        <v>عبدالعزيز محمد العتيبي</v>
      </c>
      <c r="D6" s="59">
        <f>DATEVALUE("2026-04-13")</f>
        <v>46125</v>
      </c>
      <c r="E6" s="57" t="s">
        <v>86</v>
      </c>
      <c r="F6" s="77">
        <f>TIMEVALUE("08:06")</f>
        <v>0.33750000000000002</v>
      </c>
      <c r="G6" s="77">
        <f>TIMEVALUE("17:12")</f>
        <v>0.71666666666666667</v>
      </c>
      <c r="H6" s="78">
        <f t="shared" si="0"/>
        <v>9.1</v>
      </c>
      <c r="I6" s="69">
        <f t="shared" si="1"/>
        <v>0</v>
      </c>
      <c r="J6" s="78">
        <f t="shared" si="2"/>
        <v>1.0999999999999996</v>
      </c>
      <c r="K6" s="57"/>
      <c r="L6" s="52" t="str">
        <f t="shared" si="3"/>
        <v>2026-04</v>
      </c>
    </row>
    <row r="7" spans="1:26" ht="22.15" customHeight="1" x14ac:dyDescent="0.2">
      <c r="A7" s="53">
        <v>3</v>
      </c>
      <c r="B7" s="53" t="s">
        <v>63</v>
      </c>
      <c r="C7" s="53" t="str">
        <f>IFERROR(VLOOKUP(B7,'👥 بيانات الموظفين'!B:C,2,0),"")</f>
        <v>عبدالعزيز محمد العتيبي</v>
      </c>
      <c r="D7" s="55">
        <f>DATEVALUE("2026-04-14")</f>
        <v>46126</v>
      </c>
      <c r="E7" s="53" t="s">
        <v>86</v>
      </c>
      <c r="F7" s="75">
        <f>TIMEVALUE("08:06")</f>
        <v>0.33750000000000002</v>
      </c>
      <c r="G7" s="75">
        <f>TIMEVALUE("17:16")</f>
        <v>0.71944444444444444</v>
      </c>
      <c r="H7" s="76">
        <f t="shared" si="0"/>
        <v>9.1666666666666661</v>
      </c>
      <c r="I7" s="68">
        <f t="shared" si="1"/>
        <v>0</v>
      </c>
      <c r="J7" s="76">
        <f t="shared" si="2"/>
        <v>1.1666666666666661</v>
      </c>
      <c r="K7" s="53"/>
      <c r="L7" s="51" t="str">
        <f t="shared" si="3"/>
        <v>2026-04</v>
      </c>
    </row>
    <row r="8" spans="1:26" ht="22.15" customHeight="1" x14ac:dyDescent="0.2">
      <c r="A8" s="57">
        <v>4</v>
      </c>
      <c r="B8" s="57" t="s">
        <v>63</v>
      </c>
      <c r="C8" s="57" t="str">
        <f>IFERROR(VLOOKUP(B8,'👥 بيانات الموظفين'!B:C,2,0),"")</f>
        <v>عبدالعزيز محمد العتيبي</v>
      </c>
      <c r="D8" s="59">
        <f>DATEVALUE("2026-04-15")</f>
        <v>46127</v>
      </c>
      <c r="E8" s="57" t="s">
        <v>86</v>
      </c>
      <c r="F8" s="77">
        <f>TIMEVALUE("08:02")</f>
        <v>0.3347222222222222</v>
      </c>
      <c r="G8" s="77">
        <f>TIMEVALUE("17:13")</f>
        <v>0.71736111111111112</v>
      </c>
      <c r="H8" s="78">
        <f t="shared" si="0"/>
        <v>9.1833333333333336</v>
      </c>
      <c r="I8" s="69">
        <f t="shared" si="1"/>
        <v>0</v>
      </c>
      <c r="J8" s="78">
        <f t="shared" si="2"/>
        <v>1.1833333333333336</v>
      </c>
      <c r="K8" s="57"/>
      <c r="L8" s="52" t="str">
        <f t="shared" si="3"/>
        <v>2026-04</v>
      </c>
    </row>
    <row r="9" spans="1:26" ht="22.15" customHeight="1" x14ac:dyDescent="0.2">
      <c r="A9" s="53">
        <v>5</v>
      </c>
      <c r="B9" s="53" t="s">
        <v>63</v>
      </c>
      <c r="C9" s="53" t="str">
        <f>IFERROR(VLOOKUP(B9,'👥 بيانات الموظفين'!B:C,2,0),"")</f>
        <v>عبدالعزيز محمد العتيبي</v>
      </c>
      <c r="D9" s="55">
        <f>DATEVALUE("2026-04-16")</f>
        <v>46128</v>
      </c>
      <c r="E9" s="53" t="s">
        <v>87</v>
      </c>
      <c r="F9" s="75">
        <f>TIMEVALUE("08:16")</f>
        <v>0.34444444444444444</v>
      </c>
      <c r="G9" s="75">
        <f>TIMEVALUE("17:00")</f>
        <v>0.70833333333333337</v>
      </c>
      <c r="H9" s="76">
        <f t="shared" si="0"/>
        <v>8.7333333333333343</v>
      </c>
      <c r="I9" s="68">
        <f t="shared" si="1"/>
        <v>16.000000000000021</v>
      </c>
      <c r="J9" s="76">
        <f t="shared" si="2"/>
        <v>0.73333333333333428</v>
      </c>
      <c r="K9" s="53" t="s">
        <v>89</v>
      </c>
      <c r="L9" s="51" t="str">
        <f t="shared" si="3"/>
        <v>2026-04</v>
      </c>
    </row>
    <row r="10" spans="1:26" ht="22.15" customHeight="1" x14ac:dyDescent="0.2">
      <c r="A10" s="57">
        <v>6</v>
      </c>
      <c r="B10" s="57" t="s">
        <v>63</v>
      </c>
      <c r="C10" s="57" t="str">
        <f>IFERROR(VLOOKUP(B10,'👥 بيانات الموظفين'!B:C,2,0),"")</f>
        <v>عبدالعزيز محمد العتيبي</v>
      </c>
      <c r="D10" s="59">
        <f>DATEVALUE("2026-04-19")</f>
        <v>46131</v>
      </c>
      <c r="E10" s="57" t="s">
        <v>86</v>
      </c>
      <c r="F10" s="77">
        <f>TIMEVALUE("08:06")</f>
        <v>0.33750000000000002</v>
      </c>
      <c r="G10" s="77">
        <f>TIMEVALUE("17:18")</f>
        <v>0.72083333333333333</v>
      </c>
      <c r="H10" s="78">
        <f t="shared" si="0"/>
        <v>9.1999999999999993</v>
      </c>
      <c r="I10" s="69">
        <f t="shared" si="1"/>
        <v>0</v>
      </c>
      <c r="J10" s="78">
        <f t="shared" si="2"/>
        <v>1.1999999999999993</v>
      </c>
      <c r="K10" s="57"/>
      <c r="L10" s="52" t="str">
        <f t="shared" si="3"/>
        <v>2026-04</v>
      </c>
    </row>
    <row r="11" spans="1:26" ht="22.15" customHeight="1" x14ac:dyDescent="0.2">
      <c r="A11" s="53">
        <v>7</v>
      </c>
      <c r="B11" s="53" t="s">
        <v>63</v>
      </c>
      <c r="C11" s="53" t="str">
        <f>IFERROR(VLOOKUP(B11,'👥 بيانات الموظفين'!B:C,2,0),"")</f>
        <v>عبدالعزيز محمد العتيبي</v>
      </c>
      <c r="D11" s="55">
        <f>DATEVALUE("2026-04-20")</f>
        <v>46132</v>
      </c>
      <c r="E11" s="53" t="s">
        <v>86</v>
      </c>
      <c r="F11" s="75">
        <f>TIMEVALUE("08:02")</f>
        <v>0.3347222222222222</v>
      </c>
      <c r="G11" s="75">
        <f>TIMEVALUE("17:19")</f>
        <v>0.72152777777777777</v>
      </c>
      <c r="H11" s="76">
        <f t="shared" si="0"/>
        <v>9.2833333333333332</v>
      </c>
      <c r="I11" s="68">
        <f t="shared" si="1"/>
        <v>0</v>
      </c>
      <c r="J11" s="76">
        <f t="shared" si="2"/>
        <v>1.2833333333333332</v>
      </c>
      <c r="K11" s="53"/>
      <c r="L11" s="51" t="str">
        <f t="shared" si="3"/>
        <v>2026-04</v>
      </c>
    </row>
    <row r="12" spans="1:26" ht="22.15" customHeight="1" x14ac:dyDescent="0.2">
      <c r="A12" s="57">
        <v>8</v>
      </c>
      <c r="B12" s="57" t="s">
        <v>63</v>
      </c>
      <c r="C12" s="57" t="str">
        <f>IFERROR(VLOOKUP(B12,'👥 بيانات الموظفين'!B:C,2,0),"")</f>
        <v>عبدالعزيز محمد العتيبي</v>
      </c>
      <c r="D12" s="59">
        <f>DATEVALUE("2026-04-21")</f>
        <v>46133</v>
      </c>
      <c r="E12" s="57" t="s">
        <v>86</v>
      </c>
      <c r="F12" s="77">
        <f>TIMEVALUE("08:06")</f>
        <v>0.33750000000000002</v>
      </c>
      <c r="G12" s="77">
        <f>TIMEVALUE("17:15")</f>
        <v>0.71875</v>
      </c>
      <c r="H12" s="78">
        <f t="shared" si="0"/>
        <v>9.1499999999999986</v>
      </c>
      <c r="I12" s="69">
        <f t="shared" si="1"/>
        <v>0</v>
      </c>
      <c r="J12" s="78">
        <f t="shared" si="2"/>
        <v>1.1499999999999986</v>
      </c>
      <c r="K12" s="57"/>
      <c r="L12" s="52" t="str">
        <f t="shared" si="3"/>
        <v>2026-04</v>
      </c>
    </row>
    <row r="13" spans="1:26" ht="22.15" customHeight="1" x14ac:dyDescent="0.2">
      <c r="A13" s="53">
        <v>9</v>
      </c>
      <c r="B13" s="53" t="s">
        <v>63</v>
      </c>
      <c r="C13" s="53" t="str">
        <f>IFERROR(VLOOKUP(B13,'👥 بيانات الموظفين'!B:C,2,0),"")</f>
        <v>عبدالعزيز محمد العتيبي</v>
      </c>
      <c r="D13" s="55">
        <f>DATEVALUE("2026-04-22")</f>
        <v>46134</v>
      </c>
      <c r="E13" s="53" t="s">
        <v>86</v>
      </c>
      <c r="F13" s="75">
        <f>TIMEVALUE("08:00")</f>
        <v>0.33333333333333331</v>
      </c>
      <c r="G13" s="75">
        <f>TIMEVALUE("17:04")</f>
        <v>0.71111111111111114</v>
      </c>
      <c r="H13" s="76">
        <f t="shared" si="0"/>
        <v>9.0666666666666682</v>
      </c>
      <c r="I13" s="68">
        <f t="shared" si="1"/>
        <v>0</v>
      </c>
      <c r="J13" s="76">
        <f t="shared" si="2"/>
        <v>1.0666666666666682</v>
      </c>
      <c r="K13" s="53"/>
      <c r="L13" s="51" t="str">
        <f t="shared" si="3"/>
        <v>2026-04</v>
      </c>
    </row>
    <row r="14" spans="1:26" ht="22.15" customHeight="1" x14ac:dyDescent="0.2">
      <c r="A14" s="57">
        <v>10</v>
      </c>
      <c r="B14" s="57" t="s">
        <v>63</v>
      </c>
      <c r="C14" s="57" t="str">
        <f>IFERROR(VLOOKUP(B14,'👥 بيانات الموظفين'!B:C,2,0),"")</f>
        <v>عبدالعزيز محمد العتيبي</v>
      </c>
      <c r="D14" s="59">
        <f>DATEVALUE("2026-04-23")</f>
        <v>46135</v>
      </c>
      <c r="E14" s="57" t="s">
        <v>86</v>
      </c>
      <c r="F14" s="77">
        <f>TIMEVALUE("08:04")</f>
        <v>0.33611111111111114</v>
      </c>
      <c r="G14" s="77">
        <f>TIMEVALUE("17:03")</f>
        <v>0.7104166666666667</v>
      </c>
      <c r="H14" s="78">
        <f t="shared" si="0"/>
        <v>8.9833333333333343</v>
      </c>
      <c r="I14" s="69">
        <f t="shared" si="1"/>
        <v>0</v>
      </c>
      <c r="J14" s="78">
        <f t="shared" si="2"/>
        <v>0.98333333333333428</v>
      </c>
      <c r="K14" s="57"/>
      <c r="L14" s="52" t="str">
        <f t="shared" si="3"/>
        <v>2026-04</v>
      </c>
    </row>
    <row r="15" spans="1:26" ht="22.15" customHeight="1" x14ac:dyDescent="0.2">
      <c r="A15" s="53">
        <v>11</v>
      </c>
      <c r="B15" s="53" t="s">
        <v>63</v>
      </c>
      <c r="C15" s="53" t="str">
        <f>IFERROR(VLOOKUP(B15,'👥 بيانات الموظفين'!B:C,2,0),"")</f>
        <v>عبدالعزيز محمد العتيبي</v>
      </c>
      <c r="D15" s="55">
        <f>DATEVALUE("2026-04-26")</f>
        <v>46138</v>
      </c>
      <c r="E15" s="53" t="s">
        <v>86</v>
      </c>
      <c r="F15" s="75">
        <f>TIMEVALUE("08:04")</f>
        <v>0.33611111111111114</v>
      </c>
      <c r="G15" s="75">
        <f>TIMEVALUE("17:15")</f>
        <v>0.71875</v>
      </c>
      <c r="H15" s="76">
        <f t="shared" si="0"/>
        <v>9.1833333333333336</v>
      </c>
      <c r="I15" s="68">
        <f t="shared" si="1"/>
        <v>0</v>
      </c>
      <c r="J15" s="76">
        <f t="shared" si="2"/>
        <v>1.1833333333333336</v>
      </c>
      <c r="K15" s="53"/>
      <c r="L15" s="51" t="str">
        <f t="shared" si="3"/>
        <v>2026-04</v>
      </c>
    </row>
    <row r="16" spans="1:26" ht="22.15" customHeight="1" x14ac:dyDescent="0.2">
      <c r="A16" s="57">
        <v>12</v>
      </c>
      <c r="B16" s="57" t="s">
        <v>63</v>
      </c>
      <c r="C16" s="57" t="str">
        <f>IFERROR(VLOOKUP(B16,'👥 بيانات الموظفين'!B:C,2,0),"")</f>
        <v>عبدالعزيز محمد العتيبي</v>
      </c>
      <c r="D16" s="59">
        <f>DATEVALUE("2026-04-27")</f>
        <v>46139</v>
      </c>
      <c r="E16" s="57" t="s">
        <v>86</v>
      </c>
      <c r="F16" s="77">
        <f>TIMEVALUE("07:58")</f>
        <v>0.33194444444444443</v>
      </c>
      <c r="G16" s="77">
        <f>TIMEVALUE("17:08")</f>
        <v>0.71388888888888891</v>
      </c>
      <c r="H16" s="78">
        <f t="shared" si="0"/>
        <v>9.1666666666666679</v>
      </c>
      <c r="I16" s="69">
        <f t="shared" si="1"/>
        <v>0</v>
      </c>
      <c r="J16" s="78">
        <f t="shared" si="2"/>
        <v>1.1666666666666679</v>
      </c>
      <c r="K16" s="57"/>
      <c r="L16" s="52" t="str">
        <f t="shared" si="3"/>
        <v>2026-04</v>
      </c>
    </row>
    <row r="17" spans="1:12" ht="22.15" customHeight="1" x14ac:dyDescent="0.2">
      <c r="A17" s="53">
        <v>13</v>
      </c>
      <c r="B17" s="53" t="s">
        <v>63</v>
      </c>
      <c r="C17" s="53" t="str">
        <f>IFERROR(VLOOKUP(B17,'👥 بيانات الموظفين'!B:C,2,0),"")</f>
        <v>عبدالعزيز محمد العتيبي</v>
      </c>
      <c r="D17" s="55">
        <f>DATEVALUE("2026-04-28")</f>
        <v>46140</v>
      </c>
      <c r="E17" s="53" t="s">
        <v>86</v>
      </c>
      <c r="F17" s="75">
        <f>TIMEVALUE("07:56")</f>
        <v>0.33055555555555555</v>
      </c>
      <c r="G17" s="75">
        <f>TIMEVALUE("17:14")</f>
        <v>0.71805555555555556</v>
      </c>
      <c r="H17" s="76">
        <f t="shared" si="0"/>
        <v>9.3000000000000007</v>
      </c>
      <c r="I17" s="68">
        <f t="shared" si="1"/>
        <v>0</v>
      </c>
      <c r="J17" s="76">
        <f t="shared" si="2"/>
        <v>1.3000000000000007</v>
      </c>
      <c r="K17" s="53"/>
      <c r="L17" s="51" t="str">
        <f t="shared" si="3"/>
        <v>2026-04</v>
      </c>
    </row>
    <row r="18" spans="1:12" ht="22.15" customHeight="1" x14ac:dyDescent="0.2">
      <c r="A18" s="57">
        <v>14</v>
      </c>
      <c r="B18" s="57" t="s">
        <v>63</v>
      </c>
      <c r="C18" s="57" t="str">
        <f>IFERROR(VLOOKUP(B18,'👥 بيانات الموظفين'!B:C,2,0),"")</f>
        <v>عبدالعزيز محمد العتيبي</v>
      </c>
      <c r="D18" s="59">
        <f>DATEVALUE("2026-04-29")</f>
        <v>46141</v>
      </c>
      <c r="E18" s="57" t="s">
        <v>87</v>
      </c>
      <c r="F18" s="77">
        <f>TIMEVALUE("08:18")</f>
        <v>0.34583333333333333</v>
      </c>
      <c r="G18" s="77">
        <f>TIMEVALUE("17:00")</f>
        <v>0.70833333333333337</v>
      </c>
      <c r="H18" s="78">
        <f t="shared" si="0"/>
        <v>8.7000000000000011</v>
      </c>
      <c r="I18" s="69">
        <f t="shared" si="1"/>
        <v>18.000000000000014</v>
      </c>
      <c r="J18" s="78">
        <f t="shared" si="2"/>
        <v>0.70000000000000107</v>
      </c>
      <c r="K18" s="57"/>
      <c r="L18" s="52" t="str">
        <f t="shared" si="3"/>
        <v>2026-04</v>
      </c>
    </row>
    <row r="19" spans="1:12" ht="22.15" customHeight="1" x14ac:dyDescent="0.2">
      <c r="A19" s="53">
        <v>15</v>
      </c>
      <c r="B19" s="53" t="s">
        <v>63</v>
      </c>
      <c r="C19" s="53" t="str">
        <f>IFERROR(VLOOKUP(B19,'👥 بيانات الموظفين'!B:C,2,0),"")</f>
        <v>عبدالعزيز محمد العتيبي</v>
      </c>
      <c r="D19" s="55">
        <f>DATEVALUE("2026-04-30")</f>
        <v>46142</v>
      </c>
      <c r="E19" s="53" t="s">
        <v>86</v>
      </c>
      <c r="F19" s="75">
        <f>TIMEVALUE("07:61")</f>
        <v>0.33402777777777776</v>
      </c>
      <c r="G19" s="75">
        <f>TIMEVALUE("17:11")</f>
        <v>0.71597222222222223</v>
      </c>
      <c r="H19" s="76">
        <f t="shared" si="0"/>
        <v>9.1666666666666679</v>
      </c>
      <c r="I19" s="68">
        <f t="shared" si="1"/>
        <v>0</v>
      </c>
      <c r="J19" s="76">
        <f t="shared" si="2"/>
        <v>1.1666666666666679</v>
      </c>
      <c r="K19" s="53"/>
      <c r="L19" s="51" t="str">
        <f t="shared" si="3"/>
        <v>2026-04</v>
      </c>
    </row>
    <row r="20" spans="1:12" ht="22.15" customHeight="1" x14ac:dyDescent="0.2">
      <c r="A20" s="57">
        <v>16</v>
      </c>
      <c r="B20" s="57" t="s">
        <v>66</v>
      </c>
      <c r="C20" s="57" t="str">
        <f>IFERROR(VLOOKUP(B20,'👥 بيانات الموظفين'!B:C,2,0),"")</f>
        <v>فاطمة سعد الزهراني</v>
      </c>
      <c r="D20" s="59">
        <f>DATEVALUE("2026-04-12")</f>
        <v>46124</v>
      </c>
      <c r="E20" s="57" t="s">
        <v>86</v>
      </c>
      <c r="F20" s="77">
        <f>TIMEVALUE("08:02")</f>
        <v>0.3347222222222222</v>
      </c>
      <c r="G20" s="77">
        <f>TIMEVALUE("17:18")</f>
        <v>0.72083333333333333</v>
      </c>
      <c r="H20" s="78">
        <f t="shared" si="0"/>
        <v>9.2666666666666675</v>
      </c>
      <c r="I20" s="69">
        <f t="shared" si="1"/>
        <v>0</v>
      </c>
      <c r="J20" s="78">
        <f t="shared" si="2"/>
        <v>1.2666666666666675</v>
      </c>
      <c r="K20" s="57"/>
      <c r="L20" s="52" t="str">
        <f t="shared" si="3"/>
        <v>2026-04</v>
      </c>
    </row>
    <row r="21" spans="1:12" ht="22.15" customHeight="1" x14ac:dyDescent="0.2">
      <c r="A21" s="53">
        <v>17</v>
      </c>
      <c r="B21" s="53" t="s">
        <v>66</v>
      </c>
      <c r="C21" s="53" t="str">
        <f>IFERROR(VLOOKUP(B21,'👥 بيانات الموظفين'!B:C,2,0),"")</f>
        <v>فاطمة سعد الزهراني</v>
      </c>
      <c r="D21" s="55">
        <f>DATEVALUE("2026-04-13")</f>
        <v>46125</v>
      </c>
      <c r="E21" s="53" t="s">
        <v>86</v>
      </c>
      <c r="F21" s="75">
        <f>TIMEVALUE("08:03")</f>
        <v>0.33541666666666664</v>
      </c>
      <c r="G21" s="75">
        <f>TIMEVALUE("17:01")</f>
        <v>0.70902777777777781</v>
      </c>
      <c r="H21" s="76">
        <f t="shared" si="0"/>
        <v>8.9666666666666686</v>
      </c>
      <c r="I21" s="68">
        <f t="shared" si="1"/>
        <v>0</v>
      </c>
      <c r="J21" s="76">
        <f t="shared" si="2"/>
        <v>0.96666666666666856</v>
      </c>
      <c r="K21" s="53"/>
      <c r="L21" s="51" t="str">
        <f t="shared" si="3"/>
        <v>2026-04</v>
      </c>
    </row>
    <row r="22" spans="1:12" ht="22.15" customHeight="1" x14ac:dyDescent="0.2">
      <c r="A22" s="57">
        <v>18</v>
      </c>
      <c r="B22" s="57" t="s">
        <v>66</v>
      </c>
      <c r="C22" s="57" t="str">
        <f>IFERROR(VLOOKUP(B22,'👥 بيانات الموظفين'!B:C,2,0),"")</f>
        <v>فاطمة سعد الزهراني</v>
      </c>
      <c r="D22" s="59">
        <f>DATEVALUE("2026-04-14")</f>
        <v>46126</v>
      </c>
      <c r="E22" s="57" t="s">
        <v>87</v>
      </c>
      <c r="F22" s="77">
        <f>TIMEVALUE("08:13")</f>
        <v>0.34236111111111112</v>
      </c>
      <c r="G22" s="77">
        <f>TIMEVALUE("17:00")</f>
        <v>0.70833333333333337</v>
      </c>
      <c r="H22" s="78">
        <f t="shared" si="0"/>
        <v>8.783333333333335</v>
      </c>
      <c r="I22" s="69">
        <f t="shared" si="1"/>
        <v>13.000000000000034</v>
      </c>
      <c r="J22" s="78">
        <f t="shared" si="2"/>
        <v>0.78333333333333499</v>
      </c>
      <c r="K22" s="57"/>
      <c r="L22" s="52" t="str">
        <f t="shared" si="3"/>
        <v>2026-04</v>
      </c>
    </row>
    <row r="23" spans="1:12" ht="22.15" customHeight="1" x14ac:dyDescent="0.2">
      <c r="A23" s="53">
        <v>19</v>
      </c>
      <c r="B23" s="53" t="s">
        <v>66</v>
      </c>
      <c r="C23" s="53" t="str">
        <f>IFERROR(VLOOKUP(B23,'👥 بيانات الموظفين'!B:C,2,0),"")</f>
        <v>فاطمة سعد الزهراني</v>
      </c>
      <c r="D23" s="55">
        <f>DATEVALUE("2026-04-15")</f>
        <v>46127</v>
      </c>
      <c r="E23" s="53" t="s">
        <v>86</v>
      </c>
      <c r="F23" s="75">
        <f>TIMEVALUE("07:59")</f>
        <v>0.33263888888888887</v>
      </c>
      <c r="G23" s="75">
        <f>TIMEVALUE("17:00")</f>
        <v>0.70833333333333337</v>
      </c>
      <c r="H23" s="76">
        <f t="shared" si="0"/>
        <v>9.0166666666666675</v>
      </c>
      <c r="I23" s="68">
        <f t="shared" si="1"/>
        <v>0</v>
      </c>
      <c r="J23" s="76">
        <f t="shared" si="2"/>
        <v>1.0166666666666675</v>
      </c>
      <c r="K23" s="53"/>
      <c r="L23" s="51" t="str">
        <f t="shared" si="3"/>
        <v>2026-04</v>
      </c>
    </row>
    <row r="24" spans="1:12" ht="22.15" customHeight="1" x14ac:dyDescent="0.2">
      <c r="A24" s="57">
        <v>20</v>
      </c>
      <c r="B24" s="57" t="s">
        <v>66</v>
      </c>
      <c r="C24" s="57" t="str">
        <f>IFERROR(VLOOKUP(B24,'👥 بيانات الموظفين'!B:C,2,0),"")</f>
        <v>فاطمة سعد الزهراني</v>
      </c>
      <c r="D24" s="59">
        <f>DATEVALUE("2026-04-16")</f>
        <v>46128</v>
      </c>
      <c r="E24" s="57" t="s">
        <v>86</v>
      </c>
      <c r="F24" s="77">
        <f>TIMEVALUE("07:58")</f>
        <v>0.33194444444444443</v>
      </c>
      <c r="G24" s="77">
        <f>TIMEVALUE("17:01")</f>
        <v>0.70902777777777781</v>
      </c>
      <c r="H24" s="78">
        <f t="shared" si="0"/>
        <v>9.0500000000000007</v>
      </c>
      <c r="I24" s="69">
        <f t="shared" si="1"/>
        <v>0</v>
      </c>
      <c r="J24" s="78">
        <f t="shared" si="2"/>
        <v>1.0500000000000007</v>
      </c>
      <c r="K24" s="57"/>
      <c r="L24" s="52" t="str">
        <f t="shared" si="3"/>
        <v>2026-04</v>
      </c>
    </row>
    <row r="25" spans="1:12" ht="22.15" customHeight="1" x14ac:dyDescent="0.2">
      <c r="A25" s="53">
        <v>21</v>
      </c>
      <c r="B25" s="53" t="s">
        <v>66</v>
      </c>
      <c r="C25" s="53" t="str">
        <f>IFERROR(VLOOKUP(B25,'👥 بيانات الموظفين'!B:C,2,0),"")</f>
        <v>فاطمة سعد الزهراني</v>
      </c>
      <c r="D25" s="55">
        <f>DATEVALUE("2026-04-19")</f>
        <v>46131</v>
      </c>
      <c r="E25" s="53" t="s">
        <v>86</v>
      </c>
      <c r="F25" s="75">
        <f>TIMEVALUE("08:07")</f>
        <v>0.33819444444444446</v>
      </c>
      <c r="G25" s="75">
        <f>TIMEVALUE("17:16")</f>
        <v>0.71944444444444444</v>
      </c>
      <c r="H25" s="76">
        <f t="shared" si="0"/>
        <v>9.1499999999999986</v>
      </c>
      <c r="I25" s="68">
        <f t="shared" si="1"/>
        <v>0</v>
      </c>
      <c r="J25" s="76">
        <f t="shared" si="2"/>
        <v>1.1499999999999986</v>
      </c>
      <c r="K25" s="53"/>
      <c r="L25" s="51" t="str">
        <f t="shared" si="3"/>
        <v>2026-04</v>
      </c>
    </row>
    <row r="26" spans="1:12" ht="22.15" customHeight="1" x14ac:dyDescent="0.2">
      <c r="A26" s="57">
        <v>22</v>
      </c>
      <c r="B26" s="57" t="s">
        <v>66</v>
      </c>
      <c r="C26" s="57" t="str">
        <f>IFERROR(VLOOKUP(B26,'👥 بيانات الموظفين'!B:C,2,0),"")</f>
        <v>فاطمة سعد الزهراني</v>
      </c>
      <c r="D26" s="59">
        <f>DATEVALUE("2026-04-20")</f>
        <v>46132</v>
      </c>
      <c r="E26" s="57" t="s">
        <v>86</v>
      </c>
      <c r="F26" s="77">
        <f>TIMEVALUE("07:55")</f>
        <v>0.3298611111111111</v>
      </c>
      <c r="G26" s="77">
        <f>TIMEVALUE("17:06")</f>
        <v>0.71250000000000002</v>
      </c>
      <c r="H26" s="78">
        <f t="shared" si="0"/>
        <v>9.1833333333333336</v>
      </c>
      <c r="I26" s="69">
        <f t="shared" si="1"/>
        <v>0</v>
      </c>
      <c r="J26" s="78">
        <f t="shared" si="2"/>
        <v>1.1833333333333336</v>
      </c>
      <c r="K26" s="57"/>
      <c r="L26" s="52" t="str">
        <f t="shared" si="3"/>
        <v>2026-04</v>
      </c>
    </row>
    <row r="27" spans="1:12" ht="22.15" customHeight="1" x14ac:dyDescent="0.2">
      <c r="A27" s="53">
        <v>23</v>
      </c>
      <c r="B27" s="53" t="s">
        <v>66</v>
      </c>
      <c r="C27" s="53" t="str">
        <f>IFERROR(VLOOKUP(B27,'👥 بيانات الموظفين'!B:C,2,0),"")</f>
        <v>فاطمة سعد الزهراني</v>
      </c>
      <c r="D27" s="55">
        <f>DATEVALUE("2026-04-21")</f>
        <v>46133</v>
      </c>
      <c r="E27" s="53" t="s">
        <v>87</v>
      </c>
      <c r="F27" s="75">
        <f>TIMEVALUE("08:10")</f>
        <v>0.34027777777777779</v>
      </c>
      <c r="G27" s="75">
        <f>TIMEVALUE("17:00")</f>
        <v>0.70833333333333337</v>
      </c>
      <c r="H27" s="76">
        <f t="shared" si="0"/>
        <v>8.8333333333333339</v>
      </c>
      <c r="I27" s="68">
        <f t="shared" si="1"/>
        <v>10.000000000000044</v>
      </c>
      <c r="J27" s="76">
        <f t="shared" si="2"/>
        <v>0.83333333333333393</v>
      </c>
      <c r="K27" s="53"/>
      <c r="L27" s="51" t="str">
        <f t="shared" si="3"/>
        <v>2026-04</v>
      </c>
    </row>
    <row r="28" spans="1:12" ht="22.15" customHeight="1" x14ac:dyDescent="0.2">
      <c r="A28" s="57">
        <v>24</v>
      </c>
      <c r="B28" s="57" t="s">
        <v>66</v>
      </c>
      <c r="C28" s="57" t="str">
        <f>IFERROR(VLOOKUP(B28,'👥 بيانات الموظفين'!B:C,2,0),"")</f>
        <v>فاطمة سعد الزهراني</v>
      </c>
      <c r="D28" s="59">
        <f>DATEVALUE("2026-04-22")</f>
        <v>46134</v>
      </c>
      <c r="E28" s="57" t="s">
        <v>86</v>
      </c>
      <c r="F28" s="77">
        <f>TIMEVALUE("08:05")</f>
        <v>0.33680555555555558</v>
      </c>
      <c r="G28" s="77">
        <f>TIMEVALUE("17:11")</f>
        <v>0.71597222222222223</v>
      </c>
      <c r="H28" s="78">
        <f t="shared" si="0"/>
        <v>9.1</v>
      </c>
      <c r="I28" s="69">
        <f t="shared" si="1"/>
        <v>0</v>
      </c>
      <c r="J28" s="78">
        <f t="shared" si="2"/>
        <v>1.0999999999999996</v>
      </c>
      <c r="K28" s="57"/>
      <c r="L28" s="52" t="str">
        <f t="shared" si="3"/>
        <v>2026-04</v>
      </c>
    </row>
    <row r="29" spans="1:12" ht="22.15" customHeight="1" x14ac:dyDescent="0.2">
      <c r="A29" s="53">
        <v>25</v>
      </c>
      <c r="B29" s="53" t="s">
        <v>66</v>
      </c>
      <c r="C29" s="53" t="str">
        <f>IFERROR(VLOOKUP(B29,'👥 بيانات الموظفين'!B:C,2,0),"")</f>
        <v>فاطمة سعد الزهراني</v>
      </c>
      <c r="D29" s="55">
        <f>DATEVALUE("2026-04-23")</f>
        <v>46135</v>
      </c>
      <c r="E29" s="53" t="s">
        <v>86</v>
      </c>
      <c r="F29" s="75">
        <f>TIMEVALUE("08:01")</f>
        <v>0.33402777777777776</v>
      </c>
      <c r="G29" s="75">
        <f>TIMEVALUE("17:12")</f>
        <v>0.71666666666666667</v>
      </c>
      <c r="H29" s="76">
        <f t="shared" si="0"/>
        <v>9.1833333333333336</v>
      </c>
      <c r="I29" s="68">
        <f t="shared" si="1"/>
        <v>0</v>
      </c>
      <c r="J29" s="76">
        <f t="shared" si="2"/>
        <v>1.1833333333333336</v>
      </c>
      <c r="K29" s="53"/>
      <c r="L29" s="51" t="str">
        <f t="shared" si="3"/>
        <v>2026-04</v>
      </c>
    </row>
    <row r="30" spans="1:12" ht="22.15" customHeight="1" x14ac:dyDescent="0.2">
      <c r="A30" s="57">
        <v>26</v>
      </c>
      <c r="B30" s="57" t="s">
        <v>66</v>
      </c>
      <c r="C30" s="57" t="str">
        <f>IFERROR(VLOOKUP(B30,'👥 بيانات الموظفين'!B:C,2,0),"")</f>
        <v>فاطمة سعد الزهراني</v>
      </c>
      <c r="D30" s="59">
        <f>DATEVALUE("2026-04-26")</f>
        <v>46138</v>
      </c>
      <c r="E30" s="57" t="s">
        <v>86</v>
      </c>
      <c r="F30" s="77">
        <f>TIMEVALUE("07:57")</f>
        <v>0.33124999999999999</v>
      </c>
      <c r="G30" s="77">
        <f>TIMEVALUE("17:14")</f>
        <v>0.71805555555555556</v>
      </c>
      <c r="H30" s="78">
        <f t="shared" si="0"/>
        <v>9.2833333333333332</v>
      </c>
      <c r="I30" s="69">
        <f t="shared" si="1"/>
        <v>0</v>
      </c>
      <c r="J30" s="78">
        <f t="shared" si="2"/>
        <v>1.2833333333333332</v>
      </c>
      <c r="K30" s="57"/>
      <c r="L30" s="52" t="str">
        <f t="shared" si="3"/>
        <v>2026-04</v>
      </c>
    </row>
    <row r="31" spans="1:12" ht="22.15" customHeight="1" x14ac:dyDescent="0.2">
      <c r="A31" s="53">
        <v>27</v>
      </c>
      <c r="B31" s="53" t="s">
        <v>66</v>
      </c>
      <c r="C31" s="53" t="str">
        <f>IFERROR(VLOOKUP(B31,'👥 بيانات الموظفين'!B:C,2,0),"")</f>
        <v>فاطمة سعد الزهراني</v>
      </c>
      <c r="D31" s="55">
        <f>DATEVALUE("2026-04-27")</f>
        <v>46139</v>
      </c>
      <c r="E31" s="53" t="s">
        <v>87</v>
      </c>
      <c r="F31" s="75">
        <f>TIMEVALUE("08:16")</f>
        <v>0.34444444444444444</v>
      </c>
      <c r="G31" s="75">
        <f>TIMEVALUE("17:00")</f>
        <v>0.70833333333333337</v>
      </c>
      <c r="H31" s="76">
        <f t="shared" si="0"/>
        <v>8.7333333333333343</v>
      </c>
      <c r="I31" s="68">
        <f t="shared" si="1"/>
        <v>16.000000000000021</v>
      </c>
      <c r="J31" s="76">
        <f t="shared" si="2"/>
        <v>0.73333333333333428</v>
      </c>
      <c r="K31" s="53"/>
      <c r="L31" s="51" t="str">
        <f t="shared" si="3"/>
        <v>2026-04</v>
      </c>
    </row>
    <row r="32" spans="1:12" ht="22.15" customHeight="1" x14ac:dyDescent="0.2">
      <c r="A32" s="57">
        <v>28</v>
      </c>
      <c r="B32" s="57" t="s">
        <v>66</v>
      </c>
      <c r="C32" s="57" t="str">
        <f>IFERROR(VLOOKUP(B32,'👥 بيانات الموظفين'!B:C,2,0),"")</f>
        <v>فاطمة سعد الزهراني</v>
      </c>
      <c r="D32" s="59">
        <f>DATEVALUE("2026-04-28")</f>
        <v>46140</v>
      </c>
      <c r="E32" s="57" t="s">
        <v>87</v>
      </c>
      <c r="F32" s="77">
        <f>TIMEVALUE("08:13")</f>
        <v>0.34236111111111112</v>
      </c>
      <c r="G32" s="77">
        <f>TIMEVALUE("17:00")</f>
        <v>0.70833333333333337</v>
      </c>
      <c r="H32" s="78">
        <f t="shared" si="0"/>
        <v>8.783333333333335</v>
      </c>
      <c r="I32" s="69">
        <f t="shared" si="1"/>
        <v>13.000000000000034</v>
      </c>
      <c r="J32" s="78">
        <f t="shared" si="2"/>
        <v>0.78333333333333499</v>
      </c>
      <c r="K32" s="57"/>
      <c r="L32" s="52" t="str">
        <f t="shared" si="3"/>
        <v>2026-04</v>
      </c>
    </row>
    <row r="33" spans="1:12" ht="22.15" customHeight="1" x14ac:dyDescent="0.2">
      <c r="A33" s="53">
        <v>29</v>
      </c>
      <c r="B33" s="53" t="s">
        <v>66</v>
      </c>
      <c r="C33" s="53" t="str">
        <f>IFERROR(VLOOKUP(B33,'👥 بيانات الموظفين'!B:C,2,0),"")</f>
        <v>فاطمة سعد الزهراني</v>
      </c>
      <c r="D33" s="55">
        <f>DATEVALUE("2026-04-29")</f>
        <v>46141</v>
      </c>
      <c r="E33" s="53" t="s">
        <v>86</v>
      </c>
      <c r="F33" s="75">
        <f>TIMEVALUE("07:53")</f>
        <v>0.32847222222222222</v>
      </c>
      <c r="G33" s="75">
        <f>TIMEVALUE("17:14")</f>
        <v>0.71805555555555556</v>
      </c>
      <c r="H33" s="76">
        <f t="shared" si="0"/>
        <v>9.35</v>
      </c>
      <c r="I33" s="68">
        <f t="shared" si="1"/>
        <v>0</v>
      </c>
      <c r="J33" s="76">
        <f t="shared" si="2"/>
        <v>1.3499999999999996</v>
      </c>
      <c r="K33" s="53"/>
      <c r="L33" s="51" t="str">
        <f t="shared" si="3"/>
        <v>2026-04</v>
      </c>
    </row>
    <row r="34" spans="1:12" ht="22.15" customHeight="1" x14ac:dyDescent="0.2">
      <c r="A34" s="57">
        <v>30</v>
      </c>
      <c r="B34" s="57" t="s">
        <v>66</v>
      </c>
      <c r="C34" s="57" t="str">
        <f>IFERROR(VLOOKUP(B34,'👥 بيانات الموظفين'!B:C,2,0),"")</f>
        <v>فاطمة سعد الزهراني</v>
      </c>
      <c r="D34" s="59">
        <f>DATEVALUE("2026-04-30")</f>
        <v>46142</v>
      </c>
      <c r="E34" s="57" t="s">
        <v>86</v>
      </c>
      <c r="F34" s="77">
        <f>TIMEVALUE("07:58")</f>
        <v>0.33194444444444443</v>
      </c>
      <c r="G34" s="77">
        <f>TIMEVALUE("17:10")</f>
        <v>0.71527777777777779</v>
      </c>
      <c r="H34" s="78">
        <f t="shared" si="0"/>
        <v>9.2000000000000011</v>
      </c>
      <c r="I34" s="69">
        <f t="shared" si="1"/>
        <v>0</v>
      </c>
      <c r="J34" s="78">
        <f t="shared" si="2"/>
        <v>1.2000000000000011</v>
      </c>
      <c r="K34" s="57"/>
      <c r="L34" s="52" t="str">
        <f t="shared" si="3"/>
        <v>2026-04</v>
      </c>
    </row>
    <row r="35" spans="1:12" ht="22.15" customHeight="1" x14ac:dyDescent="0.2">
      <c r="A35" s="53">
        <v>31</v>
      </c>
      <c r="B35" s="53" t="s">
        <v>69</v>
      </c>
      <c r="C35" s="53" t="str">
        <f>IFERROR(VLOOKUP(B35,'👥 بيانات الموظفين'!B:C,2,0),"")</f>
        <v>خالد عبدالرحمن الدوسري</v>
      </c>
      <c r="D35" s="55">
        <f>DATEVALUE("2026-04-12")</f>
        <v>46124</v>
      </c>
      <c r="E35" s="53" t="s">
        <v>86</v>
      </c>
      <c r="F35" s="75">
        <f>TIMEVALUE("07:61")</f>
        <v>0.33402777777777776</v>
      </c>
      <c r="G35" s="75">
        <f>TIMEVALUE("17:02")</f>
        <v>0.70972222222222225</v>
      </c>
      <c r="H35" s="76">
        <f t="shared" si="0"/>
        <v>9.0166666666666675</v>
      </c>
      <c r="I35" s="68">
        <f t="shared" si="1"/>
        <v>0</v>
      </c>
      <c r="J35" s="76">
        <f t="shared" si="2"/>
        <v>1.0166666666666675</v>
      </c>
      <c r="K35" s="53"/>
      <c r="L35" s="51" t="str">
        <f t="shared" si="3"/>
        <v>2026-04</v>
      </c>
    </row>
    <row r="36" spans="1:12" ht="22.15" customHeight="1" x14ac:dyDescent="0.2">
      <c r="A36" s="57">
        <v>32</v>
      </c>
      <c r="B36" s="57" t="s">
        <v>69</v>
      </c>
      <c r="C36" s="57" t="str">
        <f>IFERROR(VLOOKUP(B36,'👥 بيانات الموظفين'!B:C,2,0),"")</f>
        <v>خالد عبدالرحمن الدوسري</v>
      </c>
      <c r="D36" s="59">
        <f>DATEVALUE("2026-04-13")</f>
        <v>46125</v>
      </c>
      <c r="E36" s="57" t="s">
        <v>86</v>
      </c>
      <c r="F36" s="77">
        <f>TIMEVALUE("08:05")</f>
        <v>0.33680555555555558</v>
      </c>
      <c r="G36" s="77">
        <f>TIMEVALUE("17:16")</f>
        <v>0.71944444444444444</v>
      </c>
      <c r="H36" s="78">
        <f t="shared" si="0"/>
        <v>9.1833333333333336</v>
      </c>
      <c r="I36" s="69">
        <f t="shared" si="1"/>
        <v>0</v>
      </c>
      <c r="J36" s="78">
        <f t="shared" si="2"/>
        <v>1.1833333333333336</v>
      </c>
      <c r="K36" s="57"/>
      <c r="L36" s="52" t="str">
        <f t="shared" si="3"/>
        <v>2026-04</v>
      </c>
    </row>
    <row r="37" spans="1:12" ht="22.15" customHeight="1" x14ac:dyDescent="0.2">
      <c r="A37" s="53">
        <v>33</v>
      </c>
      <c r="B37" s="53" t="s">
        <v>69</v>
      </c>
      <c r="C37" s="53" t="str">
        <f>IFERROR(VLOOKUP(B37,'👥 بيانات الموظفين'!B:C,2,0),"")</f>
        <v>خالد عبدالرحمن الدوسري</v>
      </c>
      <c r="D37" s="55">
        <f>DATEVALUE("2026-04-14")</f>
        <v>46126</v>
      </c>
      <c r="E37" s="53" t="s">
        <v>86</v>
      </c>
      <c r="F37" s="75">
        <f>TIMEVALUE("07:60")</f>
        <v>0.33333333333333331</v>
      </c>
      <c r="G37" s="75">
        <f>TIMEVALUE("17:12")</f>
        <v>0.71666666666666667</v>
      </c>
      <c r="H37" s="76">
        <f t="shared" si="0"/>
        <v>9.2000000000000011</v>
      </c>
      <c r="I37" s="68">
        <f t="shared" si="1"/>
        <v>0</v>
      </c>
      <c r="J37" s="76">
        <f t="shared" si="2"/>
        <v>1.2000000000000011</v>
      </c>
      <c r="K37" s="53"/>
      <c r="L37" s="51" t="str">
        <f t="shared" si="3"/>
        <v>2026-04</v>
      </c>
    </row>
    <row r="38" spans="1:12" ht="22.15" customHeight="1" x14ac:dyDescent="0.2">
      <c r="A38" s="57">
        <v>34</v>
      </c>
      <c r="B38" s="57" t="s">
        <v>69</v>
      </c>
      <c r="C38" s="57" t="str">
        <f>IFERROR(VLOOKUP(B38,'👥 بيانات الموظفين'!B:C,2,0),"")</f>
        <v>خالد عبدالرحمن الدوسري</v>
      </c>
      <c r="D38" s="59">
        <f>DATEVALUE("2026-04-15")</f>
        <v>46127</v>
      </c>
      <c r="E38" s="57" t="s">
        <v>86</v>
      </c>
      <c r="F38" s="77">
        <f>TIMEVALUE("08:07")</f>
        <v>0.33819444444444446</v>
      </c>
      <c r="G38" s="77">
        <f>TIMEVALUE("17:08")</f>
        <v>0.71388888888888891</v>
      </c>
      <c r="H38" s="78">
        <f t="shared" si="0"/>
        <v>9.0166666666666657</v>
      </c>
      <c r="I38" s="69">
        <f t="shared" si="1"/>
        <v>0</v>
      </c>
      <c r="J38" s="78">
        <f t="shared" si="2"/>
        <v>1.0166666666666657</v>
      </c>
      <c r="K38" s="57"/>
      <c r="L38" s="52" t="str">
        <f t="shared" si="3"/>
        <v>2026-04</v>
      </c>
    </row>
    <row r="39" spans="1:12" ht="22.15" customHeight="1" x14ac:dyDescent="0.2">
      <c r="A39" s="53">
        <v>35</v>
      </c>
      <c r="B39" s="53" t="s">
        <v>69</v>
      </c>
      <c r="C39" s="53" t="str">
        <f>IFERROR(VLOOKUP(B39,'👥 بيانات الموظفين'!B:C,2,0),"")</f>
        <v>خالد عبدالرحمن الدوسري</v>
      </c>
      <c r="D39" s="55">
        <f>DATEVALUE("2026-04-16")</f>
        <v>46128</v>
      </c>
      <c r="E39" s="53" t="s">
        <v>86</v>
      </c>
      <c r="F39" s="75">
        <f>TIMEVALUE("08:03")</f>
        <v>0.33541666666666664</v>
      </c>
      <c r="G39" s="75">
        <f>TIMEVALUE("17:06")</f>
        <v>0.71250000000000002</v>
      </c>
      <c r="H39" s="76">
        <f t="shared" si="0"/>
        <v>9.0500000000000007</v>
      </c>
      <c r="I39" s="68">
        <f t="shared" si="1"/>
        <v>0</v>
      </c>
      <c r="J39" s="76">
        <f t="shared" si="2"/>
        <v>1.0500000000000007</v>
      </c>
      <c r="K39" s="53"/>
      <c r="L39" s="51" t="str">
        <f t="shared" si="3"/>
        <v>2026-04</v>
      </c>
    </row>
    <row r="40" spans="1:12" ht="22.15" customHeight="1" x14ac:dyDescent="0.2">
      <c r="A40" s="57">
        <v>36</v>
      </c>
      <c r="B40" s="57" t="s">
        <v>69</v>
      </c>
      <c r="C40" s="57" t="str">
        <f>IFERROR(VLOOKUP(B40,'👥 بيانات الموظفين'!B:C,2,0),"")</f>
        <v>خالد عبدالرحمن الدوسري</v>
      </c>
      <c r="D40" s="59">
        <f>DATEVALUE("2026-04-19")</f>
        <v>46131</v>
      </c>
      <c r="E40" s="57" t="s">
        <v>86</v>
      </c>
      <c r="F40" s="77">
        <f>TIMEVALUE("07:53")</f>
        <v>0.32847222222222222</v>
      </c>
      <c r="G40" s="77">
        <f>TIMEVALUE("17:08")</f>
        <v>0.71388888888888891</v>
      </c>
      <c r="H40" s="78">
        <f t="shared" si="0"/>
        <v>9.25</v>
      </c>
      <c r="I40" s="69">
        <f t="shared" si="1"/>
        <v>0</v>
      </c>
      <c r="J40" s="78">
        <f t="shared" si="2"/>
        <v>1.25</v>
      </c>
      <c r="K40" s="57"/>
      <c r="L40" s="52" t="str">
        <f t="shared" si="3"/>
        <v>2026-04</v>
      </c>
    </row>
    <row r="41" spans="1:12" ht="22.15" customHeight="1" x14ac:dyDescent="0.2">
      <c r="A41" s="53">
        <v>37</v>
      </c>
      <c r="B41" s="53" t="s">
        <v>69</v>
      </c>
      <c r="C41" s="53" t="str">
        <f>IFERROR(VLOOKUP(B41,'👥 بيانات الموظفين'!B:C,2,0),"")</f>
        <v>خالد عبدالرحمن الدوسري</v>
      </c>
      <c r="D41" s="55">
        <f>DATEVALUE("2026-04-20")</f>
        <v>46132</v>
      </c>
      <c r="E41" s="53" t="s">
        <v>86</v>
      </c>
      <c r="F41" s="75">
        <f>TIMEVALUE("07:58")</f>
        <v>0.33194444444444443</v>
      </c>
      <c r="G41" s="75">
        <f>TIMEVALUE("17:16")</f>
        <v>0.71944444444444444</v>
      </c>
      <c r="H41" s="76">
        <f t="shared" si="0"/>
        <v>9.3000000000000007</v>
      </c>
      <c r="I41" s="68">
        <f t="shared" si="1"/>
        <v>0</v>
      </c>
      <c r="J41" s="76">
        <f t="shared" si="2"/>
        <v>1.3000000000000007</v>
      </c>
      <c r="K41" s="53"/>
      <c r="L41" s="51" t="str">
        <f t="shared" si="3"/>
        <v>2026-04</v>
      </c>
    </row>
    <row r="42" spans="1:12" ht="22.15" customHeight="1" x14ac:dyDescent="0.2">
      <c r="A42" s="57">
        <v>38</v>
      </c>
      <c r="B42" s="57" t="s">
        <v>69</v>
      </c>
      <c r="C42" s="57" t="str">
        <f>IFERROR(VLOOKUP(B42,'👥 بيانات الموظفين'!B:C,2,0),"")</f>
        <v>خالد عبدالرحمن الدوسري</v>
      </c>
      <c r="D42" s="59">
        <f>DATEVALUE("2026-04-21")</f>
        <v>46133</v>
      </c>
      <c r="E42" s="57" t="s">
        <v>86</v>
      </c>
      <c r="F42" s="77">
        <f>TIMEVALUE("07:57")</f>
        <v>0.33124999999999999</v>
      </c>
      <c r="G42" s="77">
        <f>TIMEVALUE("17:06")</f>
        <v>0.71250000000000002</v>
      </c>
      <c r="H42" s="78">
        <f t="shared" si="0"/>
        <v>9.15</v>
      </c>
      <c r="I42" s="69">
        <f t="shared" si="1"/>
        <v>0</v>
      </c>
      <c r="J42" s="78">
        <f t="shared" si="2"/>
        <v>1.1500000000000004</v>
      </c>
      <c r="K42" s="57"/>
      <c r="L42" s="52" t="str">
        <f t="shared" si="3"/>
        <v>2026-04</v>
      </c>
    </row>
    <row r="43" spans="1:12" ht="22.15" customHeight="1" x14ac:dyDescent="0.2">
      <c r="A43" s="53">
        <v>39</v>
      </c>
      <c r="B43" s="53" t="s">
        <v>69</v>
      </c>
      <c r="C43" s="53" t="str">
        <f>IFERROR(VLOOKUP(B43,'👥 بيانات الموظفين'!B:C,2,0),"")</f>
        <v>خالد عبدالرحمن الدوسري</v>
      </c>
      <c r="D43" s="55">
        <f>DATEVALUE("2026-04-22")</f>
        <v>46134</v>
      </c>
      <c r="E43" s="53" t="s">
        <v>86</v>
      </c>
      <c r="F43" s="75">
        <f>TIMEVALUE("08:07")</f>
        <v>0.33819444444444446</v>
      </c>
      <c r="G43" s="75">
        <f>TIMEVALUE("17:08")</f>
        <v>0.71388888888888891</v>
      </c>
      <c r="H43" s="76">
        <f t="shared" si="0"/>
        <v>9.0166666666666657</v>
      </c>
      <c r="I43" s="68">
        <f t="shared" si="1"/>
        <v>0</v>
      </c>
      <c r="J43" s="76">
        <f t="shared" si="2"/>
        <v>1.0166666666666657</v>
      </c>
      <c r="K43" s="53"/>
      <c r="L43" s="51" t="str">
        <f t="shared" si="3"/>
        <v>2026-04</v>
      </c>
    </row>
    <row r="44" spans="1:12" ht="22.15" customHeight="1" x14ac:dyDescent="0.2">
      <c r="A44" s="57">
        <v>40</v>
      </c>
      <c r="B44" s="57" t="s">
        <v>69</v>
      </c>
      <c r="C44" s="57" t="str">
        <f>IFERROR(VLOOKUP(B44,'👥 بيانات الموظفين'!B:C,2,0),"")</f>
        <v>خالد عبدالرحمن الدوسري</v>
      </c>
      <c r="D44" s="59">
        <f>DATEVALUE("2026-04-23")</f>
        <v>46135</v>
      </c>
      <c r="E44" s="57" t="s">
        <v>86</v>
      </c>
      <c r="F44" s="77">
        <f>TIMEVALUE("07:59")</f>
        <v>0.33263888888888887</v>
      </c>
      <c r="G44" s="77">
        <f>TIMEVALUE("17:17")</f>
        <v>0.72013888888888888</v>
      </c>
      <c r="H44" s="78">
        <f t="shared" si="0"/>
        <v>9.3000000000000007</v>
      </c>
      <c r="I44" s="69">
        <f t="shared" si="1"/>
        <v>0</v>
      </c>
      <c r="J44" s="78">
        <f t="shared" si="2"/>
        <v>1.3000000000000007</v>
      </c>
      <c r="K44" s="57"/>
      <c r="L44" s="52" t="str">
        <f t="shared" si="3"/>
        <v>2026-04</v>
      </c>
    </row>
    <row r="45" spans="1:12" ht="22.15" customHeight="1" x14ac:dyDescent="0.2">
      <c r="A45" s="53">
        <v>41</v>
      </c>
      <c r="B45" s="53" t="s">
        <v>69</v>
      </c>
      <c r="C45" s="53" t="str">
        <f>IFERROR(VLOOKUP(B45,'👥 بيانات الموظفين'!B:C,2,0),"")</f>
        <v>خالد عبدالرحمن الدوسري</v>
      </c>
      <c r="D45" s="55">
        <f>DATEVALUE("2026-04-26")</f>
        <v>46138</v>
      </c>
      <c r="E45" s="53" t="s">
        <v>86</v>
      </c>
      <c r="F45" s="75">
        <f>TIMEVALUE("07:54")</f>
        <v>0.32916666666666666</v>
      </c>
      <c r="G45" s="75">
        <f>TIMEVALUE("17:12")</f>
        <v>0.71666666666666667</v>
      </c>
      <c r="H45" s="76">
        <f t="shared" si="0"/>
        <v>9.3000000000000007</v>
      </c>
      <c r="I45" s="68">
        <f t="shared" si="1"/>
        <v>0</v>
      </c>
      <c r="J45" s="76">
        <f t="shared" si="2"/>
        <v>1.3000000000000007</v>
      </c>
      <c r="K45" s="53"/>
      <c r="L45" s="51" t="str">
        <f t="shared" si="3"/>
        <v>2026-04</v>
      </c>
    </row>
    <row r="46" spans="1:12" ht="22.15" customHeight="1" x14ac:dyDescent="0.2">
      <c r="A46" s="57">
        <v>42</v>
      </c>
      <c r="B46" s="57" t="s">
        <v>69</v>
      </c>
      <c r="C46" s="57" t="str">
        <f>IFERROR(VLOOKUP(B46,'👥 بيانات الموظفين'!B:C,2,0),"")</f>
        <v>خالد عبدالرحمن الدوسري</v>
      </c>
      <c r="D46" s="59">
        <f>DATEVALUE("2026-04-27")</f>
        <v>46139</v>
      </c>
      <c r="E46" s="57" t="s">
        <v>86</v>
      </c>
      <c r="F46" s="77">
        <f>TIMEVALUE("08:03")</f>
        <v>0.33541666666666664</v>
      </c>
      <c r="G46" s="77">
        <f>TIMEVALUE("17:00")</f>
        <v>0.70833333333333337</v>
      </c>
      <c r="H46" s="78">
        <f t="shared" si="0"/>
        <v>8.9500000000000011</v>
      </c>
      <c r="I46" s="69">
        <f t="shared" si="1"/>
        <v>0</v>
      </c>
      <c r="J46" s="78">
        <f t="shared" si="2"/>
        <v>0.95000000000000107</v>
      </c>
      <c r="K46" s="57"/>
      <c r="L46" s="52" t="str">
        <f t="shared" si="3"/>
        <v>2026-04</v>
      </c>
    </row>
    <row r="47" spans="1:12" ht="22.15" customHeight="1" x14ac:dyDescent="0.2">
      <c r="A47" s="53">
        <v>43</v>
      </c>
      <c r="B47" s="53" t="s">
        <v>69</v>
      </c>
      <c r="C47" s="53" t="str">
        <f>IFERROR(VLOOKUP(B47,'👥 بيانات الموظفين'!B:C,2,0),"")</f>
        <v>خالد عبدالرحمن الدوسري</v>
      </c>
      <c r="D47" s="55">
        <f>DATEVALUE("2026-04-28")</f>
        <v>46140</v>
      </c>
      <c r="E47" s="53" t="s">
        <v>86</v>
      </c>
      <c r="F47" s="75">
        <f>TIMEVALUE("08:00")</f>
        <v>0.33333333333333331</v>
      </c>
      <c r="G47" s="75">
        <f>TIMEVALUE("17:07")</f>
        <v>0.71319444444444446</v>
      </c>
      <c r="H47" s="76">
        <f t="shared" si="0"/>
        <v>9.1166666666666671</v>
      </c>
      <c r="I47" s="68">
        <f t="shared" si="1"/>
        <v>0</v>
      </c>
      <c r="J47" s="76">
        <f t="shared" si="2"/>
        <v>1.1166666666666671</v>
      </c>
      <c r="K47" s="53"/>
      <c r="L47" s="51" t="str">
        <f t="shared" si="3"/>
        <v>2026-04</v>
      </c>
    </row>
    <row r="48" spans="1:12" ht="22.15" customHeight="1" x14ac:dyDescent="0.2">
      <c r="A48" s="57">
        <v>44</v>
      </c>
      <c r="B48" s="57" t="s">
        <v>69</v>
      </c>
      <c r="C48" s="57" t="str">
        <f>IFERROR(VLOOKUP(B48,'👥 بيانات الموظفين'!B:C,2,0),"")</f>
        <v>خالد عبدالرحمن الدوسري</v>
      </c>
      <c r="D48" s="59">
        <f>DATEVALUE("2026-04-29")</f>
        <v>46141</v>
      </c>
      <c r="E48" s="57" t="s">
        <v>86</v>
      </c>
      <c r="F48" s="77">
        <f>TIMEVALUE("07:55")</f>
        <v>0.3298611111111111</v>
      </c>
      <c r="G48" s="77">
        <f>TIMEVALUE("17:12")</f>
        <v>0.71666666666666667</v>
      </c>
      <c r="H48" s="78">
        <f t="shared" si="0"/>
        <v>9.2833333333333332</v>
      </c>
      <c r="I48" s="69">
        <f t="shared" si="1"/>
        <v>0</v>
      </c>
      <c r="J48" s="78">
        <f t="shared" si="2"/>
        <v>1.2833333333333332</v>
      </c>
      <c r="K48" s="57"/>
      <c r="L48" s="52" t="str">
        <f t="shared" si="3"/>
        <v>2026-04</v>
      </c>
    </row>
    <row r="49" spans="1:12" ht="22.15" customHeight="1" x14ac:dyDescent="0.2">
      <c r="A49" s="53">
        <v>45</v>
      </c>
      <c r="B49" s="53" t="s">
        <v>69</v>
      </c>
      <c r="C49" s="53" t="str">
        <f>IFERROR(VLOOKUP(B49,'👥 بيانات الموظفين'!B:C,2,0),"")</f>
        <v>خالد عبدالرحمن الدوسري</v>
      </c>
      <c r="D49" s="55">
        <f>DATEVALUE("2026-04-30")</f>
        <v>46142</v>
      </c>
      <c r="E49" s="53" t="s">
        <v>86</v>
      </c>
      <c r="F49" s="75">
        <f>TIMEVALUE("08:04")</f>
        <v>0.33611111111111114</v>
      </c>
      <c r="G49" s="75">
        <f>TIMEVALUE("17:05")</f>
        <v>0.71180555555555558</v>
      </c>
      <c r="H49" s="76">
        <f t="shared" si="0"/>
        <v>9.0166666666666657</v>
      </c>
      <c r="I49" s="68">
        <f t="shared" si="1"/>
        <v>0</v>
      </c>
      <c r="J49" s="76">
        <f t="shared" si="2"/>
        <v>1.0166666666666657</v>
      </c>
      <c r="K49" s="53"/>
      <c r="L49" s="51" t="str">
        <f t="shared" si="3"/>
        <v>2026-04</v>
      </c>
    </row>
    <row r="50" spans="1:12" ht="22.15" customHeight="1" x14ac:dyDescent="0.2">
      <c r="A50" s="57">
        <v>46</v>
      </c>
      <c r="B50" s="57" t="s">
        <v>72</v>
      </c>
      <c r="C50" s="57" t="str">
        <f>IFERROR(VLOOKUP(B50,'👥 بيانات الموظفين'!B:C,2,0),"")</f>
        <v>سلطان فيصل القحطاني</v>
      </c>
      <c r="D50" s="59">
        <f>DATEVALUE("2026-04-12")</f>
        <v>46124</v>
      </c>
      <c r="E50" s="57" t="s">
        <v>86</v>
      </c>
      <c r="F50" s="77">
        <f>TIMEVALUE("07:58")</f>
        <v>0.33194444444444443</v>
      </c>
      <c r="G50" s="77">
        <f>TIMEVALUE("17:12")</f>
        <v>0.71666666666666667</v>
      </c>
      <c r="H50" s="78">
        <f t="shared" si="0"/>
        <v>9.2333333333333343</v>
      </c>
      <c r="I50" s="69">
        <f t="shared" si="1"/>
        <v>0</v>
      </c>
      <c r="J50" s="78">
        <f t="shared" si="2"/>
        <v>1.2333333333333343</v>
      </c>
      <c r="K50" s="57"/>
      <c r="L50" s="52" t="str">
        <f t="shared" si="3"/>
        <v>2026-04</v>
      </c>
    </row>
    <row r="51" spans="1:12" ht="22.15" customHeight="1" x14ac:dyDescent="0.2">
      <c r="A51" s="53">
        <v>47</v>
      </c>
      <c r="B51" s="53" t="s">
        <v>72</v>
      </c>
      <c r="C51" s="53" t="str">
        <f>IFERROR(VLOOKUP(B51,'👥 بيانات الموظفين'!B:C,2,0),"")</f>
        <v>سلطان فيصل القحطاني</v>
      </c>
      <c r="D51" s="55">
        <f>DATEVALUE("2026-04-13")</f>
        <v>46125</v>
      </c>
      <c r="E51" s="53" t="s">
        <v>86</v>
      </c>
      <c r="F51" s="75">
        <f>TIMEVALUE("07:58")</f>
        <v>0.33194444444444443</v>
      </c>
      <c r="G51" s="75">
        <f>TIMEVALUE("17:16")</f>
        <v>0.71944444444444444</v>
      </c>
      <c r="H51" s="76">
        <f t="shared" si="0"/>
        <v>9.3000000000000007</v>
      </c>
      <c r="I51" s="68">
        <f t="shared" si="1"/>
        <v>0</v>
      </c>
      <c r="J51" s="76">
        <f t="shared" si="2"/>
        <v>1.3000000000000007</v>
      </c>
      <c r="K51" s="53"/>
      <c r="L51" s="51" t="str">
        <f t="shared" si="3"/>
        <v>2026-04</v>
      </c>
    </row>
    <row r="52" spans="1:12" ht="22.15" customHeight="1" x14ac:dyDescent="0.2">
      <c r="A52" s="57">
        <v>48</v>
      </c>
      <c r="B52" s="57" t="s">
        <v>72</v>
      </c>
      <c r="C52" s="57" t="str">
        <f>IFERROR(VLOOKUP(B52,'👥 بيانات الموظفين'!B:C,2,0),"")</f>
        <v>سلطان فيصل القحطاني</v>
      </c>
      <c r="D52" s="59">
        <f>DATEVALUE("2026-04-14")</f>
        <v>46126</v>
      </c>
      <c r="E52" s="57" t="s">
        <v>86</v>
      </c>
      <c r="F52" s="77">
        <f>TIMEVALUE("07:54")</f>
        <v>0.32916666666666666</v>
      </c>
      <c r="G52" s="77">
        <f>TIMEVALUE("17:18")</f>
        <v>0.72083333333333333</v>
      </c>
      <c r="H52" s="78">
        <f t="shared" si="0"/>
        <v>9.4</v>
      </c>
      <c r="I52" s="69">
        <f t="shared" si="1"/>
        <v>0</v>
      </c>
      <c r="J52" s="78">
        <f t="shared" si="2"/>
        <v>1.4000000000000004</v>
      </c>
      <c r="K52" s="57"/>
      <c r="L52" s="52" t="str">
        <f t="shared" si="3"/>
        <v>2026-04</v>
      </c>
    </row>
    <row r="53" spans="1:12" ht="22.15" customHeight="1" x14ac:dyDescent="0.2">
      <c r="A53" s="53">
        <v>49</v>
      </c>
      <c r="B53" s="53" t="s">
        <v>72</v>
      </c>
      <c r="C53" s="53" t="str">
        <f>IFERROR(VLOOKUP(B53,'👥 بيانات الموظفين'!B:C,2,0),"")</f>
        <v>سلطان فيصل القحطاني</v>
      </c>
      <c r="D53" s="55">
        <f>DATEVALUE("2026-04-15")</f>
        <v>46127</v>
      </c>
      <c r="E53" s="53" t="s">
        <v>86</v>
      </c>
      <c r="F53" s="75">
        <f>TIMEVALUE("07:56")</f>
        <v>0.33055555555555555</v>
      </c>
      <c r="G53" s="75">
        <f>TIMEVALUE("17:00")</f>
        <v>0.70833333333333337</v>
      </c>
      <c r="H53" s="76">
        <f t="shared" si="0"/>
        <v>9.0666666666666682</v>
      </c>
      <c r="I53" s="68">
        <f t="shared" si="1"/>
        <v>0</v>
      </c>
      <c r="J53" s="76">
        <f t="shared" si="2"/>
        <v>1.0666666666666682</v>
      </c>
      <c r="K53" s="53"/>
      <c r="L53" s="51" t="str">
        <f t="shared" si="3"/>
        <v>2026-04</v>
      </c>
    </row>
    <row r="54" spans="1:12" ht="22.15" customHeight="1" x14ac:dyDescent="0.2">
      <c r="A54" s="57">
        <v>50</v>
      </c>
      <c r="B54" s="57" t="s">
        <v>72</v>
      </c>
      <c r="C54" s="57" t="str">
        <f>IFERROR(VLOOKUP(B54,'👥 بيانات الموظفين'!B:C,2,0),"")</f>
        <v>سلطان فيصل القحطاني</v>
      </c>
      <c r="D54" s="59">
        <f>DATEVALUE("2026-04-16")</f>
        <v>46128</v>
      </c>
      <c r="E54" s="57" t="s">
        <v>86</v>
      </c>
      <c r="F54" s="77">
        <f>TIMEVALUE("08:00")</f>
        <v>0.33333333333333331</v>
      </c>
      <c r="G54" s="77">
        <f>TIMEVALUE("17:02")</f>
        <v>0.70972222222222225</v>
      </c>
      <c r="H54" s="78">
        <f t="shared" si="0"/>
        <v>9.033333333333335</v>
      </c>
      <c r="I54" s="69">
        <f t="shared" si="1"/>
        <v>0</v>
      </c>
      <c r="J54" s="78">
        <f t="shared" si="2"/>
        <v>1.033333333333335</v>
      </c>
      <c r="K54" s="57"/>
      <c r="L54" s="52" t="str">
        <f t="shared" si="3"/>
        <v>2026-04</v>
      </c>
    </row>
    <row r="55" spans="1:12" ht="22.15" customHeight="1" x14ac:dyDescent="0.2">
      <c r="A55" s="53">
        <v>51</v>
      </c>
      <c r="B55" s="53" t="s">
        <v>72</v>
      </c>
      <c r="C55" s="53" t="str">
        <f>IFERROR(VLOOKUP(B55,'👥 بيانات الموظفين'!B:C,2,0),"")</f>
        <v>سلطان فيصل القحطاني</v>
      </c>
      <c r="D55" s="55">
        <f>DATEVALUE("2026-04-19")</f>
        <v>46131</v>
      </c>
      <c r="E55" s="53" t="s">
        <v>86</v>
      </c>
      <c r="F55" s="75">
        <f>TIMEVALUE("07:58")</f>
        <v>0.33194444444444443</v>
      </c>
      <c r="G55" s="75">
        <f>TIMEVALUE("17:13")</f>
        <v>0.71736111111111112</v>
      </c>
      <c r="H55" s="76">
        <f t="shared" si="0"/>
        <v>9.25</v>
      </c>
      <c r="I55" s="68">
        <f t="shared" si="1"/>
        <v>0</v>
      </c>
      <c r="J55" s="76">
        <f t="shared" si="2"/>
        <v>1.25</v>
      </c>
      <c r="K55" s="53"/>
      <c r="L55" s="51" t="str">
        <f t="shared" si="3"/>
        <v>2026-04</v>
      </c>
    </row>
    <row r="56" spans="1:12" ht="22.15" customHeight="1" x14ac:dyDescent="0.2">
      <c r="A56" s="57">
        <v>52</v>
      </c>
      <c r="B56" s="57" t="s">
        <v>72</v>
      </c>
      <c r="C56" s="57" t="str">
        <f>IFERROR(VLOOKUP(B56,'👥 بيانات الموظفين'!B:C,2,0),"")</f>
        <v>سلطان فيصل القحطاني</v>
      </c>
      <c r="D56" s="59">
        <f>DATEVALUE("2026-04-20")</f>
        <v>46132</v>
      </c>
      <c r="E56" s="57" t="s">
        <v>86</v>
      </c>
      <c r="F56" s="77">
        <f>TIMEVALUE("07:61")</f>
        <v>0.33402777777777776</v>
      </c>
      <c r="G56" s="77">
        <f>TIMEVALUE("17:09")</f>
        <v>0.71458333333333335</v>
      </c>
      <c r="H56" s="78">
        <f t="shared" si="0"/>
        <v>9.1333333333333346</v>
      </c>
      <c r="I56" s="69">
        <f t="shared" si="1"/>
        <v>0</v>
      </c>
      <c r="J56" s="78">
        <f t="shared" si="2"/>
        <v>1.1333333333333346</v>
      </c>
      <c r="K56" s="57"/>
      <c r="L56" s="52" t="str">
        <f t="shared" si="3"/>
        <v>2026-04</v>
      </c>
    </row>
    <row r="57" spans="1:12" ht="22.15" customHeight="1" x14ac:dyDescent="0.2">
      <c r="A57" s="53">
        <v>53</v>
      </c>
      <c r="B57" s="53" t="s">
        <v>72</v>
      </c>
      <c r="C57" s="53" t="str">
        <f>IFERROR(VLOOKUP(B57,'👥 بيانات الموظفين'!B:C,2,0),"")</f>
        <v>سلطان فيصل القحطاني</v>
      </c>
      <c r="D57" s="55">
        <f>DATEVALUE("2026-04-21")</f>
        <v>46133</v>
      </c>
      <c r="E57" s="53" t="s">
        <v>86</v>
      </c>
      <c r="F57" s="75">
        <f>TIMEVALUE("08:06")</f>
        <v>0.33750000000000002</v>
      </c>
      <c r="G57" s="75">
        <f>TIMEVALUE("17:11")</f>
        <v>0.71597222222222223</v>
      </c>
      <c r="H57" s="76">
        <f t="shared" si="0"/>
        <v>9.0833333333333321</v>
      </c>
      <c r="I57" s="68">
        <f t="shared" si="1"/>
        <v>0</v>
      </c>
      <c r="J57" s="76">
        <f t="shared" si="2"/>
        <v>1.0833333333333321</v>
      </c>
      <c r="K57" s="53"/>
      <c r="L57" s="51" t="str">
        <f t="shared" si="3"/>
        <v>2026-04</v>
      </c>
    </row>
    <row r="58" spans="1:12" ht="22.15" customHeight="1" x14ac:dyDescent="0.2">
      <c r="A58" s="57">
        <v>54</v>
      </c>
      <c r="B58" s="57" t="s">
        <v>72</v>
      </c>
      <c r="C58" s="57" t="str">
        <f>IFERROR(VLOOKUP(B58,'👥 بيانات الموظفين'!B:C,2,0),"")</f>
        <v>سلطان فيصل القحطاني</v>
      </c>
      <c r="D58" s="59">
        <f>DATEVALUE("2026-04-22")</f>
        <v>46134</v>
      </c>
      <c r="E58" s="57" t="s">
        <v>87</v>
      </c>
      <c r="F58" s="77">
        <f>TIMEVALUE("08:15")</f>
        <v>0.34375</v>
      </c>
      <c r="G58" s="77">
        <f>TIMEVALUE("17:00")</f>
        <v>0.70833333333333337</v>
      </c>
      <c r="H58" s="78">
        <f t="shared" si="0"/>
        <v>8.75</v>
      </c>
      <c r="I58" s="69">
        <f t="shared" si="1"/>
        <v>15.000000000000027</v>
      </c>
      <c r="J58" s="78">
        <f t="shared" si="2"/>
        <v>0.75</v>
      </c>
      <c r="K58" s="57"/>
      <c r="L58" s="52" t="str">
        <f t="shared" si="3"/>
        <v>2026-04</v>
      </c>
    </row>
    <row r="59" spans="1:12" ht="22.15" customHeight="1" x14ac:dyDescent="0.2">
      <c r="A59" s="53">
        <v>55</v>
      </c>
      <c r="B59" s="53" t="s">
        <v>72</v>
      </c>
      <c r="C59" s="53" t="str">
        <f>IFERROR(VLOOKUP(B59,'👥 بيانات الموظفين'!B:C,2,0),"")</f>
        <v>سلطان فيصل القحطاني</v>
      </c>
      <c r="D59" s="55">
        <f>DATEVALUE("2026-04-23")</f>
        <v>46135</v>
      </c>
      <c r="E59" s="53" t="s">
        <v>86</v>
      </c>
      <c r="F59" s="75">
        <f>TIMEVALUE("08:00")</f>
        <v>0.33333333333333331</v>
      </c>
      <c r="G59" s="75">
        <f>TIMEVALUE("17:18")</f>
        <v>0.72083333333333333</v>
      </c>
      <c r="H59" s="76">
        <f t="shared" si="0"/>
        <v>9.3000000000000007</v>
      </c>
      <c r="I59" s="68">
        <f t="shared" si="1"/>
        <v>0</v>
      </c>
      <c r="J59" s="76">
        <f t="shared" si="2"/>
        <v>1.3000000000000007</v>
      </c>
      <c r="K59" s="53"/>
      <c r="L59" s="51" t="str">
        <f t="shared" si="3"/>
        <v>2026-04</v>
      </c>
    </row>
    <row r="60" spans="1:12" ht="22.15" customHeight="1" x14ac:dyDescent="0.2">
      <c r="A60" s="57">
        <v>56</v>
      </c>
      <c r="B60" s="57" t="s">
        <v>72</v>
      </c>
      <c r="C60" s="57" t="str">
        <f>IFERROR(VLOOKUP(B60,'👥 بيانات الموظفين'!B:C,2,0),"")</f>
        <v>سلطان فيصل القحطاني</v>
      </c>
      <c r="D60" s="59">
        <f>DATEVALUE("2026-04-26")</f>
        <v>46138</v>
      </c>
      <c r="E60" s="57" t="s">
        <v>86</v>
      </c>
      <c r="F60" s="77">
        <f>TIMEVALUE("08:02")</f>
        <v>0.3347222222222222</v>
      </c>
      <c r="G60" s="77">
        <f>TIMEVALUE("17:11")</f>
        <v>0.71597222222222223</v>
      </c>
      <c r="H60" s="78">
        <f t="shared" si="0"/>
        <v>9.15</v>
      </c>
      <c r="I60" s="69">
        <f t="shared" si="1"/>
        <v>0</v>
      </c>
      <c r="J60" s="78">
        <f t="shared" si="2"/>
        <v>1.1500000000000004</v>
      </c>
      <c r="K60" s="57"/>
      <c r="L60" s="52" t="str">
        <f t="shared" si="3"/>
        <v>2026-04</v>
      </c>
    </row>
    <row r="61" spans="1:12" ht="22.15" customHeight="1" x14ac:dyDescent="0.2">
      <c r="A61" s="53">
        <v>57</v>
      </c>
      <c r="B61" s="53" t="s">
        <v>72</v>
      </c>
      <c r="C61" s="53" t="str">
        <f>IFERROR(VLOOKUP(B61,'👥 بيانات الموظفين'!B:C,2,0),"")</f>
        <v>سلطان فيصل القحطاني</v>
      </c>
      <c r="D61" s="55">
        <f>DATEVALUE("2026-04-27")</f>
        <v>46139</v>
      </c>
      <c r="E61" s="53" t="s">
        <v>86</v>
      </c>
      <c r="F61" s="75">
        <f>TIMEVALUE("08:00")</f>
        <v>0.33333333333333331</v>
      </c>
      <c r="G61" s="75">
        <f>TIMEVALUE("17:15")</f>
        <v>0.71875</v>
      </c>
      <c r="H61" s="76">
        <f t="shared" si="0"/>
        <v>9.25</v>
      </c>
      <c r="I61" s="68">
        <f t="shared" si="1"/>
        <v>0</v>
      </c>
      <c r="J61" s="76">
        <f t="shared" si="2"/>
        <v>1.25</v>
      </c>
      <c r="K61" s="53"/>
      <c r="L61" s="51" t="str">
        <f t="shared" si="3"/>
        <v>2026-04</v>
      </c>
    </row>
    <row r="62" spans="1:12" ht="22.15" customHeight="1" x14ac:dyDescent="0.2">
      <c r="A62" s="57">
        <v>58</v>
      </c>
      <c r="B62" s="57" t="s">
        <v>72</v>
      </c>
      <c r="C62" s="57" t="str">
        <f>IFERROR(VLOOKUP(B62,'👥 بيانات الموظفين'!B:C,2,0),"")</f>
        <v>سلطان فيصل القحطاني</v>
      </c>
      <c r="D62" s="59">
        <f>DATEVALUE("2026-04-28")</f>
        <v>46140</v>
      </c>
      <c r="E62" s="57" t="s">
        <v>86</v>
      </c>
      <c r="F62" s="77">
        <f>TIMEVALUE("08:00")</f>
        <v>0.33333333333333331</v>
      </c>
      <c r="G62" s="77">
        <f>TIMEVALUE("17:01")</f>
        <v>0.70902777777777781</v>
      </c>
      <c r="H62" s="78">
        <f t="shared" si="0"/>
        <v>9.0166666666666675</v>
      </c>
      <c r="I62" s="69">
        <f t="shared" si="1"/>
        <v>0</v>
      </c>
      <c r="J62" s="78">
        <f t="shared" si="2"/>
        <v>1.0166666666666675</v>
      </c>
      <c r="K62" s="57"/>
      <c r="L62" s="52" t="str">
        <f t="shared" si="3"/>
        <v>2026-04</v>
      </c>
    </row>
    <row r="63" spans="1:12" ht="22.15" customHeight="1" x14ac:dyDescent="0.2">
      <c r="A63" s="53">
        <v>59</v>
      </c>
      <c r="B63" s="53" t="s">
        <v>72</v>
      </c>
      <c r="C63" s="53" t="str">
        <f>IFERROR(VLOOKUP(B63,'👥 بيانات الموظفين'!B:C,2,0),"")</f>
        <v>سلطان فيصل القحطاني</v>
      </c>
      <c r="D63" s="55">
        <f>DATEVALUE("2026-04-29")</f>
        <v>46141</v>
      </c>
      <c r="E63" s="53" t="s">
        <v>86</v>
      </c>
      <c r="F63" s="75">
        <f>TIMEVALUE("08:07")</f>
        <v>0.33819444444444446</v>
      </c>
      <c r="G63" s="75">
        <f>TIMEVALUE("17:08")</f>
        <v>0.71388888888888891</v>
      </c>
      <c r="H63" s="76">
        <f t="shared" si="0"/>
        <v>9.0166666666666657</v>
      </c>
      <c r="I63" s="68">
        <f t="shared" si="1"/>
        <v>0</v>
      </c>
      <c r="J63" s="76">
        <f t="shared" si="2"/>
        <v>1.0166666666666657</v>
      </c>
      <c r="K63" s="53"/>
      <c r="L63" s="51" t="str">
        <f t="shared" si="3"/>
        <v>2026-04</v>
      </c>
    </row>
    <row r="64" spans="1:12" ht="22.15" customHeight="1" x14ac:dyDescent="0.2">
      <c r="A64" s="57">
        <v>60</v>
      </c>
      <c r="B64" s="57" t="s">
        <v>72</v>
      </c>
      <c r="C64" s="57" t="str">
        <f>IFERROR(VLOOKUP(B64,'👥 بيانات الموظفين'!B:C,2,0),"")</f>
        <v>سلطان فيصل القحطاني</v>
      </c>
      <c r="D64" s="59">
        <f>DATEVALUE("2026-04-30")</f>
        <v>46142</v>
      </c>
      <c r="E64" s="57" t="s">
        <v>86</v>
      </c>
      <c r="F64" s="77">
        <f>TIMEVALUE("08:02")</f>
        <v>0.3347222222222222</v>
      </c>
      <c r="G64" s="77">
        <f>TIMEVALUE("17:02")</f>
        <v>0.70972222222222225</v>
      </c>
      <c r="H64" s="78">
        <f t="shared" si="0"/>
        <v>9.0000000000000018</v>
      </c>
      <c r="I64" s="69">
        <f t="shared" si="1"/>
        <v>0</v>
      </c>
      <c r="J64" s="78">
        <f t="shared" si="2"/>
        <v>1.0000000000000018</v>
      </c>
      <c r="K64" s="57"/>
      <c r="L64" s="52" t="str">
        <f t="shared" si="3"/>
        <v>2026-04</v>
      </c>
    </row>
    <row r="65" spans="1:12" ht="22.15" customHeight="1" x14ac:dyDescent="0.2">
      <c r="A65" s="53">
        <v>61</v>
      </c>
      <c r="B65" s="53" t="s">
        <v>74</v>
      </c>
      <c r="C65" s="53" t="str">
        <f>IFERROR(VLOOKUP(B65,'👥 بيانات الموظفين'!B:C,2,0),"")</f>
        <v>Rajesh Kumar Sharma</v>
      </c>
      <c r="D65" s="55">
        <f>DATEVALUE("2026-04-12")</f>
        <v>46124</v>
      </c>
      <c r="E65" s="53" t="s">
        <v>87</v>
      </c>
      <c r="F65" s="75">
        <f>TIMEVALUE("08:40")</f>
        <v>0.3611111111111111</v>
      </c>
      <c r="G65" s="75">
        <f>TIMEVALUE("17:57")</f>
        <v>0.74791666666666667</v>
      </c>
      <c r="H65" s="76">
        <f t="shared" si="0"/>
        <v>9.2833333333333332</v>
      </c>
      <c r="I65" s="68">
        <f t="shared" si="1"/>
        <v>40.000000000000014</v>
      </c>
      <c r="J65" s="76">
        <f t="shared" si="2"/>
        <v>1.2833333333333332</v>
      </c>
      <c r="K65" s="53"/>
      <c r="L65" s="51" t="str">
        <f t="shared" si="3"/>
        <v>2026-04</v>
      </c>
    </row>
    <row r="66" spans="1:12" ht="22.15" customHeight="1" x14ac:dyDescent="0.2">
      <c r="A66" s="57">
        <v>62</v>
      </c>
      <c r="B66" s="57" t="s">
        <v>74</v>
      </c>
      <c r="C66" s="57" t="str">
        <f>IFERROR(VLOOKUP(B66,'👥 بيانات الموظفين'!B:C,2,0),"")</f>
        <v>Rajesh Kumar Sharma</v>
      </c>
      <c r="D66" s="59">
        <f>DATEVALUE("2026-04-13")</f>
        <v>46125</v>
      </c>
      <c r="E66" s="57" t="s">
        <v>87</v>
      </c>
      <c r="F66" s="77">
        <f>TIMEVALUE("09:04")</f>
        <v>0.37777777777777777</v>
      </c>
      <c r="G66" s="77">
        <f>TIMEVALUE("17:48")</f>
        <v>0.7416666666666667</v>
      </c>
      <c r="H66" s="78">
        <f t="shared" si="0"/>
        <v>8.7333333333333343</v>
      </c>
      <c r="I66" s="69">
        <f t="shared" si="1"/>
        <v>64.000000000000014</v>
      </c>
      <c r="J66" s="78">
        <f t="shared" si="2"/>
        <v>0.73333333333333428</v>
      </c>
      <c r="K66" s="57"/>
      <c r="L66" s="52" t="str">
        <f t="shared" si="3"/>
        <v>2026-04</v>
      </c>
    </row>
    <row r="67" spans="1:12" ht="22.15" customHeight="1" x14ac:dyDescent="0.2">
      <c r="A67" s="53">
        <v>63</v>
      </c>
      <c r="B67" s="53" t="s">
        <v>74</v>
      </c>
      <c r="C67" s="53" t="str">
        <f>IFERROR(VLOOKUP(B67,'👥 بيانات الموظفين'!B:C,2,0),"")</f>
        <v>Rajesh Kumar Sharma</v>
      </c>
      <c r="D67" s="55">
        <f>DATEVALUE("2026-04-14")</f>
        <v>46126</v>
      </c>
      <c r="E67" s="53" t="s">
        <v>87</v>
      </c>
      <c r="F67" s="75">
        <f>TIMEVALUE("08:50")</f>
        <v>0.36805555555555558</v>
      </c>
      <c r="G67" s="75">
        <f>TIMEVALUE("17:34")</f>
        <v>0.7319444444444444</v>
      </c>
      <c r="H67" s="76">
        <f t="shared" si="0"/>
        <v>8.7333333333333307</v>
      </c>
      <c r="I67" s="68">
        <f t="shared" si="1"/>
        <v>50.000000000000064</v>
      </c>
      <c r="J67" s="76">
        <f t="shared" si="2"/>
        <v>0.73333333333333073</v>
      </c>
      <c r="K67" s="53"/>
      <c r="L67" s="51" t="str">
        <f t="shared" si="3"/>
        <v>2026-04</v>
      </c>
    </row>
    <row r="68" spans="1:12" ht="22.15" customHeight="1" x14ac:dyDescent="0.2">
      <c r="A68" s="57">
        <v>64</v>
      </c>
      <c r="B68" s="57" t="s">
        <v>74</v>
      </c>
      <c r="C68" s="57" t="str">
        <f>IFERROR(VLOOKUP(B68,'👥 بيانات الموظفين'!B:C,2,0),"")</f>
        <v>Rajesh Kumar Sharma</v>
      </c>
      <c r="D68" s="59">
        <f>DATEVALUE("2026-04-15")</f>
        <v>46127</v>
      </c>
      <c r="E68" s="57" t="s">
        <v>87</v>
      </c>
      <c r="F68" s="77">
        <f>TIMEVALUE("09:09")</f>
        <v>0.38124999999999998</v>
      </c>
      <c r="G68" s="77">
        <f>TIMEVALUE("17:43")</f>
        <v>0.73819444444444449</v>
      </c>
      <c r="H68" s="78">
        <f t="shared" si="0"/>
        <v>8.5666666666666682</v>
      </c>
      <c r="I68" s="69">
        <f t="shared" si="1"/>
        <v>69</v>
      </c>
      <c r="J68" s="78">
        <f t="shared" si="2"/>
        <v>0.56666666666666821</v>
      </c>
      <c r="K68" s="57"/>
      <c r="L68" s="52" t="str">
        <f t="shared" si="3"/>
        <v>2026-04</v>
      </c>
    </row>
    <row r="69" spans="1:12" ht="22.15" customHeight="1" x14ac:dyDescent="0.2">
      <c r="A69" s="53">
        <v>65</v>
      </c>
      <c r="B69" s="53" t="s">
        <v>74</v>
      </c>
      <c r="C69" s="53" t="str">
        <f>IFERROR(VLOOKUP(B69,'👥 بيانات الموظفين'!B:C,2,0),"")</f>
        <v>Rajesh Kumar Sharma</v>
      </c>
      <c r="D69" s="55">
        <f>DATEVALUE("2026-04-16")</f>
        <v>46128</v>
      </c>
      <c r="E69" s="53" t="s">
        <v>87</v>
      </c>
      <c r="F69" s="75">
        <f>TIMEVALUE("08:38")</f>
        <v>0.35972222222222222</v>
      </c>
      <c r="G69" s="75">
        <f>TIMEVALUE("17:31")</f>
        <v>0.72986111111111107</v>
      </c>
      <c r="H69" s="76">
        <f t="shared" ref="H69:H132" si="4">IFERROR(IF(AND(F69&lt;&gt;"",G69&lt;&gt;""),(G69-F69)*24,""),"")</f>
        <v>8.8833333333333329</v>
      </c>
      <c r="I69" s="68">
        <f t="shared" ref="I69:I132" si="5">IFERROR(IF(E69="متأخر",MAX(0,(F69-TIME(8,0,0))*1440),0),0)</f>
        <v>38.000000000000028</v>
      </c>
      <c r="J69" s="76">
        <f t="shared" ref="J69:J132" si="6">IFERROR(IF(AND(ISNUMBER(H69),H69&gt;WorkHoursDay),H69-WorkHoursDay,0),0)</f>
        <v>0.88333333333333286</v>
      </c>
      <c r="K69" s="53"/>
      <c r="L69" s="51" t="str">
        <f t="shared" ref="L69:L132" si="7">IF(D69&lt;&gt;"",TEXT(D69,"yyyy-mm"),"")</f>
        <v>2026-04</v>
      </c>
    </row>
    <row r="70" spans="1:12" ht="22.15" customHeight="1" x14ac:dyDescent="0.2">
      <c r="A70" s="57">
        <v>66</v>
      </c>
      <c r="B70" s="57" t="s">
        <v>74</v>
      </c>
      <c r="C70" s="57" t="str">
        <f>IFERROR(VLOOKUP(B70,'👥 بيانات الموظفين'!B:C,2,0),"")</f>
        <v>Rajesh Kumar Sharma</v>
      </c>
      <c r="D70" s="59">
        <f>DATEVALUE("2026-04-19")</f>
        <v>46131</v>
      </c>
      <c r="E70" s="57" t="s">
        <v>87</v>
      </c>
      <c r="F70" s="77">
        <f>TIMEVALUE("08:40")</f>
        <v>0.3611111111111111</v>
      </c>
      <c r="G70" s="77">
        <f>TIMEVALUE("17:44")</f>
        <v>0.73888888888888893</v>
      </c>
      <c r="H70" s="78">
        <f t="shared" si="4"/>
        <v>9.0666666666666682</v>
      </c>
      <c r="I70" s="69">
        <f t="shared" si="5"/>
        <v>40.000000000000014</v>
      </c>
      <c r="J70" s="78">
        <f t="shared" si="6"/>
        <v>1.0666666666666682</v>
      </c>
      <c r="K70" s="57"/>
      <c r="L70" s="52" t="str">
        <f t="shared" si="7"/>
        <v>2026-04</v>
      </c>
    </row>
    <row r="71" spans="1:12" ht="22.15" customHeight="1" x14ac:dyDescent="0.2">
      <c r="A71" s="53">
        <v>67</v>
      </c>
      <c r="B71" s="53" t="s">
        <v>74</v>
      </c>
      <c r="C71" s="53" t="str">
        <f>IFERROR(VLOOKUP(B71,'👥 بيانات الموظفين'!B:C,2,0),"")</f>
        <v>Rajesh Kumar Sharma</v>
      </c>
      <c r="D71" s="55">
        <f>DATEVALUE("2026-04-20")</f>
        <v>46132</v>
      </c>
      <c r="E71" s="53" t="s">
        <v>87</v>
      </c>
      <c r="F71" s="75">
        <f>TIMEVALUE("09:08")</f>
        <v>0.38055555555555554</v>
      </c>
      <c r="G71" s="75">
        <f>TIMEVALUE("17:38")</f>
        <v>0.73472222222222228</v>
      </c>
      <c r="H71" s="76">
        <f t="shared" si="4"/>
        <v>8.5000000000000018</v>
      </c>
      <c r="I71" s="68">
        <f t="shared" si="5"/>
        <v>68</v>
      </c>
      <c r="J71" s="76">
        <f t="shared" si="6"/>
        <v>0.50000000000000178</v>
      </c>
      <c r="K71" s="53"/>
      <c r="L71" s="51" t="str">
        <f t="shared" si="7"/>
        <v>2026-04</v>
      </c>
    </row>
    <row r="72" spans="1:12" ht="22.15" customHeight="1" x14ac:dyDescent="0.2">
      <c r="A72" s="57">
        <v>68</v>
      </c>
      <c r="B72" s="57" t="s">
        <v>74</v>
      </c>
      <c r="C72" s="57" t="str">
        <f>IFERROR(VLOOKUP(B72,'👥 بيانات الموظفين'!B:C,2,0),"")</f>
        <v>Rajesh Kumar Sharma</v>
      </c>
      <c r="D72" s="59">
        <f>DATEVALUE("2026-04-21")</f>
        <v>46133</v>
      </c>
      <c r="E72" s="57" t="s">
        <v>87</v>
      </c>
      <c r="F72" s="77">
        <f>TIMEVALUE("08:36")</f>
        <v>0.35833333333333334</v>
      </c>
      <c r="G72" s="77">
        <f>TIMEVALUE("17:49")</f>
        <v>0.74236111111111114</v>
      </c>
      <c r="H72" s="78">
        <f t="shared" si="4"/>
        <v>9.2166666666666668</v>
      </c>
      <c r="I72" s="69">
        <f t="shared" si="5"/>
        <v>36.000000000000028</v>
      </c>
      <c r="J72" s="78">
        <f t="shared" si="6"/>
        <v>1.2166666666666668</v>
      </c>
      <c r="K72" s="57"/>
      <c r="L72" s="52" t="str">
        <f t="shared" si="7"/>
        <v>2026-04</v>
      </c>
    </row>
    <row r="73" spans="1:12" ht="22.15" customHeight="1" x14ac:dyDescent="0.2">
      <c r="A73" s="53">
        <v>69</v>
      </c>
      <c r="B73" s="53" t="s">
        <v>74</v>
      </c>
      <c r="C73" s="53" t="str">
        <f>IFERROR(VLOOKUP(B73,'👥 بيانات الموظفين'!B:C,2,0),"")</f>
        <v>Rajesh Kumar Sharma</v>
      </c>
      <c r="D73" s="55">
        <f>DATEVALUE("2026-04-22")</f>
        <v>46134</v>
      </c>
      <c r="E73" s="53" t="s">
        <v>87</v>
      </c>
      <c r="F73" s="75">
        <f>TIMEVALUE("09:03")</f>
        <v>0.37708333333333333</v>
      </c>
      <c r="G73" s="75">
        <f>TIMEVALUE("17:53")</f>
        <v>0.74513888888888891</v>
      </c>
      <c r="H73" s="76">
        <f t="shared" si="4"/>
        <v>8.8333333333333339</v>
      </c>
      <c r="I73" s="68">
        <f t="shared" si="5"/>
        <v>63.000000000000014</v>
      </c>
      <c r="J73" s="76">
        <f t="shared" si="6"/>
        <v>0.83333333333333393</v>
      </c>
      <c r="K73" s="53"/>
      <c r="L73" s="51" t="str">
        <f t="shared" si="7"/>
        <v>2026-04</v>
      </c>
    </row>
    <row r="74" spans="1:12" ht="22.15" customHeight="1" x14ac:dyDescent="0.2">
      <c r="A74" s="57">
        <v>70</v>
      </c>
      <c r="B74" s="57" t="s">
        <v>74</v>
      </c>
      <c r="C74" s="57" t="str">
        <f>IFERROR(VLOOKUP(B74,'👥 بيانات الموظفين'!B:C,2,0),"")</f>
        <v>Rajesh Kumar Sharma</v>
      </c>
      <c r="D74" s="59">
        <f>DATEVALUE("2026-04-23")</f>
        <v>46135</v>
      </c>
      <c r="E74" s="57" t="s">
        <v>87</v>
      </c>
      <c r="F74" s="77">
        <f>TIMEVALUE("08:45")</f>
        <v>0.36458333333333331</v>
      </c>
      <c r="G74" s="77">
        <f>TIMEVALUE("17:57")</f>
        <v>0.74791666666666667</v>
      </c>
      <c r="H74" s="78">
        <f t="shared" si="4"/>
        <v>9.2000000000000011</v>
      </c>
      <c r="I74" s="69">
        <f t="shared" si="5"/>
        <v>45</v>
      </c>
      <c r="J74" s="78">
        <f t="shared" si="6"/>
        <v>1.2000000000000011</v>
      </c>
      <c r="K74" s="57"/>
      <c r="L74" s="52" t="str">
        <f t="shared" si="7"/>
        <v>2026-04</v>
      </c>
    </row>
    <row r="75" spans="1:12" ht="22.15" customHeight="1" x14ac:dyDescent="0.2">
      <c r="A75" s="53">
        <v>71</v>
      </c>
      <c r="B75" s="53" t="s">
        <v>74</v>
      </c>
      <c r="C75" s="53" t="str">
        <f>IFERROR(VLOOKUP(B75,'👥 بيانات الموظفين'!B:C,2,0),"")</f>
        <v>Rajesh Kumar Sharma</v>
      </c>
      <c r="D75" s="55">
        <f>DATEVALUE("2026-04-26")</f>
        <v>46138</v>
      </c>
      <c r="E75" s="53" t="s">
        <v>87</v>
      </c>
      <c r="F75" s="75">
        <f>TIMEVALUE("08:55")</f>
        <v>0.37152777777777779</v>
      </c>
      <c r="G75" s="75">
        <f>TIMEVALUE("17:34")</f>
        <v>0.7319444444444444</v>
      </c>
      <c r="H75" s="76">
        <f t="shared" si="4"/>
        <v>8.6499999999999986</v>
      </c>
      <c r="I75" s="68">
        <f t="shared" si="5"/>
        <v>55.000000000000043</v>
      </c>
      <c r="J75" s="76">
        <f t="shared" si="6"/>
        <v>0.64999999999999858</v>
      </c>
      <c r="K75" s="53"/>
      <c r="L75" s="51" t="str">
        <f t="shared" si="7"/>
        <v>2026-04</v>
      </c>
    </row>
    <row r="76" spans="1:12" ht="22.15" customHeight="1" x14ac:dyDescent="0.2">
      <c r="A76" s="57">
        <v>72</v>
      </c>
      <c r="B76" s="57" t="s">
        <v>74</v>
      </c>
      <c r="C76" s="57" t="str">
        <f>IFERROR(VLOOKUP(B76,'👥 بيانات الموظفين'!B:C,2,0),"")</f>
        <v>Rajesh Kumar Sharma</v>
      </c>
      <c r="D76" s="59">
        <f>DATEVALUE("2026-04-27")</f>
        <v>46139</v>
      </c>
      <c r="E76" s="57" t="s">
        <v>87</v>
      </c>
      <c r="F76" s="77">
        <f>TIMEVALUE("09:04")</f>
        <v>0.37777777777777777</v>
      </c>
      <c r="G76" s="77">
        <f>TIMEVALUE("17:59")</f>
        <v>0.74930555555555556</v>
      </c>
      <c r="H76" s="78">
        <f t="shared" si="4"/>
        <v>8.9166666666666679</v>
      </c>
      <c r="I76" s="69">
        <f t="shared" si="5"/>
        <v>64.000000000000014</v>
      </c>
      <c r="J76" s="78">
        <f t="shared" si="6"/>
        <v>0.91666666666666785</v>
      </c>
      <c r="K76" s="57"/>
      <c r="L76" s="52" t="str">
        <f t="shared" si="7"/>
        <v>2026-04</v>
      </c>
    </row>
    <row r="77" spans="1:12" ht="22.15" customHeight="1" x14ac:dyDescent="0.2">
      <c r="A77" s="53">
        <v>73</v>
      </c>
      <c r="B77" s="53" t="s">
        <v>74</v>
      </c>
      <c r="C77" s="53" t="str">
        <f>IFERROR(VLOOKUP(B77,'👥 بيانات الموظفين'!B:C,2,0),"")</f>
        <v>Rajesh Kumar Sharma</v>
      </c>
      <c r="D77" s="55">
        <f>DATEVALUE("2026-04-28")</f>
        <v>46140</v>
      </c>
      <c r="E77" s="53" t="s">
        <v>87</v>
      </c>
      <c r="F77" s="75">
        <f>TIMEVALUE("09:00")</f>
        <v>0.375</v>
      </c>
      <c r="G77" s="75">
        <f>TIMEVALUE("17:47")</f>
        <v>0.74097222222222225</v>
      </c>
      <c r="H77" s="76">
        <f t="shared" si="4"/>
        <v>8.783333333333335</v>
      </c>
      <c r="I77" s="68">
        <f t="shared" si="5"/>
        <v>60.000000000000028</v>
      </c>
      <c r="J77" s="76">
        <f t="shared" si="6"/>
        <v>0.78333333333333499</v>
      </c>
      <c r="K77" s="53"/>
      <c r="L77" s="51" t="str">
        <f t="shared" si="7"/>
        <v>2026-04</v>
      </c>
    </row>
    <row r="78" spans="1:12" ht="22.15" customHeight="1" x14ac:dyDescent="0.2">
      <c r="A78" s="57">
        <v>74</v>
      </c>
      <c r="B78" s="57" t="s">
        <v>74</v>
      </c>
      <c r="C78" s="57" t="str">
        <f>IFERROR(VLOOKUP(B78,'👥 بيانات الموظفين'!B:C,2,0),"")</f>
        <v>Rajesh Kumar Sharma</v>
      </c>
      <c r="D78" s="59">
        <f>DATEVALUE("2026-04-29")</f>
        <v>46141</v>
      </c>
      <c r="E78" s="57" t="s">
        <v>87</v>
      </c>
      <c r="F78" s="77">
        <f>TIMEVALUE("09:01")</f>
        <v>0.37569444444444444</v>
      </c>
      <c r="G78" s="77">
        <f>TIMEVALUE("17:53")</f>
        <v>0.74513888888888891</v>
      </c>
      <c r="H78" s="78">
        <f t="shared" si="4"/>
        <v>8.8666666666666671</v>
      </c>
      <c r="I78" s="69">
        <f t="shared" si="5"/>
        <v>61.000000000000021</v>
      </c>
      <c r="J78" s="78">
        <f t="shared" si="6"/>
        <v>0.86666666666666714</v>
      </c>
      <c r="K78" s="57"/>
      <c r="L78" s="52" t="str">
        <f t="shared" si="7"/>
        <v>2026-04</v>
      </c>
    </row>
    <row r="79" spans="1:12" ht="22.15" customHeight="1" x14ac:dyDescent="0.2">
      <c r="A79" s="53">
        <v>75</v>
      </c>
      <c r="B79" s="53" t="s">
        <v>74</v>
      </c>
      <c r="C79" s="53" t="str">
        <f>IFERROR(VLOOKUP(B79,'👥 بيانات الموظفين'!B:C,2,0),"")</f>
        <v>Rajesh Kumar Sharma</v>
      </c>
      <c r="D79" s="55">
        <f>DATEVALUE("2026-04-30")</f>
        <v>46142</v>
      </c>
      <c r="E79" s="53" t="s">
        <v>87</v>
      </c>
      <c r="F79" s="75">
        <f>TIMEVALUE("08:47")</f>
        <v>0.3659722222222222</v>
      </c>
      <c r="G79" s="75">
        <f>TIMEVALUE("17:59")</f>
        <v>0.74930555555555556</v>
      </c>
      <c r="H79" s="76">
        <f t="shared" si="4"/>
        <v>9.2000000000000011</v>
      </c>
      <c r="I79" s="68">
        <f t="shared" si="5"/>
        <v>46.999999999999993</v>
      </c>
      <c r="J79" s="76">
        <f t="shared" si="6"/>
        <v>1.2000000000000011</v>
      </c>
      <c r="K79" s="53"/>
      <c r="L79" s="51" t="str">
        <f t="shared" si="7"/>
        <v>2026-04</v>
      </c>
    </row>
    <row r="80" spans="1:12" ht="22.15" customHeight="1" x14ac:dyDescent="0.2">
      <c r="A80" s="57">
        <v>76</v>
      </c>
      <c r="B80" s="57" t="s">
        <v>236</v>
      </c>
      <c r="C80" s="57" t="str">
        <f>IFERROR(VLOOKUP(B80,'👥 بيانات الموظفين'!B:C,2,0),"")</f>
        <v>Mohamed Ahmed Hassan</v>
      </c>
      <c r="D80" s="59">
        <f>DATEVALUE("2026-04-12")</f>
        <v>46124</v>
      </c>
      <c r="E80" s="57" t="s">
        <v>86</v>
      </c>
      <c r="F80" s="77">
        <f>TIMEVALUE("07:56")</f>
        <v>0.33055555555555555</v>
      </c>
      <c r="G80" s="77">
        <f>TIMEVALUE("17:05")</f>
        <v>0.71180555555555558</v>
      </c>
      <c r="H80" s="78">
        <f t="shared" si="4"/>
        <v>9.15</v>
      </c>
      <c r="I80" s="69">
        <f t="shared" si="5"/>
        <v>0</v>
      </c>
      <c r="J80" s="78">
        <f t="shared" si="6"/>
        <v>1.1500000000000004</v>
      </c>
      <c r="K80" s="57"/>
      <c r="L80" s="52" t="str">
        <f t="shared" si="7"/>
        <v>2026-04</v>
      </c>
    </row>
    <row r="81" spans="1:12" ht="22.15" customHeight="1" x14ac:dyDescent="0.2">
      <c r="A81" s="53">
        <v>77</v>
      </c>
      <c r="B81" s="53" t="s">
        <v>236</v>
      </c>
      <c r="C81" s="53" t="str">
        <f>IFERROR(VLOOKUP(B81,'👥 بيانات الموظفين'!B:C,2,0),"")</f>
        <v>Mohamed Ahmed Hassan</v>
      </c>
      <c r="D81" s="55">
        <f>DATEVALUE("2026-04-13")</f>
        <v>46125</v>
      </c>
      <c r="E81" s="53" t="s">
        <v>86</v>
      </c>
      <c r="F81" s="75">
        <f>TIMEVALUE("07:59")</f>
        <v>0.33263888888888887</v>
      </c>
      <c r="G81" s="75">
        <f>TIMEVALUE("17:04")</f>
        <v>0.71111111111111114</v>
      </c>
      <c r="H81" s="76">
        <f t="shared" si="4"/>
        <v>9.0833333333333339</v>
      </c>
      <c r="I81" s="68">
        <f t="shared" si="5"/>
        <v>0</v>
      </c>
      <c r="J81" s="76">
        <f t="shared" si="6"/>
        <v>1.0833333333333339</v>
      </c>
      <c r="K81" s="53"/>
      <c r="L81" s="51" t="str">
        <f t="shared" si="7"/>
        <v>2026-04</v>
      </c>
    </row>
    <row r="82" spans="1:12" ht="22.15" customHeight="1" x14ac:dyDescent="0.2">
      <c r="A82" s="57">
        <v>78</v>
      </c>
      <c r="B82" s="57" t="s">
        <v>236</v>
      </c>
      <c r="C82" s="57" t="str">
        <f>IFERROR(VLOOKUP(B82,'👥 بيانات الموظفين'!B:C,2,0),"")</f>
        <v>Mohamed Ahmed Hassan</v>
      </c>
      <c r="D82" s="59">
        <f>DATEVALUE("2026-04-14")</f>
        <v>46126</v>
      </c>
      <c r="E82" s="57" t="s">
        <v>86</v>
      </c>
      <c r="F82" s="77">
        <f>TIMEVALUE("08:02")</f>
        <v>0.3347222222222222</v>
      </c>
      <c r="G82" s="77">
        <f>TIMEVALUE("17:06")</f>
        <v>0.71250000000000002</v>
      </c>
      <c r="H82" s="78">
        <f t="shared" si="4"/>
        <v>9.0666666666666682</v>
      </c>
      <c r="I82" s="69">
        <f t="shared" si="5"/>
        <v>0</v>
      </c>
      <c r="J82" s="78">
        <f t="shared" si="6"/>
        <v>1.0666666666666682</v>
      </c>
      <c r="K82" s="57"/>
      <c r="L82" s="52" t="str">
        <f t="shared" si="7"/>
        <v>2026-04</v>
      </c>
    </row>
    <row r="83" spans="1:12" ht="22.15" customHeight="1" x14ac:dyDescent="0.2">
      <c r="A83" s="53">
        <v>79</v>
      </c>
      <c r="B83" s="53" t="s">
        <v>236</v>
      </c>
      <c r="C83" s="53" t="str">
        <f>IFERROR(VLOOKUP(B83,'👥 بيانات الموظفين'!B:C,2,0),"")</f>
        <v>Mohamed Ahmed Hassan</v>
      </c>
      <c r="D83" s="55">
        <f>DATEVALUE("2026-04-15")</f>
        <v>46127</v>
      </c>
      <c r="E83" s="53" t="s">
        <v>86</v>
      </c>
      <c r="F83" s="75">
        <f>TIMEVALUE("08:06")</f>
        <v>0.33750000000000002</v>
      </c>
      <c r="G83" s="75">
        <f>TIMEVALUE("17:10")</f>
        <v>0.71527777777777779</v>
      </c>
      <c r="H83" s="76">
        <f t="shared" si="4"/>
        <v>9.0666666666666664</v>
      </c>
      <c r="I83" s="68">
        <f t="shared" si="5"/>
        <v>0</v>
      </c>
      <c r="J83" s="76">
        <f t="shared" si="6"/>
        <v>1.0666666666666664</v>
      </c>
      <c r="K83" s="53"/>
      <c r="L83" s="51" t="str">
        <f t="shared" si="7"/>
        <v>2026-04</v>
      </c>
    </row>
    <row r="84" spans="1:12" ht="22.15" customHeight="1" x14ac:dyDescent="0.2">
      <c r="A84" s="57">
        <v>80</v>
      </c>
      <c r="B84" s="57" t="s">
        <v>236</v>
      </c>
      <c r="C84" s="57" t="str">
        <f>IFERROR(VLOOKUP(B84,'👥 بيانات الموظفين'!B:C,2,0),"")</f>
        <v>Mohamed Ahmed Hassan</v>
      </c>
      <c r="D84" s="59">
        <f>DATEVALUE("2026-04-16")</f>
        <v>46128</v>
      </c>
      <c r="E84" s="57" t="s">
        <v>86</v>
      </c>
      <c r="F84" s="77">
        <f>TIMEVALUE("08:06")</f>
        <v>0.33750000000000002</v>
      </c>
      <c r="G84" s="77">
        <f>TIMEVALUE("17:07")</f>
        <v>0.71319444444444446</v>
      </c>
      <c r="H84" s="78">
        <f t="shared" si="4"/>
        <v>9.0166666666666657</v>
      </c>
      <c r="I84" s="69">
        <f t="shared" si="5"/>
        <v>0</v>
      </c>
      <c r="J84" s="78">
        <f t="shared" si="6"/>
        <v>1.0166666666666657</v>
      </c>
      <c r="K84" s="57"/>
      <c r="L84" s="52" t="str">
        <f t="shared" si="7"/>
        <v>2026-04</v>
      </c>
    </row>
    <row r="85" spans="1:12" ht="22.15" customHeight="1" x14ac:dyDescent="0.2">
      <c r="A85" s="53">
        <v>81</v>
      </c>
      <c r="B85" s="53" t="s">
        <v>236</v>
      </c>
      <c r="C85" s="53" t="str">
        <f>IFERROR(VLOOKUP(B85,'👥 بيانات الموظفين'!B:C,2,0),"")</f>
        <v>Mohamed Ahmed Hassan</v>
      </c>
      <c r="D85" s="55">
        <f>DATEVALUE("2026-04-19")</f>
        <v>46131</v>
      </c>
      <c r="E85" s="53" t="s">
        <v>86</v>
      </c>
      <c r="F85" s="75">
        <f>TIMEVALUE("08:01")</f>
        <v>0.33402777777777776</v>
      </c>
      <c r="G85" s="75">
        <f>TIMEVALUE("17:06")</f>
        <v>0.71250000000000002</v>
      </c>
      <c r="H85" s="76">
        <f t="shared" si="4"/>
        <v>9.0833333333333339</v>
      </c>
      <c r="I85" s="68">
        <f t="shared" si="5"/>
        <v>0</v>
      </c>
      <c r="J85" s="76">
        <f t="shared" si="6"/>
        <v>1.0833333333333339</v>
      </c>
      <c r="K85" s="53"/>
      <c r="L85" s="51" t="str">
        <f t="shared" si="7"/>
        <v>2026-04</v>
      </c>
    </row>
    <row r="86" spans="1:12" ht="22.15" customHeight="1" x14ac:dyDescent="0.2">
      <c r="A86" s="57">
        <v>82</v>
      </c>
      <c r="B86" s="57" t="s">
        <v>236</v>
      </c>
      <c r="C86" s="57" t="str">
        <f>IFERROR(VLOOKUP(B86,'👥 بيانات الموظفين'!B:C,2,0),"")</f>
        <v>Mohamed Ahmed Hassan</v>
      </c>
      <c r="D86" s="59">
        <f>DATEVALUE("2026-04-20")</f>
        <v>46132</v>
      </c>
      <c r="E86" s="57" t="s">
        <v>86</v>
      </c>
      <c r="F86" s="77">
        <f>TIMEVALUE("08:07")</f>
        <v>0.33819444444444446</v>
      </c>
      <c r="G86" s="77">
        <f>TIMEVALUE("17:03")</f>
        <v>0.7104166666666667</v>
      </c>
      <c r="H86" s="78">
        <f t="shared" si="4"/>
        <v>8.9333333333333336</v>
      </c>
      <c r="I86" s="69">
        <f t="shared" si="5"/>
        <v>0</v>
      </c>
      <c r="J86" s="78">
        <f t="shared" si="6"/>
        <v>0.93333333333333357</v>
      </c>
      <c r="K86" s="57"/>
      <c r="L86" s="52" t="str">
        <f t="shared" si="7"/>
        <v>2026-04</v>
      </c>
    </row>
    <row r="87" spans="1:12" ht="22.15" customHeight="1" x14ac:dyDescent="0.2">
      <c r="A87" s="53">
        <v>83</v>
      </c>
      <c r="B87" s="53" t="s">
        <v>236</v>
      </c>
      <c r="C87" s="53" t="str">
        <f>IFERROR(VLOOKUP(B87,'👥 بيانات الموظفين'!B:C,2,0),"")</f>
        <v>Mohamed Ahmed Hassan</v>
      </c>
      <c r="D87" s="55">
        <f>DATEVALUE("2026-04-21")</f>
        <v>46133</v>
      </c>
      <c r="E87" s="53" t="s">
        <v>86</v>
      </c>
      <c r="F87" s="75">
        <f>TIMEVALUE("07:59")</f>
        <v>0.33263888888888887</v>
      </c>
      <c r="G87" s="75">
        <f>TIMEVALUE("17:17")</f>
        <v>0.72013888888888888</v>
      </c>
      <c r="H87" s="76">
        <f t="shared" si="4"/>
        <v>9.3000000000000007</v>
      </c>
      <c r="I87" s="68">
        <f t="shared" si="5"/>
        <v>0</v>
      </c>
      <c r="J87" s="76">
        <f t="shared" si="6"/>
        <v>1.3000000000000007</v>
      </c>
      <c r="K87" s="53"/>
      <c r="L87" s="51" t="str">
        <f t="shared" si="7"/>
        <v>2026-04</v>
      </c>
    </row>
    <row r="88" spans="1:12" ht="22.15" customHeight="1" x14ac:dyDescent="0.2">
      <c r="A88" s="57">
        <v>84</v>
      </c>
      <c r="B88" s="57" t="s">
        <v>236</v>
      </c>
      <c r="C88" s="57" t="str">
        <f>IFERROR(VLOOKUP(B88,'👥 بيانات الموظفين'!B:C,2,0),"")</f>
        <v>Mohamed Ahmed Hassan</v>
      </c>
      <c r="D88" s="59">
        <f>DATEVALUE("2026-04-22")</f>
        <v>46134</v>
      </c>
      <c r="E88" s="57" t="s">
        <v>86</v>
      </c>
      <c r="F88" s="77">
        <f>TIMEVALUE("07:54")</f>
        <v>0.32916666666666666</v>
      </c>
      <c r="G88" s="77">
        <f>TIMEVALUE("17:18")</f>
        <v>0.72083333333333333</v>
      </c>
      <c r="H88" s="78">
        <f t="shared" si="4"/>
        <v>9.4</v>
      </c>
      <c r="I88" s="69">
        <f t="shared" si="5"/>
        <v>0</v>
      </c>
      <c r="J88" s="78">
        <f t="shared" si="6"/>
        <v>1.4000000000000004</v>
      </c>
      <c r="K88" s="57"/>
      <c r="L88" s="52" t="str">
        <f t="shared" si="7"/>
        <v>2026-04</v>
      </c>
    </row>
    <row r="89" spans="1:12" ht="22.15" customHeight="1" x14ac:dyDescent="0.2">
      <c r="A89" s="53">
        <v>85</v>
      </c>
      <c r="B89" s="53" t="s">
        <v>236</v>
      </c>
      <c r="C89" s="53" t="str">
        <f>IFERROR(VLOOKUP(B89,'👥 بيانات الموظفين'!B:C,2,0),"")</f>
        <v>Mohamed Ahmed Hassan</v>
      </c>
      <c r="D89" s="55">
        <f>DATEVALUE("2026-04-23")</f>
        <v>46135</v>
      </c>
      <c r="E89" s="53" t="s">
        <v>86</v>
      </c>
      <c r="F89" s="75">
        <f>TIMEVALUE("08:03")</f>
        <v>0.33541666666666664</v>
      </c>
      <c r="G89" s="75">
        <f>TIMEVALUE("17:17")</f>
        <v>0.72013888888888888</v>
      </c>
      <c r="H89" s="76">
        <f t="shared" si="4"/>
        <v>9.2333333333333343</v>
      </c>
      <c r="I89" s="68">
        <f t="shared" si="5"/>
        <v>0</v>
      </c>
      <c r="J89" s="76">
        <f t="shared" si="6"/>
        <v>1.2333333333333343</v>
      </c>
      <c r="K89" s="53"/>
      <c r="L89" s="51" t="str">
        <f t="shared" si="7"/>
        <v>2026-04</v>
      </c>
    </row>
    <row r="90" spans="1:12" ht="22.15" customHeight="1" x14ac:dyDescent="0.2">
      <c r="A90" s="57">
        <v>86</v>
      </c>
      <c r="B90" s="57" t="s">
        <v>236</v>
      </c>
      <c r="C90" s="57" t="str">
        <f>IFERROR(VLOOKUP(B90,'👥 بيانات الموظفين'!B:C,2,0),"")</f>
        <v>Mohamed Ahmed Hassan</v>
      </c>
      <c r="D90" s="59">
        <f>DATEVALUE("2026-04-26")</f>
        <v>46138</v>
      </c>
      <c r="E90" s="57" t="s">
        <v>86</v>
      </c>
      <c r="F90" s="77">
        <f>TIMEVALUE("07:55")</f>
        <v>0.3298611111111111</v>
      </c>
      <c r="G90" s="77">
        <f>TIMEVALUE("17:03")</f>
        <v>0.7104166666666667</v>
      </c>
      <c r="H90" s="78">
        <f t="shared" si="4"/>
        <v>9.1333333333333346</v>
      </c>
      <c r="I90" s="69">
        <f t="shared" si="5"/>
        <v>0</v>
      </c>
      <c r="J90" s="78">
        <f t="shared" si="6"/>
        <v>1.1333333333333346</v>
      </c>
      <c r="K90" s="57"/>
      <c r="L90" s="52" t="str">
        <f t="shared" si="7"/>
        <v>2026-04</v>
      </c>
    </row>
    <row r="91" spans="1:12" ht="22.15" customHeight="1" x14ac:dyDescent="0.2">
      <c r="A91" s="53">
        <v>87</v>
      </c>
      <c r="B91" s="53" t="s">
        <v>236</v>
      </c>
      <c r="C91" s="53" t="str">
        <f>IFERROR(VLOOKUP(B91,'👥 بيانات الموظفين'!B:C,2,0),"")</f>
        <v>Mohamed Ahmed Hassan</v>
      </c>
      <c r="D91" s="55">
        <f>DATEVALUE("2026-04-27")</f>
        <v>46139</v>
      </c>
      <c r="E91" s="53" t="s">
        <v>86</v>
      </c>
      <c r="F91" s="75">
        <f>TIMEVALUE("08:07")</f>
        <v>0.33819444444444446</v>
      </c>
      <c r="G91" s="75">
        <f>TIMEVALUE("17:04")</f>
        <v>0.71111111111111114</v>
      </c>
      <c r="H91" s="76">
        <f t="shared" si="4"/>
        <v>8.9499999999999993</v>
      </c>
      <c r="I91" s="68">
        <f t="shared" si="5"/>
        <v>0</v>
      </c>
      <c r="J91" s="76">
        <f t="shared" si="6"/>
        <v>0.94999999999999929</v>
      </c>
      <c r="K91" s="53"/>
      <c r="L91" s="51" t="str">
        <f t="shared" si="7"/>
        <v>2026-04</v>
      </c>
    </row>
    <row r="92" spans="1:12" ht="22.15" customHeight="1" x14ac:dyDescent="0.2">
      <c r="A92" s="57">
        <v>88</v>
      </c>
      <c r="B92" s="57" t="s">
        <v>236</v>
      </c>
      <c r="C92" s="57" t="str">
        <f>IFERROR(VLOOKUP(B92,'👥 بيانات الموظفين'!B:C,2,0),"")</f>
        <v>Mohamed Ahmed Hassan</v>
      </c>
      <c r="D92" s="59">
        <f>DATEVALUE("2026-04-28")</f>
        <v>46140</v>
      </c>
      <c r="E92" s="57" t="s">
        <v>86</v>
      </c>
      <c r="F92" s="77">
        <f>TIMEVALUE("07:60")</f>
        <v>0.33333333333333331</v>
      </c>
      <c r="G92" s="77">
        <f>TIMEVALUE("17:15")</f>
        <v>0.71875</v>
      </c>
      <c r="H92" s="78">
        <f t="shared" si="4"/>
        <v>9.25</v>
      </c>
      <c r="I92" s="69">
        <f t="shared" si="5"/>
        <v>0</v>
      </c>
      <c r="J92" s="78">
        <f t="shared" si="6"/>
        <v>1.25</v>
      </c>
      <c r="K92" s="57"/>
      <c r="L92" s="52" t="str">
        <f t="shared" si="7"/>
        <v>2026-04</v>
      </c>
    </row>
    <row r="93" spans="1:12" ht="22.15" customHeight="1" x14ac:dyDescent="0.2">
      <c r="A93" s="53">
        <v>89</v>
      </c>
      <c r="B93" s="53" t="s">
        <v>236</v>
      </c>
      <c r="C93" s="53" t="str">
        <f>IFERROR(VLOOKUP(B93,'👥 بيانات الموظفين'!B:C,2,0),"")</f>
        <v>Mohamed Ahmed Hassan</v>
      </c>
      <c r="D93" s="55">
        <f>DATEVALUE("2026-04-29")</f>
        <v>46141</v>
      </c>
      <c r="E93" s="53" t="s">
        <v>86</v>
      </c>
      <c r="F93" s="75">
        <f>TIMEVALUE("07:56")</f>
        <v>0.33055555555555555</v>
      </c>
      <c r="G93" s="75">
        <f>TIMEVALUE("17:07")</f>
        <v>0.71319444444444446</v>
      </c>
      <c r="H93" s="76">
        <f t="shared" si="4"/>
        <v>9.1833333333333336</v>
      </c>
      <c r="I93" s="68">
        <f t="shared" si="5"/>
        <v>0</v>
      </c>
      <c r="J93" s="76">
        <f t="shared" si="6"/>
        <v>1.1833333333333336</v>
      </c>
      <c r="K93" s="53"/>
      <c r="L93" s="51" t="str">
        <f t="shared" si="7"/>
        <v>2026-04</v>
      </c>
    </row>
    <row r="94" spans="1:12" ht="22.15" customHeight="1" x14ac:dyDescent="0.2">
      <c r="A94" s="57">
        <v>90</v>
      </c>
      <c r="B94" s="57" t="s">
        <v>236</v>
      </c>
      <c r="C94" s="57" t="str">
        <f>IFERROR(VLOOKUP(B94,'👥 بيانات الموظفين'!B:C,2,0),"")</f>
        <v>Mohamed Ahmed Hassan</v>
      </c>
      <c r="D94" s="59">
        <f>DATEVALUE("2026-04-30")</f>
        <v>46142</v>
      </c>
      <c r="E94" s="57" t="s">
        <v>86</v>
      </c>
      <c r="F94" s="77">
        <f>TIMEVALUE("07:61")</f>
        <v>0.33402777777777776</v>
      </c>
      <c r="G94" s="77">
        <f>TIMEVALUE("17:13")</f>
        <v>0.71736111111111112</v>
      </c>
      <c r="H94" s="78">
        <f t="shared" si="4"/>
        <v>9.2000000000000011</v>
      </c>
      <c r="I94" s="69">
        <f t="shared" si="5"/>
        <v>0</v>
      </c>
      <c r="J94" s="78">
        <f t="shared" si="6"/>
        <v>1.2000000000000011</v>
      </c>
      <c r="K94" s="57"/>
      <c r="L94" s="52" t="str">
        <f t="shared" si="7"/>
        <v>2026-04</v>
      </c>
    </row>
    <row r="95" spans="1:12" ht="22.15" customHeight="1" x14ac:dyDescent="0.2">
      <c r="A95" s="53">
        <v>91</v>
      </c>
      <c r="B95" s="53" t="s">
        <v>237</v>
      </c>
      <c r="C95" s="53" t="str">
        <f>IFERROR(VLOOKUP(B95,'👥 بيانات الموظفين'!B:C,2,0),"")</f>
        <v>نورة عبدالله الشمري</v>
      </c>
      <c r="D95" s="55">
        <f>DATEVALUE("2026-04-12")</f>
        <v>46124</v>
      </c>
      <c r="E95" s="53" t="s">
        <v>86</v>
      </c>
      <c r="F95" s="75">
        <f>TIMEVALUE("08:02")</f>
        <v>0.3347222222222222</v>
      </c>
      <c r="G95" s="75">
        <f>TIMEVALUE("17:13")</f>
        <v>0.71736111111111112</v>
      </c>
      <c r="H95" s="76">
        <f t="shared" si="4"/>
        <v>9.1833333333333336</v>
      </c>
      <c r="I95" s="68">
        <f t="shared" si="5"/>
        <v>0</v>
      </c>
      <c r="J95" s="76">
        <f t="shared" si="6"/>
        <v>1.1833333333333336</v>
      </c>
      <c r="K95" s="53"/>
      <c r="L95" s="51" t="str">
        <f t="shared" si="7"/>
        <v>2026-04</v>
      </c>
    </row>
    <row r="96" spans="1:12" ht="22.15" customHeight="1" x14ac:dyDescent="0.2">
      <c r="A96" s="57">
        <v>92</v>
      </c>
      <c r="B96" s="57" t="s">
        <v>237</v>
      </c>
      <c r="C96" s="57" t="str">
        <f>IFERROR(VLOOKUP(B96,'👥 بيانات الموظفين'!B:C,2,0),"")</f>
        <v>نورة عبدالله الشمري</v>
      </c>
      <c r="D96" s="59">
        <f>DATEVALUE("2026-04-13")</f>
        <v>46125</v>
      </c>
      <c r="E96" s="57" t="s">
        <v>86</v>
      </c>
      <c r="F96" s="77">
        <f>TIMEVALUE("07:60")</f>
        <v>0.33333333333333331</v>
      </c>
      <c r="G96" s="77">
        <f>TIMEVALUE("17:08")</f>
        <v>0.71388888888888891</v>
      </c>
      <c r="H96" s="78">
        <f t="shared" si="4"/>
        <v>9.1333333333333346</v>
      </c>
      <c r="I96" s="69">
        <f t="shared" si="5"/>
        <v>0</v>
      </c>
      <c r="J96" s="78">
        <f t="shared" si="6"/>
        <v>1.1333333333333346</v>
      </c>
      <c r="K96" s="57"/>
      <c r="L96" s="52" t="str">
        <f t="shared" si="7"/>
        <v>2026-04</v>
      </c>
    </row>
    <row r="97" spans="1:12" ht="22.15" customHeight="1" x14ac:dyDescent="0.2">
      <c r="A97" s="53">
        <v>93</v>
      </c>
      <c r="B97" s="53" t="s">
        <v>237</v>
      </c>
      <c r="C97" s="53" t="str">
        <f>IFERROR(VLOOKUP(B97,'👥 بيانات الموظفين'!B:C,2,0),"")</f>
        <v>نورة عبدالله الشمري</v>
      </c>
      <c r="D97" s="55">
        <f>DATEVALUE("2026-04-14")</f>
        <v>46126</v>
      </c>
      <c r="E97" s="53" t="s">
        <v>86</v>
      </c>
      <c r="F97" s="75">
        <f>TIMEVALUE("07:54")</f>
        <v>0.32916666666666666</v>
      </c>
      <c r="G97" s="75">
        <f>TIMEVALUE("17:11")</f>
        <v>0.71597222222222223</v>
      </c>
      <c r="H97" s="76">
        <f t="shared" si="4"/>
        <v>9.2833333333333332</v>
      </c>
      <c r="I97" s="68">
        <f t="shared" si="5"/>
        <v>0</v>
      </c>
      <c r="J97" s="76">
        <f t="shared" si="6"/>
        <v>1.2833333333333332</v>
      </c>
      <c r="K97" s="53"/>
      <c r="L97" s="51" t="str">
        <f t="shared" si="7"/>
        <v>2026-04</v>
      </c>
    </row>
    <row r="98" spans="1:12" ht="22.15" customHeight="1" x14ac:dyDescent="0.2">
      <c r="A98" s="57">
        <v>94</v>
      </c>
      <c r="B98" s="57" t="s">
        <v>237</v>
      </c>
      <c r="C98" s="57" t="str">
        <f>IFERROR(VLOOKUP(B98,'👥 بيانات الموظفين'!B:C,2,0),"")</f>
        <v>نورة عبدالله الشمري</v>
      </c>
      <c r="D98" s="59">
        <f>DATEVALUE("2026-04-15")</f>
        <v>46127</v>
      </c>
      <c r="E98" s="57" t="s">
        <v>86</v>
      </c>
      <c r="F98" s="77">
        <f>TIMEVALUE("08:07")</f>
        <v>0.33819444444444446</v>
      </c>
      <c r="G98" s="77">
        <f>TIMEVALUE("17:03")</f>
        <v>0.7104166666666667</v>
      </c>
      <c r="H98" s="78">
        <f t="shared" si="4"/>
        <v>8.9333333333333336</v>
      </c>
      <c r="I98" s="69">
        <f t="shared" si="5"/>
        <v>0</v>
      </c>
      <c r="J98" s="78">
        <f t="shared" si="6"/>
        <v>0.93333333333333357</v>
      </c>
      <c r="K98" s="57"/>
      <c r="L98" s="52" t="str">
        <f t="shared" si="7"/>
        <v>2026-04</v>
      </c>
    </row>
    <row r="99" spans="1:12" ht="22.15" customHeight="1" x14ac:dyDescent="0.2">
      <c r="A99" s="53">
        <v>95</v>
      </c>
      <c r="B99" s="53" t="s">
        <v>237</v>
      </c>
      <c r="C99" s="53" t="str">
        <f>IFERROR(VLOOKUP(B99,'👥 بيانات الموظفين'!B:C,2,0),"")</f>
        <v>نورة عبدالله الشمري</v>
      </c>
      <c r="D99" s="55">
        <f>DATEVALUE("2026-04-16")</f>
        <v>46128</v>
      </c>
      <c r="E99" s="53" t="s">
        <v>86</v>
      </c>
      <c r="F99" s="75">
        <f>TIMEVALUE("08:02")</f>
        <v>0.3347222222222222</v>
      </c>
      <c r="G99" s="75">
        <f>TIMEVALUE("17:07")</f>
        <v>0.71319444444444446</v>
      </c>
      <c r="H99" s="76">
        <f t="shared" si="4"/>
        <v>9.0833333333333339</v>
      </c>
      <c r="I99" s="68">
        <f t="shared" si="5"/>
        <v>0</v>
      </c>
      <c r="J99" s="76">
        <f t="shared" si="6"/>
        <v>1.0833333333333339</v>
      </c>
      <c r="K99" s="53"/>
      <c r="L99" s="51" t="str">
        <f t="shared" si="7"/>
        <v>2026-04</v>
      </c>
    </row>
    <row r="100" spans="1:12" ht="22.15" customHeight="1" x14ac:dyDescent="0.2">
      <c r="A100" s="57">
        <v>96</v>
      </c>
      <c r="B100" s="57" t="s">
        <v>237</v>
      </c>
      <c r="C100" s="57" t="str">
        <f>IFERROR(VLOOKUP(B100,'👥 بيانات الموظفين'!B:C,2,0),"")</f>
        <v>نورة عبدالله الشمري</v>
      </c>
      <c r="D100" s="59">
        <f>DATEVALUE("2026-04-19")</f>
        <v>46131</v>
      </c>
      <c r="E100" s="57" t="s">
        <v>86</v>
      </c>
      <c r="F100" s="77">
        <f>TIMEVALUE("08:07")</f>
        <v>0.33819444444444446</v>
      </c>
      <c r="G100" s="77">
        <f>TIMEVALUE("17:02")</f>
        <v>0.70972222222222225</v>
      </c>
      <c r="H100" s="78">
        <f t="shared" si="4"/>
        <v>8.9166666666666679</v>
      </c>
      <c r="I100" s="69">
        <f t="shared" si="5"/>
        <v>0</v>
      </c>
      <c r="J100" s="78">
        <f t="shared" si="6"/>
        <v>0.91666666666666785</v>
      </c>
      <c r="K100" s="57"/>
      <c r="L100" s="52" t="str">
        <f t="shared" si="7"/>
        <v>2026-04</v>
      </c>
    </row>
    <row r="101" spans="1:12" ht="22.15" customHeight="1" x14ac:dyDescent="0.2">
      <c r="A101" s="53">
        <v>97</v>
      </c>
      <c r="B101" s="53" t="s">
        <v>237</v>
      </c>
      <c r="C101" s="53" t="str">
        <f>IFERROR(VLOOKUP(B101,'👥 بيانات الموظفين'!B:C,2,0),"")</f>
        <v>نورة عبدالله الشمري</v>
      </c>
      <c r="D101" s="55">
        <f>DATEVALUE("2026-04-20")</f>
        <v>46132</v>
      </c>
      <c r="E101" s="53" t="s">
        <v>86</v>
      </c>
      <c r="F101" s="75">
        <f>TIMEVALUE("08:05")</f>
        <v>0.33680555555555558</v>
      </c>
      <c r="G101" s="75">
        <f>TIMEVALUE("17:07")</f>
        <v>0.71319444444444446</v>
      </c>
      <c r="H101" s="76">
        <f t="shared" si="4"/>
        <v>9.0333333333333332</v>
      </c>
      <c r="I101" s="68">
        <f t="shared" si="5"/>
        <v>0</v>
      </c>
      <c r="J101" s="76">
        <f t="shared" si="6"/>
        <v>1.0333333333333332</v>
      </c>
      <c r="K101" s="53"/>
      <c r="L101" s="51" t="str">
        <f t="shared" si="7"/>
        <v>2026-04</v>
      </c>
    </row>
    <row r="102" spans="1:12" ht="22.15" customHeight="1" x14ac:dyDescent="0.2">
      <c r="A102" s="57">
        <v>98</v>
      </c>
      <c r="B102" s="57" t="s">
        <v>237</v>
      </c>
      <c r="C102" s="57" t="str">
        <f>IFERROR(VLOOKUP(B102,'👥 بيانات الموظفين'!B:C,2,0),"")</f>
        <v>نورة عبدالله الشمري</v>
      </c>
      <c r="D102" s="59">
        <f>DATEVALUE("2026-04-21")</f>
        <v>46133</v>
      </c>
      <c r="E102" s="57" t="s">
        <v>86</v>
      </c>
      <c r="F102" s="77">
        <f>TIMEVALUE("07:53")</f>
        <v>0.32847222222222222</v>
      </c>
      <c r="G102" s="77">
        <f>TIMEVALUE("17:04")</f>
        <v>0.71111111111111114</v>
      </c>
      <c r="H102" s="78">
        <f t="shared" si="4"/>
        <v>9.1833333333333336</v>
      </c>
      <c r="I102" s="69">
        <f t="shared" si="5"/>
        <v>0</v>
      </c>
      <c r="J102" s="78">
        <f t="shared" si="6"/>
        <v>1.1833333333333336</v>
      </c>
      <c r="K102" s="57"/>
      <c r="L102" s="52" t="str">
        <f t="shared" si="7"/>
        <v>2026-04</v>
      </c>
    </row>
    <row r="103" spans="1:12" ht="22.15" customHeight="1" x14ac:dyDescent="0.2">
      <c r="A103" s="53">
        <v>99</v>
      </c>
      <c r="B103" s="53" t="s">
        <v>237</v>
      </c>
      <c r="C103" s="53" t="str">
        <f>IFERROR(VLOOKUP(B103,'👥 بيانات الموظفين'!B:C,2,0),"")</f>
        <v>نورة عبدالله الشمري</v>
      </c>
      <c r="D103" s="55">
        <f>DATEVALUE("2026-04-22")</f>
        <v>46134</v>
      </c>
      <c r="E103" s="53" t="s">
        <v>86</v>
      </c>
      <c r="F103" s="75">
        <f>TIMEVALUE("07:56")</f>
        <v>0.33055555555555555</v>
      </c>
      <c r="G103" s="75">
        <f>TIMEVALUE("17:11")</f>
        <v>0.71597222222222223</v>
      </c>
      <c r="H103" s="76">
        <f t="shared" si="4"/>
        <v>9.25</v>
      </c>
      <c r="I103" s="68">
        <f t="shared" si="5"/>
        <v>0</v>
      </c>
      <c r="J103" s="76">
        <f t="shared" si="6"/>
        <v>1.25</v>
      </c>
      <c r="K103" s="53"/>
      <c r="L103" s="51" t="str">
        <f t="shared" si="7"/>
        <v>2026-04</v>
      </c>
    </row>
    <row r="104" spans="1:12" ht="22.15" customHeight="1" x14ac:dyDescent="0.2">
      <c r="A104" s="57">
        <v>100</v>
      </c>
      <c r="B104" s="57" t="s">
        <v>237</v>
      </c>
      <c r="C104" s="57" t="str">
        <f>IFERROR(VLOOKUP(B104,'👥 بيانات الموظفين'!B:C,2,0),"")</f>
        <v>نورة عبدالله الشمري</v>
      </c>
      <c r="D104" s="59">
        <f>DATEVALUE("2026-04-23")</f>
        <v>46135</v>
      </c>
      <c r="E104" s="57" t="s">
        <v>86</v>
      </c>
      <c r="F104" s="77">
        <f>TIMEVALUE("08:01")</f>
        <v>0.33402777777777776</v>
      </c>
      <c r="G104" s="77">
        <f>TIMEVALUE("17:02")</f>
        <v>0.70972222222222225</v>
      </c>
      <c r="H104" s="78">
        <f t="shared" si="4"/>
        <v>9.0166666666666675</v>
      </c>
      <c r="I104" s="69">
        <f t="shared" si="5"/>
        <v>0</v>
      </c>
      <c r="J104" s="78">
        <f t="shared" si="6"/>
        <v>1.0166666666666675</v>
      </c>
      <c r="K104" s="57"/>
      <c r="L104" s="52" t="str">
        <f t="shared" si="7"/>
        <v>2026-04</v>
      </c>
    </row>
    <row r="105" spans="1:12" ht="22.15" customHeight="1" x14ac:dyDescent="0.2">
      <c r="A105" s="53">
        <v>101</v>
      </c>
      <c r="B105" s="53" t="s">
        <v>237</v>
      </c>
      <c r="C105" s="53" t="str">
        <f>IFERROR(VLOOKUP(B105,'👥 بيانات الموظفين'!B:C,2,0),"")</f>
        <v>نورة عبدالله الشمري</v>
      </c>
      <c r="D105" s="55">
        <f>DATEVALUE("2026-04-26")</f>
        <v>46138</v>
      </c>
      <c r="E105" s="53" t="s">
        <v>86</v>
      </c>
      <c r="F105" s="75">
        <f>TIMEVALUE("08:00")</f>
        <v>0.33333333333333331</v>
      </c>
      <c r="G105" s="75">
        <f>TIMEVALUE("17:18")</f>
        <v>0.72083333333333333</v>
      </c>
      <c r="H105" s="76">
        <f t="shared" si="4"/>
        <v>9.3000000000000007</v>
      </c>
      <c r="I105" s="68">
        <f t="shared" si="5"/>
        <v>0</v>
      </c>
      <c r="J105" s="76">
        <f t="shared" si="6"/>
        <v>1.3000000000000007</v>
      </c>
      <c r="K105" s="53"/>
      <c r="L105" s="51" t="str">
        <f t="shared" si="7"/>
        <v>2026-04</v>
      </c>
    </row>
    <row r="106" spans="1:12" ht="22.15" customHeight="1" x14ac:dyDescent="0.2">
      <c r="A106" s="57">
        <v>102</v>
      </c>
      <c r="B106" s="57" t="s">
        <v>237</v>
      </c>
      <c r="C106" s="57" t="str">
        <f>IFERROR(VLOOKUP(B106,'👥 بيانات الموظفين'!B:C,2,0),"")</f>
        <v>نورة عبدالله الشمري</v>
      </c>
      <c r="D106" s="59">
        <f>DATEVALUE("2026-04-27")</f>
        <v>46139</v>
      </c>
      <c r="E106" s="57" t="s">
        <v>86</v>
      </c>
      <c r="F106" s="77">
        <f>TIMEVALUE("07:54")</f>
        <v>0.32916666666666666</v>
      </c>
      <c r="G106" s="77">
        <f>TIMEVALUE("17:04")</f>
        <v>0.71111111111111114</v>
      </c>
      <c r="H106" s="78">
        <f t="shared" si="4"/>
        <v>9.1666666666666679</v>
      </c>
      <c r="I106" s="69">
        <f t="shared" si="5"/>
        <v>0</v>
      </c>
      <c r="J106" s="78">
        <f t="shared" si="6"/>
        <v>1.1666666666666679</v>
      </c>
      <c r="K106" s="57"/>
      <c r="L106" s="52" t="str">
        <f t="shared" si="7"/>
        <v>2026-04</v>
      </c>
    </row>
    <row r="107" spans="1:12" ht="22.15" customHeight="1" x14ac:dyDescent="0.2">
      <c r="A107" s="53">
        <v>103</v>
      </c>
      <c r="B107" s="53" t="s">
        <v>237</v>
      </c>
      <c r="C107" s="53" t="str">
        <f>IFERROR(VLOOKUP(B107,'👥 بيانات الموظفين'!B:C,2,0),"")</f>
        <v>نورة عبدالله الشمري</v>
      </c>
      <c r="D107" s="55">
        <f>DATEVALUE("2026-04-28")</f>
        <v>46140</v>
      </c>
      <c r="E107" s="53" t="s">
        <v>86</v>
      </c>
      <c r="F107" s="75">
        <f>TIMEVALUE("08:04")</f>
        <v>0.33611111111111114</v>
      </c>
      <c r="G107" s="75">
        <f>TIMEVALUE("17:12")</f>
        <v>0.71666666666666667</v>
      </c>
      <c r="H107" s="76">
        <f t="shared" si="4"/>
        <v>9.1333333333333329</v>
      </c>
      <c r="I107" s="68">
        <f t="shared" si="5"/>
        <v>0</v>
      </c>
      <c r="J107" s="76">
        <f t="shared" si="6"/>
        <v>1.1333333333333329</v>
      </c>
      <c r="K107" s="53"/>
      <c r="L107" s="51" t="str">
        <f t="shared" si="7"/>
        <v>2026-04</v>
      </c>
    </row>
    <row r="108" spans="1:12" ht="22.15" customHeight="1" x14ac:dyDescent="0.2">
      <c r="A108" s="57">
        <v>104</v>
      </c>
      <c r="B108" s="57" t="s">
        <v>237</v>
      </c>
      <c r="C108" s="57" t="str">
        <f>IFERROR(VLOOKUP(B108,'👥 بيانات الموظفين'!B:C,2,0),"")</f>
        <v>نورة عبدالله الشمري</v>
      </c>
      <c r="D108" s="59">
        <f>DATEVALUE("2026-04-29")</f>
        <v>46141</v>
      </c>
      <c r="E108" s="57" t="s">
        <v>86</v>
      </c>
      <c r="F108" s="77">
        <f>TIMEVALUE("08:05")</f>
        <v>0.33680555555555558</v>
      </c>
      <c r="G108" s="77">
        <f>TIMEVALUE("17:12")</f>
        <v>0.71666666666666667</v>
      </c>
      <c r="H108" s="78">
        <f t="shared" si="4"/>
        <v>9.1166666666666671</v>
      </c>
      <c r="I108" s="69">
        <f t="shared" si="5"/>
        <v>0</v>
      </c>
      <c r="J108" s="78">
        <f t="shared" si="6"/>
        <v>1.1166666666666671</v>
      </c>
      <c r="K108" s="57"/>
      <c r="L108" s="52" t="str">
        <f t="shared" si="7"/>
        <v>2026-04</v>
      </c>
    </row>
    <row r="109" spans="1:12" ht="22.15" customHeight="1" x14ac:dyDescent="0.2">
      <c r="A109" s="53">
        <v>105</v>
      </c>
      <c r="B109" s="53" t="s">
        <v>237</v>
      </c>
      <c r="C109" s="53" t="str">
        <f>IFERROR(VLOOKUP(B109,'👥 بيانات الموظفين'!B:C,2,0),"")</f>
        <v>نورة عبدالله الشمري</v>
      </c>
      <c r="D109" s="55">
        <f>DATEVALUE("2026-04-30")</f>
        <v>46142</v>
      </c>
      <c r="E109" s="53" t="s">
        <v>86</v>
      </c>
      <c r="F109" s="75">
        <f>TIMEVALUE("07:57")</f>
        <v>0.33124999999999999</v>
      </c>
      <c r="G109" s="75">
        <f>TIMEVALUE("17:16")</f>
        <v>0.71944444444444444</v>
      </c>
      <c r="H109" s="76">
        <f t="shared" si="4"/>
        <v>9.3166666666666664</v>
      </c>
      <c r="I109" s="68">
        <f t="shared" si="5"/>
        <v>0</v>
      </c>
      <c r="J109" s="76">
        <f t="shared" si="6"/>
        <v>1.3166666666666664</v>
      </c>
      <c r="K109" s="53"/>
      <c r="L109" s="51" t="str">
        <f t="shared" si="7"/>
        <v>2026-04</v>
      </c>
    </row>
    <row r="110" spans="1:12" ht="22.15" customHeight="1" x14ac:dyDescent="0.2">
      <c r="A110" s="57">
        <v>106</v>
      </c>
      <c r="B110" s="57" t="s">
        <v>238</v>
      </c>
      <c r="C110" s="57" t="str">
        <f>IFERROR(VLOOKUP(B110,'👥 بيانات الموظفين'!B:C,2,0),"")</f>
        <v>عبدالرحمن خالد المالكي</v>
      </c>
      <c r="D110" s="59">
        <f>DATEVALUE("2026-04-12")</f>
        <v>46124</v>
      </c>
      <c r="E110" s="57" t="s">
        <v>86</v>
      </c>
      <c r="F110" s="77">
        <f>TIMEVALUE("08:01")</f>
        <v>0.33402777777777776</v>
      </c>
      <c r="G110" s="77">
        <f>TIMEVALUE("17:18")</f>
        <v>0.72083333333333333</v>
      </c>
      <c r="H110" s="78">
        <f t="shared" si="4"/>
        <v>9.2833333333333332</v>
      </c>
      <c r="I110" s="69">
        <f t="shared" si="5"/>
        <v>0</v>
      </c>
      <c r="J110" s="78">
        <f t="shared" si="6"/>
        <v>1.2833333333333332</v>
      </c>
      <c r="K110" s="57"/>
      <c r="L110" s="52" t="str">
        <f t="shared" si="7"/>
        <v>2026-04</v>
      </c>
    </row>
    <row r="111" spans="1:12" ht="22.15" customHeight="1" x14ac:dyDescent="0.2">
      <c r="A111" s="53">
        <v>107</v>
      </c>
      <c r="B111" s="53" t="s">
        <v>238</v>
      </c>
      <c r="C111" s="53" t="str">
        <f>IFERROR(VLOOKUP(B111,'👥 بيانات الموظفين'!B:C,2,0),"")</f>
        <v>عبدالرحمن خالد المالكي</v>
      </c>
      <c r="D111" s="55">
        <f>DATEVALUE("2026-04-13")</f>
        <v>46125</v>
      </c>
      <c r="E111" s="53" t="s">
        <v>86</v>
      </c>
      <c r="F111" s="75">
        <f>TIMEVALUE("07:53")</f>
        <v>0.32847222222222222</v>
      </c>
      <c r="G111" s="75">
        <f>TIMEVALUE("17:04")</f>
        <v>0.71111111111111114</v>
      </c>
      <c r="H111" s="76">
        <f t="shared" si="4"/>
        <v>9.1833333333333336</v>
      </c>
      <c r="I111" s="68">
        <f t="shared" si="5"/>
        <v>0</v>
      </c>
      <c r="J111" s="76">
        <f t="shared" si="6"/>
        <v>1.1833333333333336</v>
      </c>
      <c r="K111" s="53"/>
      <c r="L111" s="51" t="str">
        <f t="shared" si="7"/>
        <v>2026-04</v>
      </c>
    </row>
    <row r="112" spans="1:12" ht="22.15" customHeight="1" x14ac:dyDescent="0.2">
      <c r="A112" s="57">
        <v>108</v>
      </c>
      <c r="B112" s="57" t="s">
        <v>238</v>
      </c>
      <c r="C112" s="57" t="str">
        <f>IFERROR(VLOOKUP(B112,'👥 بيانات الموظفين'!B:C,2,0),"")</f>
        <v>عبدالرحمن خالد المالكي</v>
      </c>
      <c r="D112" s="59">
        <f>DATEVALUE("2026-04-14")</f>
        <v>46126</v>
      </c>
      <c r="E112" s="57" t="s">
        <v>179</v>
      </c>
      <c r="F112" s="77"/>
      <c r="G112" s="77"/>
      <c r="H112" s="78" t="str">
        <f t="shared" si="4"/>
        <v/>
      </c>
      <c r="I112" s="69">
        <f t="shared" si="5"/>
        <v>0</v>
      </c>
      <c r="J112" s="78">
        <f t="shared" si="6"/>
        <v>0</v>
      </c>
      <c r="K112" s="57" t="s">
        <v>395</v>
      </c>
      <c r="L112" s="52" t="str">
        <f t="shared" si="7"/>
        <v>2026-04</v>
      </c>
    </row>
    <row r="113" spans="1:12" ht="22.15" customHeight="1" x14ac:dyDescent="0.2">
      <c r="A113" s="53">
        <v>109</v>
      </c>
      <c r="B113" s="53" t="s">
        <v>238</v>
      </c>
      <c r="C113" s="53" t="str">
        <f>IFERROR(VLOOKUP(B113,'👥 بيانات الموظفين'!B:C,2,0),"")</f>
        <v>عبدالرحمن خالد المالكي</v>
      </c>
      <c r="D113" s="55">
        <f>DATEVALUE("2026-04-15")</f>
        <v>46127</v>
      </c>
      <c r="E113" s="53" t="s">
        <v>179</v>
      </c>
      <c r="F113" s="75"/>
      <c r="G113" s="75"/>
      <c r="H113" s="76" t="str">
        <f t="shared" si="4"/>
        <v/>
      </c>
      <c r="I113" s="68">
        <f t="shared" si="5"/>
        <v>0</v>
      </c>
      <c r="J113" s="76">
        <f t="shared" si="6"/>
        <v>0</v>
      </c>
      <c r="K113" s="53" t="s">
        <v>395</v>
      </c>
      <c r="L113" s="51" t="str">
        <f t="shared" si="7"/>
        <v>2026-04</v>
      </c>
    </row>
    <row r="114" spans="1:12" ht="22.15" customHeight="1" x14ac:dyDescent="0.2">
      <c r="A114" s="57">
        <v>110</v>
      </c>
      <c r="B114" s="57" t="s">
        <v>238</v>
      </c>
      <c r="C114" s="57" t="str">
        <f>IFERROR(VLOOKUP(B114,'👥 بيانات الموظفين'!B:C,2,0),"")</f>
        <v>عبدالرحمن خالد المالكي</v>
      </c>
      <c r="D114" s="59">
        <f>DATEVALUE("2026-04-16")</f>
        <v>46128</v>
      </c>
      <c r="E114" s="57" t="s">
        <v>86</v>
      </c>
      <c r="F114" s="77">
        <f>TIMEVALUE("08:02")</f>
        <v>0.3347222222222222</v>
      </c>
      <c r="G114" s="77">
        <f>TIMEVALUE("17:15")</f>
        <v>0.71875</v>
      </c>
      <c r="H114" s="78">
        <f t="shared" si="4"/>
        <v>9.2166666666666668</v>
      </c>
      <c r="I114" s="69">
        <f t="shared" si="5"/>
        <v>0</v>
      </c>
      <c r="J114" s="78">
        <f t="shared" si="6"/>
        <v>1.2166666666666668</v>
      </c>
      <c r="K114" s="57"/>
      <c r="L114" s="52" t="str">
        <f t="shared" si="7"/>
        <v>2026-04</v>
      </c>
    </row>
    <row r="115" spans="1:12" ht="22.15" customHeight="1" x14ac:dyDescent="0.2">
      <c r="A115" s="53">
        <v>111</v>
      </c>
      <c r="B115" s="53" t="s">
        <v>238</v>
      </c>
      <c r="C115" s="53" t="str">
        <f>IFERROR(VLOOKUP(B115,'👥 بيانات الموظفين'!B:C,2,0),"")</f>
        <v>عبدالرحمن خالد المالكي</v>
      </c>
      <c r="D115" s="55">
        <f>DATEVALUE("2026-04-19")</f>
        <v>46131</v>
      </c>
      <c r="E115" s="53" t="s">
        <v>86</v>
      </c>
      <c r="F115" s="75">
        <f>TIMEVALUE("07:53")</f>
        <v>0.32847222222222222</v>
      </c>
      <c r="G115" s="75">
        <f>TIMEVALUE("17:16")</f>
        <v>0.71944444444444444</v>
      </c>
      <c r="H115" s="76">
        <f t="shared" si="4"/>
        <v>9.3833333333333329</v>
      </c>
      <c r="I115" s="68">
        <f t="shared" si="5"/>
        <v>0</v>
      </c>
      <c r="J115" s="76">
        <f t="shared" si="6"/>
        <v>1.3833333333333329</v>
      </c>
      <c r="K115" s="53"/>
      <c r="L115" s="51" t="str">
        <f t="shared" si="7"/>
        <v>2026-04</v>
      </c>
    </row>
    <row r="116" spans="1:12" ht="22.15" customHeight="1" x14ac:dyDescent="0.2">
      <c r="A116" s="57">
        <v>112</v>
      </c>
      <c r="B116" s="57" t="s">
        <v>238</v>
      </c>
      <c r="C116" s="57" t="str">
        <f>IFERROR(VLOOKUP(B116,'👥 بيانات الموظفين'!B:C,2,0),"")</f>
        <v>عبدالرحمن خالد المالكي</v>
      </c>
      <c r="D116" s="59">
        <f>DATEVALUE("2026-04-20")</f>
        <v>46132</v>
      </c>
      <c r="E116" s="57" t="s">
        <v>86</v>
      </c>
      <c r="F116" s="77">
        <f>TIMEVALUE("08:04")</f>
        <v>0.33611111111111114</v>
      </c>
      <c r="G116" s="77">
        <f>TIMEVALUE("17:14")</f>
        <v>0.71805555555555556</v>
      </c>
      <c r="H116" s="78">
        <f t="shared" si="4"/>
        <v>9.1666666666666661</v>
      </c>
      <c r="I116" s="69">
        <f t="shared" si="5"/>
        <v>0</v>
      </c>
      <c r="J116" s="78">
        <f t="shared" si="6"/>
        <v>1.1666666666666661</v>
      </c>
      <c r="K116" s="57"/>
      <c r="L116" s="52" t="str">
        <f t="shared" si="7"/>
        <v>2026-04</v>
      </c>
    </row>
    <row r="117" spans="1:12" ht="22.15" customHeight="1" x14ac:dyDescent="0.2">
      <c r="A117" s="53">
        <v>113</v>
      </c>
      <c r="B117" s="53" t="s">
        <v>238</v>
      </c>
      <c r="C117" s="53" t="str">
        <f>IFERROR(VLOOKUP(B117,'👥 بيانات الموظفين'!B:C,2,0),"")</f>
        <v>عبدالرحمن خالد المالكي</v>
      </c>
      <c r="D117" s="55">
        <f>DATEVALUE("2026-04-21")</f>
        <v>46133</v>
      </c>
      <c r="E117" s="53" t="s">
        <v>86</v>
      </c>
      <c r="F117" s="75">
        <f>TIMEVALUE("08:02")</f>
        <v>0.3347222222222222</v>
      </c>
      <c r="G117" s="75">
        <f>TIMEVALUE("17:18")</f>
        <v>0.72083333333333333</v>
      </c>
      <c r="H117" s="76">
        <f t="shared" si="4"/>
        <v>9.2666666666666675</v>
      </c>
      <c r="I117" s="68">
        <f t="shared" si="5"/>
        <v>0</v>
      </c>
      <c r="J117" s="76">
        <f t="shared" si="6"/>
        <v>1.2666666666666675</v>
      </c>
      <c r="K117" s="53"/>
      <c r="L117" s="51" t="str">
        <f t="shared" si="7"/>
        <v>2026-04</v>
      </c>
    </row>
    <row r="118" spans="1:12" ht="22.15" customHeight="1" x14ac:dyDescent="0.2">
      <c r="A118" s="57">
        <v>114</v>
      </c>
      <c r="B118" s="57" t="s">
        <v>238</v>
      </c>
      <c r="C118" s="57" t="str">
        <f>IFERROR(VLOOKUP(B118,'👥 بيانات الموظفين'!B:C,2,0),"")</f>
        <v>عبدالرحمن خالد المالكي</v>
      </c>
      <c r="D118" s="59">
        <f>DATEVALUE("2026-04-22")</f>
        <v>46134</v>
      </c>
      <c r="E118" s="57" t="s">
        <v>86</v>
      </c>
      <c r="F118" s="77">
        <f>TIMEVALUE("07:57")</f>
        <v>0.33124999999999999</v>
      </c>
      <c r="G118" s="77">
        <f>TIMEVALUE("17:08")</f>
        <v>0.71388888888888891</v>
      </c>
      <c r="H118" s="78">
        <f t="shared" si="4"/>
        <v>9.1833333333333336</v>
      </c>
      <c r="I118" s="69">
        <f t="shared" si="5"/>
        <v>0</v>
      </c>
      <c r="J118" s="78">
        <f t="shared" si="6"/>
        <v>1.1833333333333336</v>
      </c>
      <c r="K118" s="57"/>
      <c r="L118" s="52" t="str">
        <f t="shared" si="7"/>
        <v>2026-04</v>
      </c>
    </row>
    <row r="119" spans="1:12" ht="22.15" customHeight="1" x14ac:dyDescent="0.2">
      <c r="A119" s="53">
        <v>115</v>
      </c>
      <c r="B119" s="53" t="s">
        <v>238</v>
      </c>
      <c r="C119" s="53" t="str">
        <f>IFERROR(VLOOKUP(B119,'👥 بيانات الموظفين'!B:C,2,0),"")</f>
        <v>عبدالرحمن خالد المالكي</v>
      </c>
      <c r="D119" s="55">
        <f>DATEVALUE("2026-04-23")</f>
        <v>46135</v>
      </c>
      <c r="E119" s="53" t="s">
        <v>86</v>
      </c>
      <c r="F119" s="75">
        <f>TIMEVALUE("08:00")</f>
        <v>0.33333333333333331</v>
      </c>
      <c r="G119" s="75">
        <f>TIMEVALUE("17:17")</f>
        <v>0.72013888888888888</v>
      </c>
      <c r="H119" s="76">
        <f t="shared" si="4"/>
        <v>9.2833333333333332</v>
      </c>
      <c r="I119" s="68">
        <f t="shared" si="5"/>
        <v>0</v>
      </c>
      <c r="J119" s="76">
        <f t="shared" si="6"/>
        <v>1.2833333333333332</v>
      </c>
      <c r="K119" s="53"/>
      <c r="L119" s="51" t="str">
        <f t="shared" si="7"/>
        <v>2026-04</v>
      </c>
    </row>
    <row r="120" spans="1:12" ht="22.15" customHeight="1" x14ac:dyDescent="0.2">
      <c r="A120" s="57">
        <v>116</v>
      </c>
      <c r="B120" s="57" t="s">
        <v>238</v>
      </c>
      <c r="C120" s="57" t="str">
        <f>IFERROR(VLOOKUP(B120,'👥 بيانات الموظفين'!B:C,2,0),"")</f>
        <v>عبدالرحمن خالد المالكي</v>
      </c>
      <c r="D120" s="59">
        <f>DATEVALUE("2026-04-26")</f>
        <v>46138</v>
      </c>
      <c r="E120" s="57" t="s">
        <v>86</v>
      </c>
      <c r="F120" s="77">
        <f>TIMEVALUE("07:57")</f>
        <v>0.33124999999999999</v>
      </c>
      <c r="G120" s="77">
        <f>TIMEVALUE("17:02")</f>
        <v>0.70972222222222225</v>
      </c>
      <c r="H120" s="78">
        <f t="shared" si="4"/>
        <v>9.0833333333333339</v>
      </c>
      <c r="I120" s="69">
        <f t="shared" si="5"/>
        <v>0</v>
      </c>
      <c r="J120" s="78">
        <f t="shared" si="6"/>
        <v>1.0833333333333339</v>
      </c>
      <c r="K120" s="57"/>
      <c r="L120" s="52" t="str">
        <f t="shared" si="7"/>
        <v>2026-04</v>
      </c>
    </row>
    <row r="121" spans="1:12" ht="22.15" customHeight="1" x14ac:dyDescent="0.2">
      <c r="A121" s="53">
        <v>117</v>
      </c>
      <c r="B121" s="53" t="s">
        <v>238</v>
      </c>
      <c r="C121" s="53" t="str">
        <f>IFERROR(VLOOKUP(B121,'👥 بيانات الموظفين'!B:C,2,0),"")</f>
        <v>عبدالرحمن خالد المالكي</v>
      </c>
      <c r="D121" s="55">
        <f>DATEVALUE("2026-04-27")</f>
        <v>46139</v>
      </c>
      <c r="E121" s="53" t="s">
        <v>86</v>
      </c>
      <c r="F121" s="75">
        <f>TIMEVALUE("07:55")</f>
        <v>0.3298611111111111</v>
      </c>
      <c r="G121" s="75">
        <f>TIMEVALUE("17:17")</f>
        <v>0.72013888888888888</v>
      </c>
      <c r="H121" s="76">
        <f t="shared" si="4"/>
        <v>9.3666666666666671</v>
      </c>
      <c r="I121" s="68">
        <f t="shared" si="5"/>
        <v>0</v>
      </c>
      <c r="J121" s="76">
        <f t="shared" si="6"/>
        <v>1.3666666666666671</v>
      </c>
      <c r="K121" s="53"/>
      <c r="L121" s="51" t="str">
        <f t="shared" si="7"/>
        <v>2026-04</v>
      </c>
    </row>
    <row r="122" spans="1:12" ht="22.15" customHeight="1" x14ac:dyDescent="0.2">
      <c r="A122" s="57">
        <v>118</v>
      </c>
      <c r="B122" s="57" t="s">
        <v>238</v>
      </c>
      <c r="C122" s="57" t="str">
        <f>IFERROR(VLOOKUP(B122,'👥 بيانات الموظفين'!B:C,2,0),"")</f>
        <v>عبدالرحمن خالد المالكي</v>
      </c>
      <c r="D122" s="59">
        <f>DATEVALUE("2026-04-28")</f>
        <v>46140</v>
      </c>
      <c r="E122" s="57" t="s">
        <v>86</v>
      </c>
      <c r="F122" s="77">
        <f>TIMEVALUE("08:07")</f>
        <v>0.33819444444444446</v>
      </c>
      <c r="G122" s="77">
        <f>TIMEVALUE("17:14")</f>
        <v>0.71805555555555556</v>
      </c>
      <c r="H122" s="78">
        <f t="shared" si="4"/>
        <v>9.1166666666666671</v>
      </c>
      <c r="I122" s="69">
        <f t="shared" si="5"/>
        <v>0</v>
      </c>
      <c r="J122" s="78">
        <f t="shared" si="6"/>
        <v>1.1166666666666671</v>
      </c>
      <c r="K122" s="57"/>
      <c r="L122" s="52" t="str">
        <f t="shared" si="7"/>
        <v>2026-04</v>
      </c>
    </row>
    <row r="123" spans="1:12" ht="22.15" customHeight="1" x14ac:dyDescent="0.2">
      <c r="A123" s="53">
        <v>119</v>
      </c>
      <c r="B123" s="53" t="s">
        <v>238</v>
      </c>
      <c r="C123" s="53" t="str">
        <f>IFERROR(VLOOKUP(B123,'👥 بيانات الموظفين'!B:C,2,0),"")</f>
        <v>عبدالرحمن خالد المالكي</v>
      </c>
      <c r="D123" s="55">
        <f>DATEVALUE("2026-04-29")</f>
        <v>46141</v>
      </c>
      <c r="E123" s="53" t="s">
        <v>86</v>
      </c>
      <c r="F123" s="75">
        <f>TIMEVALUE("08:04")</f>
        <v>0.33611111111111114</v>
      </c>
      <c r="G123" s="75">
        <f>TIMEVALUE("17:07")</f>
        <v>0.71319444444444446</v>
      </c>
      <c r="H123" s="76">
        <f t="shared" si="4"/>
        <v>9.0500000000000007</v>
      </c>
      <c r="I123" s="68">
        <f t="shared" si="5"/>
        <v>0</v>
      </c>
      <c r="J123" s="76">
        <f t="shared" si="6"/>
        <v>1.0500000000000007</v>
      </c>
      <c r="K123" s="53"/>
      <c r="L123" s="51" t="str">
        <f t="shared" si="7"/>
        <v>2026-04</v>
      </c>
    </row>
    <row r="124" spans="1:12" ht="22.15" customHeight="1" x14ac:dyDescent="0.2">
      <c r="A124" s="57">
        <v>120</v>
      </c>
      <c r="B124" s="57" t="s">
        <v>238</v>
      </c>
      <c r="C124" s="57" t="str">
        <f>IFERROR(VLOOKUP(B124,'👥 بيانات الموظفين'!B:C,2,0),"")</f>
        <v>عبدالرحمن خالد المالكي</v>
      </c>
      <c r="D124" s="59">
        <f>DATEVALUE("2026-04-30")</f>
        <v>46142</v>
      </c>
      <c r="E124" s="57" t="s">
        <v>86</v>
      </c>
      <c r="F124" s="77">
        <f>TIMEVALUE("08:05")</f>
        <v>0.33680555555555558</v>
      </c>
      <c r="G124" s="77">
        <f>TIMEVALUE("17:03")</f>
        <v>0.7104166666666667</v>
      </c>
      <c r="H124" s="78">
        <f t="shared" si="4"/>
        <v>8.9666666666666668</v>
      </c>
      <c r="I124" s="69">
        <f t="shared" si="5"/>
        <v>0</v>
      </c>
      <c r="J124" s="78">
        <f t="shared" si="6"/>
        <v>0.96666666666666679</v>
      </c>
      <c r="K124" s="57"/>
      <c r="L124" s="52" t="str">
        <f t="shared" si="7"/>
        <v>2026-04</v>
      </c>
    </row>
    <row r="125" spans="1:12" ht="22.15" customHeight="1" x14ac:dyDescent="0.2">
      <c r="A125" s="53">
        <v>121</v>
      </c>
      <c r="B125" s="53" t="s">
        <v>239</v>
      </c>
      <c r="C125" s="53" t="str">
        <f>IFERROR(VLOOKUP(B125,'👥 بيانات الموظفين'!B:C,2,0),"")</f>
        <v>Ali Hassan Khan</v>
      </c>
      <c r="D125" s="55">
        <f>DATEVALUE("2026-04-12")</f>
        <v>46124</v>
      </c>
      <c r="E125" s="53" t="s">
        <v>86</v>
      </c>
      <c r="F125" s="75">
        <f>TIMEVALUE("08:05")</f>
        <v>0.33680555555555558</v>
      </c>
      <c r="G125" s="75">
        <f>TIMEVALUE("17:04")</f>
        <v>0.71111111111111114</v>
      </c>
      <c r="H125" s="76">
        <f t="shared" si="4"/>
        <v>8.9833333333333343</v>
      </c>
      <c r="I125" s="68">
        <f t="shared" si="5"/>
        <v>0</v>
      </c>
      <c r="J125" s="76">
        <f t="shared" si="6"/>
        <v>0.98333333333333428</v>
      </c>
      <c r="K125" s="53"/>
      <c r="L125" s="51" t="str">
        <f t="shared" si="7"/>
        <v>2026-04</v>
      </c>
    </row>
    <row r="126" spans="1:12" ht="22.15" customHeight="1" x14ac:dyDescent="0.2">
      <c r="A126" s="57">
        <v>122</v>
      </c>
      <c r="B126" s="57" t="s">
        <v>239</v>
      </c>
      <c r="C126" s="57" t="str">
        <f>IFERROR(VLOOKUP(B126,'👥 بيانات الموظفين'!B:C,2,0),"")</f>
        <v>Ali Hassan Khan</v>
      </c>
      <c r="D126" s="59">
        <f>DATEVALUE("2026-04-13")</f>
        <v>46125</v>
      </c>
      <c r="E126" s="57" t="s">
        <v>86</v>
      </c>
      <c r="F126" s="77">
        <f>TIMEVALUE("08:07")</f>
        <v>0.33819444444444446</v>
      </c>
      <c r="G126" s="77">
        <f>TIMEVALUE("17:03")</f>
        <v>0.7104166666666667</v>
      </c>
      <c r="H126" s="78">
        <f t="shared" si="4"/>
        <v>8.9333333333333336</v>
      </c>
      <c r="I126" s="69">
        <f t="shared" si="5"/>
        <v>0</v>
      </c>
      <c r="J126" s="78">
        <f t="shared" si="6"/>
        <v>0.93333333333333357</v>
      </c>
      <c r="K126" s="57"/>
      <c r="L126" s="52" t="str">
        <f t="shared" si="7"/>
        <v>2026-04</v>
      </c>
    </row>
    <row r="127" spans="1:12" ht="22.15" customHeight="1" x14ac:dyDescent="0.2">
      <c r="A127" s="53">
        <v>123</v>
      </c>
      <c r="B127" s="53" t="s">
        <v>239</v>
      </c>
      <c r="C127" s="53" t="str">
        <f>IFERROR(VLOOKUP(B127,'👥 بيانات الموظفين'!B:C,2,0),"")</f>
        <v>Ali Hassan Khan</v>
      </c>
      <c r="D127" s="55">
        <f>DATEVALUE("2026-04-14")</f>
        <v>46126</v>
      </c>
      <c r="E127" s="53" t="s">
        <v>86</v>
      </c>
      <c r="F127" s="75">
        <f>TIMEVALUE("07:59")</f>
        <v>0.33263888888888887</v>
      </c>
      <c r="G127" s="75">
        <f>TIMEVALUE("17:05")</f>
        <v>0.71180555555555558</v>
      </c>
      <c r="H127" s="76">
        <f t="shared" si="4"/>
        <v>9.1000000000000014</v>
      </c>
      <c r="I127" s="68">
        <f t="shared" si="5"/>
        <v>0</v>
      </c>
      <c r="J127" s="76">
        <f t="shared" si="6"/>
        <v>1.1000000000000014</v>
      </c>
      <c r="K127" s="53"/>
      <c r="L127" s="51" t="str">
        <f t="shared" si="7"/>
        <v>2026-04</v>
      </c>
    </row>
    <row r="128" spans="1:12" ht="22.15" customHeight="1" x14ac:dyDescent="0.2">
      <c r="A128" s="57">
        <v>124</v>
      </c>
      <c r="B128" s="57" t="s">
        <v>239</v>
      </c>
      <c r="C128" s="57" t="str">
        <f>IFERROR(VLOOKUP(B128,'👥 بيانات الموظفين'!B:C,2,0),"")</f>
        <v>Ali Hassan Khan</v>
      </c>
      <c r="D128" s="59">
        <f>DATEVALUE("2026-04-15")</f>
        <v>46127</v>
      </c>
      <c r="E128" s="57" t="s">
        <v>86</v>
      </c>
      <c r="F128" s="77">
        <f>TIMEVALUE("07:52")</f>
        <v>0.32777777777777778</v>
      </c>
      <c r="G128" s="77">
        <f>TIMEVALUE("17:12")</f>
        <v>0.71666666666666667</v>
      </c>
      <c r="H128" s="78">
        <f t="shared" si="4"/>
        <v>9.3333333333333339</v>
      </c>
      <c r="I128" s="69">
        <f t="shared" si="5"/>
        <v>0</v>
      </c>
      <c r="J128" s="78">
        <f t="shared" si="6"/>
        <v>1.3333333333333339</v>
      </c>
      <c r="K128" s="57"/>
      <c r="L128" s="52" t="str">
        <f t="shared" si="7"/>
        <v>2026-04</v>
      </c>
    </row>
    <row r="129" spans="1:12" ht="22.15" customHeight="1" x14ac:dyDescent="0.2">
      <c r="A129" s="53">
        <v>125</v>
      </c>
      <c r="B129" s="53" t="s">
        <v>239</v>
      </c>
      <c r="C129" s="53" t="str">
        <f>IFERROR(VLOOKUP(B129,'👥 بيانات الموظفين'!B:C,2,0),"")</f>
        <v>Ali Hassan Khan</v>
      </c>
      <c r="D129" s="55">
        <f>DATEVALUE("2026-04-16")</f>
        <v>46128</v>
      </c>
      <c r="E129" s="53" t="s">
        <v>86</v>
      </c>
      <c r="F129" s="75">
        <f>TIMEVALUE("07:60")</f>
        <v>0.33333333333333331</v>
      </c>
      <c r="G129" s="75">
        <f>TIMEVALUE("17:01")</f>
        <v>0.70902777777777781</v>
      </c>
      <c r="H129" s="76">
        <f t="shared" si="4"/>
        <v>9.0166666666666675</v>
      </c>
      <c r="I129" s="68">
        <f t="shared" si="5"/>
        <v>0</v>
      </c>
      <c r="J129" s="76">
        <f t="shared" si="6"/>
        <v>1.0166666666666675</v>
      </c>
      <c r="K129" s="53"/>
      <c r="L129" s="51" t="str">
        <f t="shared" si="7"/>
        <v>2026-04</v>
      </c>
    </row>
    <row r="130" spans="1:12" ht="22.15" customHeight="1" x14ac:dyDescent="0.2">
      <c r="A130" s="57">
        <v>126</v>
      </c>
      <c r="B130" s="57" t="s">
        <v>239</v>
      </c>
      <c r="C130" s="57" t="str">
        <f>IFERROR(VLOOKUP(B130,'👥 بيانات الموظفين'!B:C,2,0),"")</f>
        <v>Ali Hassan Khan</v>
      </c>
      <c r="D130" s="59">
        <f>DATEVALUE("2026-04-19")</f>
        <v>46131</v>
      </c>
      <c r="E130" s="57" t="s">
        <v>86</v>
      </c>
      <c r="F130" s="77">
        <f>TIMEVALUE("07:56")</f>
        <v>0.33055555555555555</v>
      </c>
      <c r="G130" s="77">
        <f>TIMEVALUE("17:03")</f>
        <v>0.7104166666666667</v>
      </c>
      <c r="H130" s="78">
        <f t="shared" si="4"/>
        <v>9.1166666666666671</v>
      </c>
      <c r="I130" s="69">
        <f t="shared" si="5"/>
        <v>0</v>
      </c>
      <c r="J130" s="78">
        <f t="shared" si="6"/>
        <v>1.1166666666666671</v>
      </c>
      <c r="K130" s="57"/>
      <c r="L130" s="52" t="str">
        <f t="shared" si="7"/>
        <v>2026-04</v>
      </c>
    </row>
    <row r="131" spans="1:12" ht="22.15" customHeight="1" x14ac:dyDescent="0.2">
      <c r="A131" s="53">
        <v>127</v>
      </c>
      <c r="B131" s="53" t="s">
        <v>239</v>
      </c>
      <c r="C131" s="53" t="str">
        <f>IFERROR(VLOOKUP(B131,'👥 بيانات الموظفين'!B:C,2,0),"")</f>
        <v>Ali Hassan Khan</v>
      </c>
      <c r="D131" s="55">
        <f>DATEVALUE("2026-04-20")</f>
        <v>46132</v>
      </c>
      <c r="E131" s="53" t="s">
        <v>86</v>
      </c>
      <c r="F131" s="75">
        <f>TIMEVALUE("08:00")</f>
        <v>0.33333333333333331</v>
      </c>
      <c r="G131" s="75">
        <f>TIMEVALUE("17:17")</f>
        <v>0.72013888888888888</v>
      </c>
      <c r="H131" s="76">
        <f t="shared" si="4"/>
        <v>9.2833333333333332</v>
      </c>
      <c r="I131" s="68">
        <f t="shared" si="5"/>
        <v>0</v>
      </c>
      <c r="J131" s="76">
        <f t="shared" si="6"/>
        <v>1.2833333333333332</v>
      </c>
      <c r="K131" s="53"/>
      <c r="L131" s="51" t="str">
        <f t="shared" si="7"/>
        <v>2026-04</v>
      </c>
    </row>
    <row r="132" spans="1:12" ht="22.15" customHeight="1" x14ac:dyDescent="0.2">
      <c r="A132" s="57">
        <v>128</v>
      </c>
      <c r="B132" s="57" t="s">
        <v>239</v>
      </c>
      <c r="C132" s="57" t="str">
        <f>IFERROR(VLOOKUP(B132,'👥 بيانات الموظفين'!B:C,2,0),"")</f>
        <v>Ali Hassan Khan</v>
      </c>
      <c r="D132" s="59">
        <f>DATEVALUE("2026-04-21")</f>
        <v>46133</v>
      </c>
      <c r="E132" s="57" t="s">
        <v>86</v>
      </c>
      <c r="F132" s="77">
        <f>TIMEVALUE("08:01")</f>
        <v>0.33402777777777776</v>
      </c>
      <c r="G132" s="77">
        <f>TIMEVALUE("17:14")</f>
        <v>0.71805555555555556</v>
      </c>
      <c r="H132" s="78">
        <f t="shared" si="4"/>
        <v>9.2166666666666668</v>
      </c>
      <c r="I132" s="69">
        <f t="shared" si="5"/>
        <v>0</v>
      </c>
      <c r="J132" s="78">
        <f t="shared" si="6"/>
        <v>1.2166666666666668</v>
      </c>
      <c r="K132" s="57"/>
      <c r="L132" s="52" t="str">
        <f t="shared" si="7"/>
        <v>2026-04</v>
      </c>
    </row>
    <row r="133" spans="1:12" ht="22.15" customHeight="1" x14ac:dyDescent="0.2">
      <c r="A133" s="53">
        <v>129</v>
      </c>
      <c r="B133" s="53" t="s">
        <v>239</v>
      </c>
      <c r="C133" s="53" t="str">
        <f>IFERROR(VLOOKUP(B133,'👥 بيانات الموظفين'!B:C,2,0),"")</f>
        <v>Ali Hassan Khan</v>
      </c>
      <c r="D133" s="55">
        <f>DATEVALUE("2026-04-22")</f>
        <v>46134</v>
      </c>
      <c r="E133" s="53" t="s">
        <v>86</v>
      </c>
      <c r="F133" s="75">
        <f>TIMEVALUE("08:00")</f>
        <v>0.33333333333333331</v>
      </c>
      <c r="G133" s="75">
        <f>TIMEVALUE("17:16")</f>
        <v>0.71944444444444444</v>
      </c>
      <c r="H133" s="76">
        <f t="shared" ref="H133:H196" si="8">IFERROR(IF(AND(F133&lt;&gt;"",G133&lt;&gt;""),(G133-F133)*24,""),"")</f>
        <v>9.2666666666666675</v>
      </c>
      <c r="I133" s="68">
        <f t="shared" ref="I133:I196" si="9">IFERROR(IF(E133="متأخر",MAX(0,(F133-TIME(8,0,0))*1440),0),0)</f>
        <v>0</v>
      </c>
      <c r="J133" s="76">
        <f t="shared" ref="J133:J196" si="10">IFERROR(IF(AND(ISNUMBER(H133),H133&gt;WorkHoursDay),H133-WorkHoursDay,0),0)</f>
        <v>1.2666666666666675</v>
      </c>
      <c r="K133" s="53"/>
      <c r="L133" s="51" t="str">
        <f t="shared" ref="L133:L196" si="11">IF(D133&lt;&gt;"",TEXT(D133,"yyyy-mm"),"")</f>
        <v>2026-04</v>
      </c>
    </row>
    <row r="134" spans="1:12" ht="22.15" customHeight="1" x14ac:dyDescent="0.2">
      <c r="A134" s="57">
        <v>130</v>
      </c>
      <c r="B134" s="57" t="s">
        <v>239</v>
      </c>
      <c r="C134" s="57" t="str">
        <f>IFERROR(VLOOKUP(B134,'👥 بيانات الموظفين'!B:C,2,0),"")</f>
        <v>Ali Hassan Khan</v>
      </c>
      <c r="D134" s="59">
        <f>DATEVALUE("2026-04-23")</f>
        <v>46135</v>
      </c>
      <c r="E134" s="57" t="s">
        <v>87</v>
      </c>
      <c r="F134" s="77">
        <f>TIMEVALUE("08:24")</f>
        <v>0.35</v>
      </c>
      <c r="G134" s="77">
        <f>TIMEVALUE("17:00")</f>
        <v>0.70833333333333337</v>
      </c>
      <c r="H134" s="78">
        <f t="shared" si="8"/>
        <v>8.6000000000000014</v>
      </c>
      <c r="I134" s="69">
        <f t="shared" si="9"/>
        <v>23.999999999999993</v>
      </c>
      <c r="J134" s="78">
        <f t="shared" si="10"/>
        <v>0.60000000000000142</v>
      </c>
      <c r="K134" s="57"/>
      <c r="L134" s="52" t="str">
        <f t="shared" si="11"/>
        <v>2026-04</v>
      </c>
    </row>
    <row r="135" spans="1:12" ht="22.15" customHeight="1" x14ac:dyDescent="0.2">
      <c r="A135" s="53">
        <v>131</v>
      </c>
      <c r="B135" s="53" t="s">
        <v>239</v>
      </c>
      <c r="C135" s="53" t="str">
        <f>IFERROR(VLOOKUP(B135,'👥 بيانات الموظفين'!B:C,2,0),"")</f>
        <v>Ali Hassan Khan</v>
      </c>
      <c r="D135" s="55">
        <f>DATEVALUE("2026-04-26")</f>
        <v>46138</v>
      </c>
      <c r="E135" s="53" t="s">
        <v>86</v>
      </c>
      <c r="F135" s="75">
        <f>TIMEVALUE("07:59")</f>
        <v>0.33263888888888887</v>
      </c>
      <c r="G135" s="75">
        <f>TIMEVALUE("17:14")</f>
        <v>0.71805555555555556</v>
      </c>
      <c r="H135" s="76">
        <f t="shared" si="8"/>
        <v>9.25</v>
      </c>
      <c r="I135" s="68">
        <f t="shared" si="9"/>
        <v>0</v>
      </c>
      <c r="J135" s="76">
        <f t="shared" si="10"/>
        <v>1.25</v>
      </c>
      <c r="K135" s="53"/>
      <c r="L135" s="51" t="str">
        <f t="shared" si="11"/>
        <v>2026-04</v>
      </c>
    </row>
    <row r="136" spans="1:12" ht="22.15" customHeight="1" x14ac:dyDescent="0.2">
      <c r="A136" s="57">
        <v>132</v>
      </c>
      <c r="B136" s="57" t="s">
        <v>239</v>
      </c>
      <c r="C136" s="57" t="str">
        <f>IFERROR(VLOOKUP(B136,'👥 بيانات الموظفين'!B:C,2,0),"")</f>
        <v>Ali Hassan Khan</v>
      </c>
      <c r="D136" s="59">
        <f>DATEVALUE("2026-04-27")</f>
        <v>46139</v>
      </c>
      <c r="E136" s="57" t="s">
        <v>86</v>
      </c>
      <c r="F136" s="77">
        <f>TIMEVALUE("07:54")</f>
        <v>0.32916666666666666</v>
      </c>
      <c r="G136" s="77">
        <f>TIMEVALUE("17:00")</f>
        <v>0.70833333333333337</v>
      </c>
      <c r="H136" s="78">
        <f t="shared" si="8"/>
        <v>9.1000000000000014</v>
      </c>
      <c r="I136" s="69">
        <f t="shared" si="9"/>
        <v>0</v>
      </c>
      <c r="J136" s="78">
        <f t="shared" si="10"/>
        <v>1.1000000000000014</v>
      </c>
      <c r="K136" s="57"/>
      <c r="L136" s="52" t="str">
        <f t="shared" si="11"/>
        <v>2026-04</v>
      </c>
    </row>
    <row r="137" spans="1:12" ht="22.15" customHeight="1" x14ac:dyDescent="0.2">
      <c r="A137" s="53">
        <v>133</v>
      </c>
      <c r="B137" s="53" t="s">
        <v>239</v>
      </c>
      <c r="C137" s="53" t="str">
        <f>IFERROR(VLOOKUP(B137,'👥 بيانات الموظفين'!B:C,2,0),"")</f>
        <v>Ali Hassan Khan</v>
      </c>
      <c r="D137" s="55">
        <f>DATEVALUE("2026-04-28")</f>
        <v>46140</v>
      </c>
      <c r="E137" s="53" t="s">
        <v>86</v>
      </c>
      <c r="F137" s="75">
        <f>TIMEVALUE("08:05")</f>
        <v>0.33680555555555558</v>
      </c>
      <c r="G137" s="75">
        <f>TIMEVALUE("17:16")</f>
        <v>0.71944444444444444</v>
      </c>
      <c r="H137" s="76">
        <f t="shared" si="8"/>
        <v>9.1833333333333336</v>
      </c>
      <c r="I137" s="68">
        <f t="shared" si="9"/>
        <v>0</v>
      </c>
      <c r="J137" s="76">
        <f t="shared" si="10"/>
        <v>1.1833333333333336</v>
      </c>
      <c r="K137" s="53"/>
      <c r="L137" s="51" t="str">
        <f t="shared" si="11"/>
        <v>2026-04</v>
      </c>
    </row>
    <row r="138" spans="1:12" ht="22.15" customHeight="1" x14ac:dyDescent="0.2">
      <c r="A138" s="57">
        <v>134</v>
      </c>
      <c r="B138" s="57" t="s">
        <v>239</v>
      </c>
      <c r="C138" s="57" t="str">
        <f>IFERROR(VLOOKUP(B138,'👥 بيانات الموظفين'!B:C,2,0),"")</f>
        <v>Ali Hassan Khan</v>
      </c>
      <c r="D138" s="59">
        <f>DATEVALUE("2026-04-29")</f>
        <v>46141</v>
      </c>
      <c r="E138" s="57" t="s">
        <v>86</v>
      </c>
      <c r="F138" s="77">
        <f>TIMEVALUE("07:53")</f>
        <v>0.32847222222222222</v>
      </c>
      <c r="G138" s="77">
        <f>TIMEVALUE("17:19")</f>
        <v>0.72152777777777777</v>
      </c>
      <c r="H138" s="78">
        <f t="shared" si="8"/>
        <v>9.4333333333333336</v>
      </c>
      <c r="I138" s="69">
        <f t="shared" si="9"/>
        <v>0</v>
      </c>
      <c r="J138" s="78">
        <f t="shared" si="10"/>
        <v>1.4333333333333336</v>
      </c>
      <c r="K138" s="57"/>
      <c r="L138" s="52" t="str">
        <f t="shared" si="11"/>
        <v>2026-04</v>
      </c>
    </row>
    <row r="139" spans="1:12" ht="22.15" customHeight="1" x14ac:dyDescent="0.2">
      <c r="A139" s="53">
        <v>135</v>
      </c>
      <c r="B139" s="53" t="s">
        <v>239</v>
      </c>
      <c r="C139" s="53" t="str">
        <f>IFERROR(VLOOKUP(B139,'👥 بيانات الموظفين'!B:C,2,0),"")</f>
        <v>Ali Hassan Khan</v>
      </c>
      <c r="D139" s="55">
        <f>DATEVALUE("2026-04-30")</f>
        <v>46142</v>
      </c>
      <c r="E139" s="53" t="s">
        <v>86</v>
      </c>
      <c r="F139" s="75">
        <f>TIMEVALUE("08:02")</f>
        <v>0.3347222222222222</v>
      </c>
      <c r="G139" s="75">
        <f>TIMEVALUE("17:06")</f>
        <v>0.71250000000000002</v>
      </c>
      <c r="H139" s="76">
        <f t="shared" si="8"/>
        <v>9.0666666666666682</v>
      </c>
      <c r="I139" s="68">
        <f t="shared" si="9"/>
        <v>0</v>
      </c>
      <c r="J139" s="76">
        <f t="shared" si="10"/>
        <v>1.0666666666666682</v>
      </c>
      <c r="K139" s="53"/>
      <c r="L139" s="51" t="str">
        <f t="shared" si="11"/>
        <v>2026-04</v>
      </c>
    </row>
    <row r="140" spans="1:12" ht="22.15" customHeight="1" x14ac:dyDescent="0.2">
      <c r="A140" s="57">
        <v>136</v>
      </c>
      <c r="B140" s="57" t="s">
        <v>240</v>
      </c>
      <c r="C140" s="57" t="str">
        <f>IFERROR(VLOOKUP(B140,'👥 بيانات الموظفين'!B:C,2,0),"")</f>
        <v>ريم سعود العنزي</v>
      </c>
      <c r="D140" s="59">
        <f>DATEVALUE("2026-04-12")</f>
        <v>46124</v>
      </c>
      <c r="E140" s="57" t="s">
        <v>86</v>
      </c>
      <c r="F140" s="77">
        <f>TIMEVALUE("08:05")</f>
        <v>0.33680555555555558</v>
      </c>
      <c r="G140" s="77">
        <f>TIMEVALUE("17:01")</f>
        <v>0.70902777777777781</v>
      </c>
      <c r="H140" s="78">
        <f t="shared" si="8"/>
        <v>8.9333333333333336</v>
      </c>
      <c r="I140" s="69">
        <f t="shared" si="9"/>
        <v>0</v>
      </c>
      <c r="J140" s="78">
        <f t="shared" si="10"/>
        <v>0.93333333333333357</v>
      </c>
      <c r="K140" s="57"/>
      <c r="L140" s="52" t="str">
        <f t="shared" si="11"/>
        <v>2026-04</v>
      </c>
    </row>
    <row r="141" spans="1:12" ht="22.15" customHeight="1" x14ac:dyDescent="0.2">
      <c r="A141" s="53">
        <v>137</v>
      </c>
      <c r="B141" s="53" t="s">
        <v>240</v>
      </c>
      <c r="C141" s="53" t="str">
        <f>IFERROR(VLOOKUP(B141,'👥 بيانات الموظفين'!B:C,2,0),"")</f>
        <v>ريم سعود العنزي</v>
      </c>
      <c r="D141" s="55">
        <f>DATEVALUE("2026-04-13")</f>
        <v>46125</v>
      </c>
      <c r="E141" s="53" t="s">
        <v>86</v>
      </c>
      <c r="F141" s="75">
        <f>TIMEVALUE("07:59")</f>
        <v>0.33263888888888887</v>
      </c>
      <c r="G141" s="75">
        <f>TIMEVALUE("17:03")</f>
        <v>0.7104166666666667</v>
      </c>
      <c r="H141" s="76">
        <f t="shared" si="8"/>
        <v>9.0666666666666682</v>
      </c>
      <c r="I141" s="68">
        <f t="shared" si="9"/>
        <v>0</v>
      </c>
      <c r="J141" s="76">
        <f t="shared" si="10"/>
        <v>1.0666666666666682</v>
      </c>
      <c r="K141" s="53"/>
      <c r="L141" s="51" t="str">
        <f t="shared" si="11"/>
        <v>2026-04</v>
      </c>
    </row>
    <row r="142" spans="1:12" ht="22.15" customHeight="1" x14ac:dyDescent="0.2">
      <c r="A142" s="57">
        <v>138</v>
      </c>
      <c r="B142" s="57" t="s">
        <v>240</v>
      </c>
      <c r="C142" s="57" t="str">
        <f>IFERROR(VLOOKUP(B142,'👥 بيانات الموظفين'!B:C,2,0),"")</f>
        <v>ريم سعود العنزي</v>
      </c>
      <c r="D142" s="59">
        <f>DATEVALUE("2026-04-14")</f>
        <v>46126</v>
      </c>
      <c r="E142" s="57" t="s">
        <v>86</v>
      </c>
      <c r="F142" s="77">
        <f>TIMEVALUE("07:57")</f>
        <v>0.33124999999999999</v>
      </c>
      <c r="G142" s="77">
        <f>TIMEVALUE("17:03")</f>
        <v>0.7104166666666667</v>
      </c>
      <c r="H142" s="78">
        <f t="shared" si="8"/>
        <v>9.1000000000000014</v>
      </c>
      <c r="I142" s="69">
        <f t="shared" si="9"/>
        <v>0</v>
      </c>
      <c r="J142" s="78">
        <f t="shared" si="10"/>
        <v>1.1000000000000014</v>
      </c>
      <c r="K142" s="57"/>
      <c r="L142" s="52" t="str">
        <f t="shared" si="11"/>
        <v>2026-04</v>
      </c>
    </row>
    <row r="143" spans="1:12" ht="22.15" customHeight="1" x14ac:dyDescent="0.2">
      <c r="A143" s="53">
        <v>139</v>
      </c>
      <c r="B143" s="53" t="s">
        <v>240</v>
      </c>
      <c r="C143" s="53" t="str">
        <f>IFERROR(VLOOKUP(B143,'👥 بيانات الموظفين'!B:C,2,0),"")</f>
        <v>ريم سعود العنزي</v>
      </c>
      <c r="D143" s="55">
        <f>DATEVALUE("2026-04-15")</f>
        <v>46127</v>
      </c>
      <c r="E143" s="53" t="s">
        <v>86</v>
      </c>
      <c r="F143" s="75">
        <f>TIMEVALUE("08:02")</f>
        <v>0.3347222222222222</v>
      </c>
      <c r="G143" s="75">
        <f>TIMEVALUE("17:10")</f>
        <v>0.71527777777777779</v>
      </c>
      <c r="H143" s="76">
        <f t="shared" si="8"/>
        <v>9.1333333333333346</v>
      </c>
      <c r="I143" s="68">
        <f t="shared" si="9"/>
        <v>0</v>
      </c>
      <c r="J143" s="76">
        <f t="shared" si="10"/>
        <v>1.1333333333333346</v>
      </c>
      <c r="K143" s="53"/>
      <c r="L143" s="51" t="str">
        <f t="shared" si="11"/>
        <v>2026-04</v>
      </c>
    </row>
    <row r="144" spans="1:12" ht="22.15" customHeight="1" x14ac:dyDescent="0.2">
      <c r="A144" s="57">
        <v>140</v>
      </c>
      <c r="B144" s="57" t="s">
        <v>240</v>
      </c>
      <c r="C144" s="57" t="str">
        <f>IFERROR(VLOOKUP(B144,'👥 بيانات الموظفين'!B:C,2,0),"")</f>
        <v>ريم سعود العنزي</v>
      </c>
      <c r="D144" s="59">
        <f>DATEVALUE("2026-04-16")</f>
        <v>46128</v>
      </c>
      <c r="E144" s="57" t="s">
        <v>86</v>
      </c>
      <c r="F144" s="77">
        <f>TIMEVALUE("07:56")</f>
        <v>0.33055555555555555</v>
      </c>
      <c r="G144" s="77">
        <f>TIMEVALUE("17:02")</f>
        <v>0.70972222222222225</v>
      </c>
      <c r="H144" s="78">
        <f t="shared" si="8"/>
        <v>9.1000000000000014</v>
      </c>
      <c r="I144" s="69">
        <f t="shared" si="9"/>
        <v>0</v>
      </c>
      <c r="J144" s="78">
        <f t="shared" si="10"/>
        <v>1.1000000000000014</v>
      </c>
      <c r="K144" s="57"/>
      <c r="L144" s="52" t="str">
        <f t="shared" si="11"/>
        <v>2026-04</v>
      </c>
    </row>
    <row r="145" spans="1:12" ht="22.15" customHeight="1" x14ac:dyDescent="0.2">
      <c r="A145" s="53">
        <v>141</v>
      </c>
      <c r="B145" s="53" t="s">
        <v>240</v>
      </c>
      <c r="C145" s="53" t="str">
        <f>IFERROR(VLOOKUP(B145,'👥 بيانات الموظفين'!B:C,2,0),"")</f>
        <v>ريم سعود العنزي</v>
      </c>
      <c r="D145" s="55">
        <f>DATEVALUE("2026-04-19")</f>
        <v>46131</v>
      </c>
      <c r="E145" s="53" t="s">
        <v>86</v>
      </c>
      <c r="F145" s="75">
        <f>TIMEVALUE("08:02")</f>
        <v>0.3347222222222222</v>
      </c>
      <c r="G145" s="75">
        <f>TIMEVALUE("17:18")</f>
        <v>0.72083333333333333</v>
      </c>
      <c r="H145" s="76">
        <f t="shared" si="8"/>
        <v>9.2666666666666675</v>
      </c>
      <c r="I145" s="68">
        <f t="shared" si="9"/>
        <v>0</v>
      </c>
      <c r="J145" s="76">
        <f t="shared" si="10"/>
        <v>1.2666666666666675</v>
      </c>
      <c r="K145" s="53"/>
      <c r="L145" s="51" t="str">
        <f t="shared" si="11"/>
        <v>2026-04</v>
      </c>
    </row>
    <row r="146" spans="1:12" ht="22.15" customHeight="1" x14ac:dyDescent="0.2">
      <c r="A146" s="57">
        <v>142</v>
      </c>
      <c r="B146" s="57" t="s">
        <v>240</v>
      </c>
      <c r="C146" s="57" t="str">
        <f>IFERROR(VLOOKUP(B146,'👥 بيانات الموظفين'!B:C,2,0),"")</f>
        <v>ريم سعود العنزي</v>
      </c>
      <c r="D146" s="59">
        <f>DATEVALUE("2026-04-20")</f>
        <v>46132</v>
      </c>
      <c r="E146" s="57" t="s">
        <v>86</v>
      </c>
      <c r="F146" s="77">
        <f>TIMEVALUE("07:55")</f>
        <v>0.3298611111111111</v>
      </c>
      <c r="G146" s="77">
        <f>TIMEVALUE("17:06")</f>
        <v>0.71250000000000002</v>
      </c>
      <c r="H146" s="78">
        <f t="shared" si="8"/>
        <v>9.1833333333333336</v>
      </c>
      <c r="I146" s="69">
        <f t="shared" si="9"/>
        <v>0</v>
      </c>
      <c r="J146" s="78">
        <f t="shared" si="10"/>
        <v>1.1833333333333336</v>
      </c>
      <c r="K146" s="57"/>
      <c r="L146" s="52" t="str">
        <f t="shared" si="11"/>
        <v>2026-04</v>
      </c>
    </row>
    <row r="147" spans="1:12" ht="22.15" customHeight="1" x14ac:dyDescent="0.2">
      <c r="A147" s="53">
        <v>143</v>
      </c>
      <c r="B147" s="53" t="s">
        <v>240</v>
      </c>
      <c r="C147" s="53" t="str">
        <f>IFERROR(VLOOKUP(B147,'👥 بيانات الموظفين'!B:C,2,0),"")</f>
        <v>ريم سعود العنزي</v>
      </c>
      <c r="D147" s="55">
        <f>DATEVALUE("2026-04-21")</f>
        <v>46133</v>
      </c>
      <c r="E147" s="53" t="s">
        <v>86</v>
      </c>
      <c r="F147" s="75">
        <f>TIMEVALUE("08:02")</f>
        <v>0.3347222222222222</v>
      </c>
      <c r="G147" s="75">
        <f>TIMEVALUE("17:06")</f>
        <v>0.71250000000000002</v>
      </c>
      <c r="H147" s="76">
        <f t="shared" si="8"/>
        <v>9.0666666666666682</v>
      </c>
      <c r="I147" s="68">
        <f t="shared" si="9"/>
        <v>0</v>
      </c>
      <c r="J147" s="76">
        <f t="shared" si="10"/>
        <v>1.0666666666666682</v>
      </c>
      <c r="K147" s="53"/>
      <c r="L147" s="51" t="str">
        <f t="shared" si="11"/>
        <v>2026-04</v>
      </c>
    </row>
    <row r="148" spans="1:12" ht="22.15" customHeight="1" x14ac:dyDescent="0.2">
      <c r="A148" s="57">
        <v>144</v>
      </c>
      <c r="B148" s="57" t="s">
        <v>240</v>
      </c>
      <c r="C148" s="57" t="str">
        <f>IFERROR(VLOOKUP(B148,'👥 بيانات الموظفين'!B:C,2,0),"")</f>
        <v>ريم سعود العنزي</v>
      </c>
      <c r="D148" s="59">
        <f>DATEVALUE("2026-04-22")</f>
        <v>46134</v>
      </c>
      <c r="E148" s="57" t="s">
        <v>86</v>
      </c>
      <c r="F148" s="77">
        <f>TIMEVALUE("08:02")</f>
        <v>0.3347222222222222</v>
      </c>
      <c r="G148" s="77">
        <f>TIMEVALUE("17:08")</f>
        <v>0.71388888888888891</v>
      </c>
      <c r="H148" s="78">
        <f t="shared" si="8"/>
        <v>9.1000000000000014</v>
      </c>
      <c r="I148" s="69">
        <f t="shared" si="9"/>
        <v>0</v>
      </c>
      <c r="J148" s="78">
        <f t="shared" si="10"/>
        <v>1.1000000000000014</v>
      </c>
      <c r="K148" s="57"/>
      <c r="L148" s="52" t="str">
        <f t="shared" si="11"/>
        <v>2026-04</v>
      </c>
    </row>
    <row r="149" spans="1:12" ht="22.15" customHeight="1" x14ac:dyDescent="0.2">
      <c r="A149" s="53">
        <v>145</v>
      </c>
      <c r="B149" s="53" t="s">
        <v>240</v>
      </c>
      <c r="C149" s="53" t="str">
        <f>IFERROR(VLOOKUP(B149,'👥 بيانات الموظفين'!B:C,2,0),"")</f>
        <v>ريم سعود العنزي</v>
      </c>
      <c r="D149" s="55">
        <f>DATEVALUE("2026-04-23")</f>
        <v>46135</v>
      </c>
      <c r="E149" s="53" t="s">
        <v>86</v>
      </c>
      <c r="F149" s="75">
        <f>TIMEVALUE("07:52")</f>
        <v>0.32777777777777778</v>
      </c>
      <c r="G149" s="75">
        <f>TIMEVALUE("17:07")</f>
        <v>0.71319444444444446</v>
      </c>
      <c r="H149" s="76">
        <f t="shared" si="8"/>
        <v>9.25</v>
      </c>
      <c r="I149" s="68">
        <f t="shared" si="9"/>
        <v>0</v>
      </c>
      <c r="J149" s="76">
        <f t="shared" si="10"/>
        <v>1.25</v>
      </c>
      <c r="K149" s="53"/>
      <c r="L149" s="51" t="str">
        <f t="shared" si="11"/>
        <v>2026-04</v>
      </c>
    </row>
    <row r="150" spans="1:12" ht="22.15" customHeight="1" x14ac:dyDescent="0.2">
      <c r="A150" s="57">
        <v>146</v>
      </c>
      <c r="B150" s="57" t="s">
        <v>240</v>
      </c>
      <c r="C150" s="57" t="str">
        <f>IFERROR(VLOOKUP(B150,'👥 بيانات الموظفين'!B:C,2,0),"")</f>
        <v>ريم سعود العنزي</v>
      </c>
      <c r="D150" s="59">
        <f>DATEVALUE("2026-04-26")</f>
        <v>46138</v>
      </c>
      <c r="E150" s="57" t="s">
        <v>86</v>
      </c>
      <c r="F150" s="77">
        <f>TIMEVALUE("07:57")</f>
        <v>0.33124999999999999</v>
      </c>
      <c r="G150" s="77">
        <f>TIMEVALUE("17:09")</f>
        <v>0.71458333333333335</v>
      </c>
      <c r="H150" s="78">
        <f t="shared" si="8"/>
        <v>9.2000000000000011</v>
      </c>
      <c r="I150" s="69">
        <f t="shared" si="9"/>
        <v>0</v>
      </c>
      <c r="J150" s="78">
        <f t="shared" si="10"/>
        <v>1.2000000000000011</v>
      </c>
      <c r="K150" s="57"/>
      <c r="L150" s="52" t="str">
        <f t="shared" si="11"/>
        <v>2026-04</v>
      </c>
    </row>
    <row r="151" spans="1:12" ht="22.15" customHeight="1" x14ac:dyDescent="0.2">
      <c r="A151" s="53">
        <v>147</v>
      </c>
      <c r="B151" s="53" t="s">
        <v>240</v>
      </c>
      <c r="C151" s="53" t="str">
        <f>IFERROR(VLOOKUP(B151,'👥 بيانات الموظفين'!B:C,2,0),"")</f>
        <v>ريم سعود العنزي</v>
      </c>
      <c r="D151" s="55">
        <f>DATEVALUE("2026-04-27")</f>
        <v>46139</v>
      </c>
      <c r="E151" s="53" t="s">
        <v>86</v>
      </c>
      <c r="F151" s="75">
        <f>TIMEVALUE("08:05")</f>
        <v>0.33680555555555558</v>
      </c>
      <c r="G151" s="75">
        <f>TIMEVALUE("17:12")</f>
        <v>0.71666666666666667</v>
      </c>
      <c r="H151" s="76">
        <f t="shared" si="8"/>
        <v>9.1166666666666671</v>
      </c>
      <c r="I151" s="68">
        <f t="shared" si="9"/>
        <v>0</v>
      </c>
      <c r="J151" s="76">
        <f t="shared" si="10"/>
        <v>1.1166666666666671</v>
      </c>
      <c r="K151" s="53"/>
      <c r="L151" s="51" t="str">
        <f t="shared" si="11"/>
        <v>2026-04</v>
      </c>
    </row>
    <row r="152" spans="1:12" ht="22.15" customHeight="1" x14ac:dyDescent="0.2">
      <c r="A152" s="57">
        <v>148</v>
      </c>
      <c r="B152" s="57" t="s">
        <v>240</v>
      </c>
      <c r="C152" s="57" t="str">
        <f>IFERROR(VLOOKUP(B152,'👥 بيانات الموظفين'!B:C,2,0),"")</f>
        <v>ريم سعود العنزي</v>
      </c>
      <c r="D152" s="59">
        <f>DATEVALUE("2026-04-28")</f>
        <v>46140</v>
      </c>
      <c r="E152" s="57" t="s">
        <v>86</v>
      </c>
      <c r="F152" s="77">
        <f>TIMEVALUE("07:60")</f>
        <v>0.33333333333333331</v>
      </c>
      <c r="G152" s="77">
        <f>TIMEVALUE("17:09")</f>
        <v>0.71458333333333335</v>
      </c>
      <c r="H152" s="78">
        <f t="shared" si="8"/>
        <v>9.15</v>
      </c>
      <c r="I152" s="69">
        <f t="shared" si="9"/>
        <v>0</v>
      </c>
      <c r="J152" s="78">
        <f t="shared" si="10"/>
        <v>1.1500000000000004</v>
      </c>
      <c r="K152" s="57"/>
      <c r="L152" s="52" t="str">
        <f t="shared" si="11"/>
        <v>2026-04</v>
      </c>
    </row>
    <row r="153" spans="1:12" ht="22.15" customHeight="1" x14ac:dyDescent="0.2">
      <c r="A153" s="53">
        <v>149</v>
      </c>
      <c r="B153" s="53" t="s">
        <v>240</v>
      </c>
      <c r="C153" s="53" t="str">
        <f>IFERROR(VLOOKUP(B153,'👥 بيانات الموظفين'!B:C,2,0),"")</f>
        <v>ريم سعود العنزي</v>
      </c>
      <c r="D153" s="55">
        <f>DATEVALUE("2026-04-29")</f>
        <v>46141</v>
      </c>
      <c r="E153" s="53" t="s">
        <v>86</v>
      </c>
      <c r="F153" s="75">
        <f>TIMEVALUE("08:03")</f>
        <v>0.33541666666666664</v>
      </c>
      <c r="G153" s="75">
        <f>TIMEVALUE("17:07")</f>
        <v>0.71319444444444446</v>
      </c>
      <c r="H153" s="76">
        <f t="shared" si="8"/>
        <v>9.0666666666666682</v>
      </c>
      <c r="I153" s="68">
        <f t="shared" si="9"/>
        <v>0</v>
      </c>
      <c r="J153" s="76">
        <f t="shared" si="10"/>
        <v>1.0666666666666682</v>
      </c>
      <c r="K153" s="53"/>
      <c r="L153" s="51" t="str">
        <f t="shared" si="11"/>
        <v>2026-04</v>
      </c>
    </row>
    <row r="154" spans="1:12" ht="22.15" customHeight="1" x14ac:dyDescent="0.2">
      <c r="A154" s="57">
        <v>150</v>
      </c>
      <c r="B154" s="57" t="s">
        <v>240</v>
      </c>
      <c r="C154" s="57" t="str">
        <f>IFERROR(VLOOKUP(B154,'👥 بيانات الموظفين'!B:C,2,0),"")</f>
        <v>ريم سعود العنزي</v>
      </c>
      <c r="D154" s="59">
        <f>DATEVALUE("2026-04-30")</f>
        <v>46142</v>
      </c>
      <c r="E154" s="57" t="s">
        <v>86</v>
      </c>
      <c r="F154" s="77">
        <f>TIMEVALUE("07:52")</f>
        <v>0.32777777777777778</v>
      </c>
      <c r="G154" s="77">
        <f>TIMEVALUE("17:01")</f>
        <v>0.70902777777777781</v>
      </c>
      <c r="H154" s="78">
        <f t="shared" si="8"/>
        <v>9.15</v>
      </c>
      <c r="I154" s="69">
        <f t="shared" si="9"/>
        <v>0</v>
      </c>
      <c r="J154" s="78">
        <f t="shared" si="10"/>
        <v>1.1500000000000004</v>
      </c>
      <c r="K154" s="57"/>
      <c r="L154" s="52" t="str">
        <f t="shared" si="11"/>
        <v>2026-04</v>
      </c>
    </row>
    <row r="155" spans="1:12" ht="22.15" customHeight="1" x14ac:dyDescent="0.2">
      <c r="A155" s="53">
        <v>151</v>
      </c>
      <c r="B155" s="53" t="s">
        <v>241</v>
      </c>
      <c r="C155" s="53" t="str">
        <f>IFERROR(VLOOKUP(B155,'👥 بيانات الموظفين'!B:C,2,0),"")</f>
        <v>فهد عبدالله الشهري</v>
      </c>
      <c r="D155" s="55">
        <f>DATEVALUE("2026-04-12")</f>
        <v>46124</v>
      </c>
      <c r="E155" s="53" t="s">
        <v>86</v>
      </c>
      <c r="F155" s="75">
        <f>TIMEVALUE("08:00")</f>
        <v>0.33333333333333331</v>
      </c>
      <c r="G155" s="75">
        <f>TIMEVALUE("17:04")</f>
        <v>0.71111111111111114</v>
      </c>
      <c r="H155" s="76">
        <f t="shared" si="8"/>
        <v>9.0666666666666682</v>
      </c>
      <c r="I155" s="68">
        <f t="shared" si="9"/>
        <v>0</v>
      </c>
      <c r="J155" s="76">
        <f t="shared" si="10"/>
        <v>1.0666666666666682</v>
      </c>
      <c r="K155" s="53"/>
      <c r="L155" s="51" t="str">
        <f t="shared" si="11"/>
        <v>2026-04</v>
      </c>
    </row>
    <row r="156" spans="1:12" ht="22.15" customHeight="1" x14ac:dyDescent="0.2">
      <c r="A156" s="57">
        <v>152</v>
      </c>
      <c r="B156" s="57" t="s">
        <v>241</v>
      </c>
      <c r="C156" s="57" t="str">
        <f>IFERROR(VLOOKUP(B156,'👥 بيانات الموظفين'!B:C,2,0),"")</f>
        <v>فهد عبدالله الشهري</v>
      </c>
      <c r="D156" s="59">
        <f>DATEVALUE("2026-04-13")</f>
        <v>46125</v>
      </c>
      <c r="E156" s="57" t="s">
        <v>86</v>
      </c>
      <c r="F156" s="77">
        <f>TIMEVALUE("08:01")</f>
        <v>0.33402777777777776</v>
      </c>
      <c r="G156" s="77">
        <f>TIMEVALUE("17:05")</f>
        <v>0.71180555555555558</v>
      </c>
      <c r="H156" s="78">
        <f t="shared" si="8"/>
        <v>9.0666666666666682</v>
      </c>
      <c r="I156" s="69">
        <f t="shared" si="9"/>
        <v>0</v>
      </c>
      <c r="J156" s="78">
        <f t="shared" si="10"/>
        <v>1.0666666666666682</v>
      </c>
      <c r="K156" s="57"/>
      <c r="L156" s="52" t="str">
        <f t="shared" si="11"/>
        <v>2026-04</v>
      </c>
    </row>
    <row r="157" spans="1:12" ht="22.15" customHeight="1" x14ac:dyDescent="0.2">
      <c r="A157" s="53">
        <v>153</v>
      </c>
      <c r="B157" s="53" t="s">
        <v>241</v>
      </c>
      <c r="C157" s="53" t="str">
        <f>IFERROR(VLOOKUP(B157,'👥 بيانات الموظفين'!B:C,2,0),"")</f>
        <v>فهد عبدالله الشهري</v>
      </c>
      <c r="D157" s="55">
        <f>DATEVALUE("2026-04-14")</f>
        <v>46126</v>
      </c>
      <c r="E157" s="53" t="s">
        <v>86</v>
      </c>
      <c r="F157" s="75">
        <f>TIMEVALUE("07:52")</f>
        <v>0.32777777777777778</v>
      </c>
      <c r="G157" s="75">
        <f>TIMEVALUE("17:12")</f>
        <v>0.71666666666666667</v>
      </c>
      <c r="H157" s="76">
        <f t="shared" si="8"/>
        <v>9.3333333333333339</v>
      </c>
      <c r="I157" s="68">
        <f t="shared" si="9"/>
        <v>0</v>
      </c>
      <c r="J157" s="76">
        <f t="shared" si="10"/>
        <v>1.3333333333333339</v>
      </c>
      <c r="K157" s="53"/>
      <c r="L157" s="51" t="str">
        <f t="shared" si="11"/>
        <v>2026-04</v>
      </c>
    </row>
    <row r="158" spans="1:12" ht="22.15" customHeight="1" x14ac:dyDescent="0.2">
      <c r="A158" s="57">
        <v>154</v>
      </c>
      <c r="B158" s="57" t="s">
        <v>241</v>
      </c>
      <c r="C158" s="57" t="str">
        <f>IFERROR(VLOOKUP(B158,'👥 بيانات الموظفين'!B:C,2,0),"")</f>
        <v>فهد عبدالله الشهري</v>
      </c>
      <c r="D158" s="59">
        <f>DATEVALUE("2026-04-15")</f>
        <v>46127</v>
      </c>
      <c r="E158" s="57" t="s">
        <v>86</v>
      </c>
      <c r="F158" s="77">
        <f>TIMEVALUE("08:04")</f>
        <v>0.33611111111111114</v>
      </c>
      <c r="G158" s="77">
        <f>TIMEVALUE("17:02")</f>
        <v>0.70972222222222225</v>
      </c>
      <c r="H158" s="78">
        <f t="shared" si="8"/>
        <v>8.9666666666666668</v>
      </c>
      <c r="I158" s="69">
        <f t="shared" si="9"/>
        <v>0</v>
      </c>
      <c r="J158" s="78">
        <f t="shared" si="10"/>
        <v>0.96666666666666679</v>
      </c>
      <c r="K158" s="57"/>
      <c r="L158" s="52" t="str">
        <f t="shared" si="11"/>
        <v>2026-04</v>
      </c>
    </row>
    <row r="159" spans="1:12" ht="22.15" customHeight="1" x14ac:dyDescent="0.2">
      <c r="A159" s="53">
        <v>155</v>
      </c>
      <c r="B159" s="53" t="s">
        <v>241</v>
      </c>
      <c r="C159" s="53" t="str">
        <f>IFERROR(VLOOKUP(B159,'👥 بيانات الموظفين'!B:C,2,0),"")</f>
        <v>فهد عبدالله الشهري</v>
      </c>
      <c r="D159" s="55">
        <f>DATEVALUE("2026-04-16")</f>
        <v>46128</v>
      </c>
      <c r="E159" s="53" t="s">
        <v>86</v>
      </c>
      <c r="F159" s="75">
        <f>TIMEVALUE("08:04")</f>
        <v>0.33611111111111114</v>
      </c>
      <c r="G159" s="75">
        <f>TIMEVALUE("17:15")</f>
        <v>0.71875</v>
      </c>
      <c r="H159" s="76">
        <f t="shared" si="8"/>
        <v>9.1833333333333336</v>
      </c>
      <c r="I159" s="68">
        <f t="shared" si="9"/>
        <v>0</v>
      </c>
      <c r="J159" s="76">
        <f t="shared" si="10"/>
        <v>1.1833333333333336</v>
      </c>
      <c r="K159" s="53"/>
      <c r="L159" s="51" t="str">
        <f t="shared" si="11"/>
        <v>2026-04</v>
      </c>
    </row>
    <row r="160" spans="1:12" ht="22.15" customHeight="1" x14ac:dyDescent="0.2">
      <c r="A160" s="57">
        <v>156</v>
      </c>
      <c r="B160" s="57" t="s">
        <v>241</v>
      </c>
      <c r="C160" s="57" t="str">
        <f>IFERROR(VLOOKUP(B160,'👥 بيانات الموظفين'!B:C,2,0),"")</f>
        <v>فهد عبدالله الشهري</v>
      </c>
      <c r="D160" s="59">
        <f>DATEVALUE("2026-04-19")</f>
        <v>46131</v>
      </c>
      <c r="E160" s="57" t="s">
        <v>87</v>
      </c>
      <c r="F160" s="77">
        <f>TIMEVALUE("08:11")</f>
        <v>0.34097222222222223</v>
      </c>
      <c r="G160" s="77">
        <f>TIMEVALUE("17:00")</f>
        <v>0.70833333333333337</v>
      </c>
      <c r="H160" s="78">
        <f t="shared" si="8"/>
        <v>8.8166666666666664</v>
      </c>
      <c r="I160" s="69">
        <f t="shared" si="9"/>
        <v>11.000000000000041</v>
      </c>
      <c r="J160" s="78">
        <f t="shared" si="10"/>
        <v>0.81666666666666643</v>
      </c>
      <c r="K160" s="57"/>
      <c r="L160" s="52" t="str">
        <f t="shared" si="11"/>
        <v>2026-04</v>
      </c>
    </row>
    <row r="161" spans="1:12" ht="22.15" customHeight="1" x14ac:dyDescent="0.2">
      <c r="A161" s="53">
        <v>157</v>
      </c>
      <c r="B161" s="53" t="s">
        <v>241</v>
      </c>
      <c r="C161" s="53" t="str">
        <f>IFERROR(VLOOKUP(B161,'👥 بيانات الموظفين'!B:C,2,0),"")</f>
        <v>فهد عبدالله الشهري</v>
      </c>
      <c r="D161" s="55">
        <f>DATEVALUE("2026-04-20")</f>
        <v>46132</v>
      </c>
      <c r="E161" s="53" t="s">
        <v>86</v>
      </c>
      <c r="F161" s="75">
        <f>TIMEVALUE("08:01")</f>
        <v>0.33402777777777776</v>
      </c>
      <c r="G161" s="75">
        <f>TIMEVALUE("17:10")</f>
        <v>0.71527777777777779</v>
      </c>
      <c r="H161" s="76">
        <f t="shared" si="8"/>
        <v>9.15</v>
      </c>
      <c r="I161" s="68">
        <f t="shared" si="9"/>
        <v>0</v>
      </c>
      <c r="J161" s="76">
        <f t="shared" si="10"/>
        <v>1.1500000000000004</v>
      </c>
      <c r="K161" s="53"/>
      <c r="L161" s="51" t="str">
        <f t="shared" si="11"/>
        <v>2026-04</v>
      </c>
    </row>
    <row r="162" spans="1:12" ht="22.15" customHeight="1" x14ac:dyDescent="0.2">
      <c r="A162" s="57">
        <v>158</v>
      </c>
      <c r="B162" s="57" t="s">
        <v>241</v>
      </c>
      <c r="C162" s="57" t="str">
        <f>IFERROR(VLOOKUP(B162,'👥 بيانات الموظفين'!B:C,2,0),"")</f>
        <v>فهد عبدالله الشهري</v>
      </c>
      <c r="D162" s="59">
        <f>DATEVALUE("2026-04-21")</f>
        <v>46133</v>
      </c>
      <c r="E162" s="57" t="s">
        <v>86</v>
      </c>
      <c r="F162" s="77">
        <f>TIMEVALUE("08:01")</f>
        <v>0.33402777777777776</v>
      </c>
      <c r="G162" s="77">
        <f>TIMEVALUE("17:08")</f>
        <v>0.71388888888888891</v>
      </c>
      <c r="H162" s="78">
        <f t="shared" si="8"/>
        <v>9.1166666666666671</v>
      </c>
      <c r="I162" s="69">
        <f t="shared" si="9"/>
        <v>0</v>
      </c>
      <c r="J162" s="78">
        <f t="shared" si="10"/>
        <v>1.1166666666666671</v>
      </c>
      <c r="K162" s="57"/>
      <c r="L162" s="52" t="str">
        <f t="shared" si="11"/>
        <v>2026-04</v>
      </c>
    </row>
    <row r="163" spans="1:12" ht="22.15" customHeight="1" x14ac:dyDescent="0.2">
      <c r="A163" s="53">
        <v>159</v>
      </c>
      <c r="B163" s="53" t="s">
        <v>241</v>
      </c>
      <c r="C163" s="53" t="str">
        <f>IFERROR(VLOOKUP(B163,'👥 بيانات الموظفين'!B:C,2,0),"")</f>
        <v>فهد عبدالله الشهري</v>
      </c>
      <c r="D163" s="55">
        <f>DATEVALUE("2026-04-22")</f>
        <v>46134</v>
      </c>
      <c r="E163" s="53" t="s">
        <v>86</v>
      </c>
      <c r="F163" s="75">
        <f>TIMEVALUE("07:61")</f>
        <v>0.33402777777777776</v>
      </c>
      <c r="G163" s="75">
        <f>TIMEVALUE("17:13")</f>
        <v>0.71736111111111112</v>
      </c>
      <c r="H163" s="76">
        <f t="shared" si="8"/>
        <v>9.2000000000000011</v>
      </c>
      <c r="I163" s="68">
        <f t="shared" si="9"/>
        <v>0</v>
      </c>
      <c r="J163" s="76">
        <f t="shared" si="10"/>
        <v>1.2000000000000011</v>
      </c>
      <c r="K163" s="53"/>
      <c r="L163" s="51" t="str">
        <f t="shared" si="11"/>
        <v>2026-04</v>
      </c>
    </row>
    <row r="164" spans="1:12" ht="22.15" customHeight="1" x14ac:dyDescent="0.2">
      <c r="A164" s="57">
        <v>160</v>
      </c>
      <c r="B164" s="57" t="s">
        <v>241</v>
      </c>
      <c r="C164" s="57" t="str">
        <f>IFERROR(VLOOKUP(B164,'👥 بيانات الموظفين'!B:C,2,0),"")</f>
        <v>فهد عبدالله الشهري</v>
      </c>
      <c r="D164" s="59">
        <f>DATEVALUE("2026-04-23")</f>
        <v>46135</v>
      </c>
      <c r="E164" s="57" t="s">
        <v>86</v>
      </c>
      <c r="F164" s="77">
        <f>TIMEVALUE("07:60")</f>
        <v>0.33333333333333331</v>
      </c>
      <c r="G164" s="77">
        <f>TIMEVALUE("17:08")</f>
        <v>0.71388888888888891</v>
      </c>
      <c r="H164" s="78">
        <f t="shared" si="8"/>
        <v>9.1333333333333346</v>
      </c>
      <c r="I164" s="69">
        <f t="shared" si="9"/>
        <v>0</v>
      </c>
      <c r="J164" s="78">
        <f t="shared" si="10"/>
        <v>1.1333333333333346</v>
      </c>
      <c r="K164" s="57"/>
      <c r="L164" s="52" t="str">
        <f t="shared" si="11"/>
        <v>2026-04</v>
      </c>
    </row>
    <row r="165" spans="1:12" ht="22.15" customHeight="1" x14ac:dyDescent="0.2">
      <c r="A165" s="53">
        <v>161</v>
      </c>
      <c r="B165" s="53" t="s">
        <v>241</v>
      </c>
      <c r="C165" s="53" t="str">
        <f>IFERROR(VLOOKUP(B165,'👥 بيانات الموظفين'!B:C,2,0),"")</f>
        <v>فهد عبدالله الشهري</v>
      </c>
      <c r="D165" s="55">
        <f>DATEVALUE("2026-04-26")</f>
        <v>46138</v>
      </c>
      <c r="E165" s="53" t="s">
        <v>87</v>
      </c>
      <c r="F165" s="75">
        <f>TIMEVALUE("08:16")</f>
        <v>0.34444444444444444</v>
      </c>
      <c r="G165" s="75">
        <f>TIMEVALUE("17:00")</f>
        <v>0.70833333333333337</v>
      </c>
      <c r="H165" s="76">
        <f t="shared" si="8"/>
        <v>8.7333333333333343</v>
      </c>
      <c r="I165" s="68">
        <f t="shared" si="9"/>
        <v>16.000000000000021</v>
      </c>
      <c r="J165" s="76">
        <f t="shared" si="10"/>
        <v>0.73333333333333428</v>
      </c>
      <c r="K165" s="53"/>
      <c r="L165" s="51" t="str">
        <f t="shared" si="11"/>
        <v>2026-04</v>
      </c>
    </row>
    <row r="166" spans="1:12" ht="22.15" customHeight="1" x14ac:dyDescent="0.2">
      <c r="A166" s="57">
        <v>162</v>
      </c>
      <c r="B166" s="57" t="s">
        <v>241</v>
      </c>
      <c r="C166" s="57" t="str">
        <f>IFERROR(VLOOKUP(B166,'👥 بيانات الموظفين'!B:C,2,0),"")</f>
        <v>فهد عبدالله الشهري</v>
      </c>
      <c r="D166" s="59">
        <f>DATEVALUE("2026-04-27")</f>
        <v>46139</v>
      </c>
      <c r="E166" s="57" t="s">
        <v>87</v>
      </c>
      <c r="F166" s="77">
        <f>TIMEVALUE("08:24")</f>
        <v>0.35</v>
      </c>
      <c r="G166" s="77">
        <f>TIMEVALUE("17:00")</f>
        <v>0.70833333333333337</v>
      </c>
      <c r="H166" s="78">
        <f t="shared" si="8"/>
        <v>8.6000000000000014</v>
      </c>
      <c r="I166" s="69">
        <f t="shared" si="9"/>
        <v>23.999999999999993</v>
      </c>
      <c r="J166" s="78">
        <f t="shared" si="10"/>
        <v>0.60000000000000142</v>
      </c>
      <c r="K166" s="57"/>
      <c r="L166" s="52" t="str">
        <f t="shared" si="11"/>
        <v>2026-04</v>
      </c>
    </row>
    <row r="167" spans="1:12" ht="22.15" customHeight="1" x14ac:dyDescent="0.2">
      <c r="A167" s="53">
        <v>163</v>
      </c>
      <c r="B167" s="53" t="s">
        <v>241</v>
      </c>
      <c r="C167" s="53" t="str">
        <f>IFERROR(VLOOKUP(B167,'👥 بيانات الموظفين'!B:C,2,0),"")</f>
        <v>فهد عبدالله الشهري</v>
      </c>
      <c r="D167" s="55">
        <f>DATEVALUE("2026-04-28")</f>
        <v>46140</v>
      </c>
      <c r="E167" s="53" t="s">
        <v>86</v>
      </c>
      <c r="F167" s="75">
        <f>TIMEVALUE("07:53")</f>
        <v>0.32847222222222222</v>
      </c>
      <c r="G167" s="75">
        <f>TIMEVALUE("17:10")</f>
        <v>0.71527777777777779</v>
      </c>
      <c r="H167" s="76">
        <f t="shared" si="8"/>
        <v>9.2833333333333332</v>
      </c>
      <c r="I167" s="68">
        <f t="shared" si="9"/>
        <v>0</v>
      </c>
      <c r="J167" s="76">
        <f t="shared" si="10"/>
        <v>1.2833333333333332</v>
      </c>
      <c r="K167" s="53"/>
      <c r="L167" s="51" t="str">
        <f t="shared" si="11"/>
        <v>2026-04</v>
      </c>
    </row>
    <row r="168" spans="1:12" ht="22.15" customHeight="1" x14ac:dyDescent="0.2">
      <c r="A168" s="57">
        <v>164</v>
      </c>
      <c r="B168" s="57" t="s">
        <v>241</v>
      </c>
      <c r="C168" s="57" t="str">
        <f>IFERROR(VLOOKUP(B168,'👥 بيانات الموظفين'!B:C,2,0),"")</f>
        <v>فهد عبدالله الشهري</v>
      </c>
      <c r="D168" s="59">
        <f>DATEVALUE("2026-04-29")</f>
        <v>46141</v>
      </c>
      <c r="E168" s="57" t="s">
        <v>86</v>
      </c>
      <c r="F168" s="77">
        <f>TIMEVALUE("08:01")</f>
        <v>0.33402777777777776</v>
      </c>
      <c r="G168" s="77">
        <f>TIMEVALUE("17:16")</f>
        <v>0.71944444444444444</v>
      </c>
      <c r="H168" s="78">
        <f t="shared" si="8"/>
        <v>9.25</v>
      </c>
      <c r="I168" s="69">
        <f t="shared" si="9"/>
        <v>0</v>
      </c>
      <c r="J168" s="78">
        <f t="shared" si="10"/>
        <v>1.25</v>
      </c>
      <c r="K168" s="57"/>
      <c r="L168" s="52" t="str">
        <f t="shared" si="11"/>
        <v>2026-04</v>
      </c>
    </row>
    <row r="169" spans="1:12" ht="22.15" customHeight="1" x14ac:dyDescent="0.2">
      <c r="A169" s="53">
        <v>165</v>
      </c>
      <c r="B169" s="53" t="s">
        <v>241</v>
      </c>
      <c r="C169" s="53" t="str">
        <f>IFERROR(VLOOKUP(B169,'👥 بيانات الموظفين'!B:C,2,0),"")</f>
        <v>فهد عبدالله الشهري</v>
      </c>
      <c r="D169" s="55">
        <f>DATEVALUE("2026-04-30")</f>
        <v>46142</v>
      </c>
      <c r="E169" s="53" t="s">
        <v>86</v>
      </c>
      <c r="F169" s="75">
        <f>TIMEVALUE("07:53")</f>
        <v>0.32847222222222222</v>
      </c>
      <c r="G169" s="75">
        <f>TIMEVALUE("17:18")</f>
        <v>0.72083333333333333</v>
      </c>
      <c r="H169" s="76">
        <f t="shared" si="8"/>
        <v>9.4166666666666661</v>
      </c>
      <c r="I169" s="68">
        <f t="shared" si="9"/>
        <v>0</v>
      </c>
      <c r="J169" s="76">
        <f t="shared" si="10"/>
        <v>1.4166666666666661</v>
      </c>
      <c r="K169" s="53"/>
      <c r="L169" s="51" t="str">
        <f t="shared" si="11"/>
        <v>2026-04</v>
      </c>
    </row>
    <row r="170" spans="1:12" ht="22.15" customHeight="1" x14ac:dyDescent="0.2">
      <c r="A170" s="57">
        <v>166</v>
      </c>
      <c r="B170" s="57" t="s">
        <v>242</v>
      </c>
      <c r="C170" s="57" t="str">
        <f>IFERROR(VLOOKUP(B170,'👥 بيانات الموظفين'!B:C,2,0),"")</f>
        <v>ماجد سلطان الغامدي</v>
      </c>
      <c r="D170" s="59">
        <f>DATEVALUE("2026-04-12")</f>
        <v>46124</v>
      </c>
      <c r="E170" s="57" t="s">
        <v>86</v>
      </c>
      <c r="F170" s="77">
        <f>TIMEVALUE("07:61")</f>
        <v>0.33402777777777776</v>
      </c>
      <c r="G170" s="77">
        <f>TIMEVALUE("17:02")</f>
        <v>0.70972222222222225</v>
      </c>
      <c r="H170" s="78">
        <f t="shared" si="8"/>
        <v>9.0166666666666675</v>
      </c>
      <c r="I170" s="69">
        <f t="shared" si="9"/>
        <v>0</v>
      </c>
      <c r="J170" s="78">
        <f t="shared" si="10"/>
        <v>1.0166666666666675</v>
      </c>
      <c r="K170" s="57"/>
      <c r="L170" s="52" t="str">
        <f t="shared" si="11"/>
        <v>2026-04</v>
      </c>
    </row>
    <row r="171" spans="1:12" ht="22.15" customHeight="1" x14ac:dyDescent="0.2">
      <c r="A171" s="53">
        <v>167</v>
      </c>
      <c r="B171" s="53" t="s">
        <v>242</v>
      </c>
      <c r="C171" s="53" t="str">
        <f>IFERROR(VLOOKUP(B171,'👥 بيانات الموظفين'!B:C,2,0),"")</f>
        <v>ماجد سلطان الغامدي</v>
      </c>
      <c r="D171" s="55">
        <f>DATEVALUE("2026-04-13")</f>
        <v>46125</v>
      </c>
      <c r="E171" s="53" t="s">
        <v>86</v>
      </c>
      <c r="F171" s="75">
        <f>TIMEVALUE("08:01")</f>
        <v>0.33402777777777776</v>
      </c>
      <c r="G171" s="75">
        <f>TIMEVALUE("17:12")</f>
        <v>0.71666666666666667</v>
      </c>
      <c r="H171" s="76">
        <f t="shared" si="8"/>
        <v>9.1833333333333336</v>
      </c>
      <c r="I171" s="68">
        <f t="shared" si="9"/>
        <v>0</v>
      </c>
      <c r="J171" s="76">
        <f t="shared" si="10"/>
        <v>1.1833333333333336</v>
      </c>
      <c r="K171" s="53"/>
      <c r="L171" s="51" t="str">
        <f t="shared" si="11"/>
        <v>2026-04</v>
      </c>
    </row>
    <row r="172" spans="1:12" ht="22.15" customHeight="1" x14ac:dyDescent="0.2">
      <c r="A172" s="57">
        <v>168</v>
      </c>
      <c r="B172" s="57" t="s">
        <v>242</v>
      </c>
      <c r="C172" s="57" t="str">
        <f>IFERROR(VLOOKUP(B172,'👥 بيانات الموظفين'!B:C,2,0),"")</f>
        <v>ماجد سلطان الغامدي</v>
      </c>
      <c r="D172" s="59">
        <f>DATEVALUE("2026-04-14")</f>
        <v>46126</v>
      </c>
      <c r="E172" s="57" t="s">
        <v>86</v>
      </c>
      <c r="F172" s="77">
        <f>TIMEVALUE("08:06")</f>
        <v>0.33750000000000002</v>
      </c>
      <c r="G172" s="77">
        <f>TIMEVALUE("17:13")</f>
        <v>0.71736111111111112</v>
      </c>
      <c r="H172" s="78">
        <f t="shared" si="8"/>
        <v>9.1166666666666671</v>
      </c>
      <c r="I172" s="69">
        <f t="shared" si="9"/>
        <v>0</v>
      </c>
      <c r="J172" s="78">
        <f t="shared" si="10"/>
        <v>1.1166666666666671</v>
      </c>
      <c r="K172" s="57"/>
      <c r="L172" s="52" t="str">
        <f t="shared" si="11"/>
        <v>2026-04</v>
      </c>
    </row>
    <row r="173" spans="1:12" ht="22.15" customHeight="1" x14ac:dyDescent="0.2">
      <c r="A173" s="53">
        <v>169</v>
      </c>
      <c r="B173" s="53" t="s">
        <v>242</v>
      </c>
      <c r="C173" s="53" t="str">
        <f>IFERROR(VLOOKUP(B173,'👥 بيانات الموظفين'!B:C,2,0),"")</f>
        <v>ماجد سلطان الغامدي</v>
      </c>
      <c r="D173" s="55">
        <f>DATEVALUE("2026-04-15")</f>
        <v>46127</v>
      </c>
      <c r="E173" s="53" t="s">
        <v>86</v>
      </c>
      <c r="F173" s="75">
        <f>TIMEVALUE("07:56")</f>
        <v>0.33055555555555555</v>
      </c>
      <c r="G173" s="75">
        <f>TIMEVALUE("17:15")</f>
        <v>0.71875</v>
      </c>
      <c r="H173" s="76">
        <f t="shared" si="8"/>
        <v>9.3166666666666664</v>
      </c>
      <c r="I173" s="68">
        <f t="shared" si="9"/>
        <v>0</v>
      </c>
      <c r="J173" s="76">
        <f t="shared" si="10"/>
        <v>1.3166666666666664</v>
      </c>
      <c r="K173" s="53"/>
      <c r="L173" s="51" t="str">
        <f t="shared" si="11"/>
        <v>2026-04</v>
      </c>
    </row>
    <row r="174" spans="1:12" ht="22.15" customHeight="1" x14ac:dyDescent="0.2">
      <c r="A174" s="57">
        <v>170</v>
      </c>
      <c r="B174" s="57" t="s">
        <v>242</v>
      </c>
      <c r="C174" s="57" t="str">
        <f>IFERROR(VLOOKUP(B174,'👥 بيانات الموظفين'!B:C,2,0),"")</f>
        <v>ماجد سلطان الغامدي</v>
      </c>
      <c r="D174" s="59">
        <f>DATEVALUE("2026-04-16")</f>
        <v>46128</v>
      </c>
      <c r="E174" s="57" t="s">
        <v>86</v>
      </c>
      <c r="F174" s="77">
        <f>TIMEVALUE("08:02")</f>
        <v>0.3347222222222222</v>
      </c>
      <c r="G174" s="77">
        <f>TIMEVALUE("17:08")</f>
        <v>0.71388888888888891</v>
      </c>
      <c r="H174" s="78">
        <f t="shared" si="8"/>
        <v>9.1000000000000014</v>
      </c>
      <c r="I174" s="69">
        <f t="shared" si="9"/>
        <v>0</v>
      </c>
      <c r="J174" s="78">
        <f t="shared" si="10"/>
        <v>1.1000000000000014</v>
      </c>
      <c r="K174" s="57"/>
      <c r="L174" s="52" t="str">
        <f t="shared" si="11"/>
        <v>2026-04</v>
      </c>
    </row>
    <row r="175" spans="1:12" ht="22.15" customHeight="1" x14ac:dyDescent="0.2">
      <c r="A175" s="53">
        <v>171</v>
      </c>
      <c r="B175" s="53" t="s">
        <v>242</v>
      </c>
      <c r="C175" s="53" t="str">
        <f>IFERROR(VLOOKUP(B175,'👥 بيانات الموظفين'!B:C,2,0),"")</f>
        <v>ماجد سلطان الغامدي</v>
      </c>
      <c r="D175" s="55">
        <f>DATEVALUE("2026-04-19")</f>
        <v>46131</v>
      </c>
      <c r="E175" s="53" t="s">
        <v>86</v>
      </c>
      <c r="F175" s="75">
        <f>TIMEVALUE("07:53")</f>
        <v>0.32847222222222222</v>
      </c>
      <c r="G175" s="75">
        <f>TIMEVALUE("17:14")</f>
        <v>0.71805555555555556</v>
      </c>
      <c r="H175" s="76">
        <f t="shared" si="8"/>
        <v>9.35</v>
      </c>
      <c r="I175" s="68">
        <f t="shared" si="9"/>
        <v>0</v>
      </c>
      <c r="J175" s="76">
        <f t="shared" si="10"/>
        <v>1.3499999999999996</v>
      </c>
      <c r="K175" s="53"/>
      <c r="L175" s="51" t="str">
        <f t="shared" si="11"/>
        <v>2026-04</v>
      </c>
    </row>
    <row r="176" spans="1:12" ht="22.15" customHeight="1" x14ac:dyDescent="0.2">
      <c r="A176" s="57">
        <v>172</v>
      </c>
      <c r="B176" s="57" t="s">
        <v>242</v>
      </c>
      <c r="C176" s="57" t="str">
        <f>IFERROR(VLOOKUP(B176,'👥 بيانات الموظفين'!B:C,2,0),"")</f>
        <v>ماجد سلطان الغامدي</v>
      </c>
      <c r="D176" s="59">
        <f>DATEVALUE("2026-04-20")</f>
        <v>46132</v>
      </c>
      <c r="E176" s="57" t="s">
        <v>86</v>
      </c>
      <c r="F176" s="77">
        <f>TIMEVALUE("07:58")</f>
        <v>0.33194444444444443</v>
      </c>
      <c r="G176" s="77">
        <f>TIMEVALUE("17:10")</f>
        <v>0.71527777777777779</v>
      </c>
      <c r="H176" s="78">
        <f t="shared" si="8"/>
        <v>9.2000000000000011</v>
      </c>
      <c r="I176" s="69">
        <f t="shared" si="9"/>
        <v>0</v>
      </c>
      <c r="J176" s="78">
        <f t="shared" si="10"/>
        <v>1.2000000000000011</v>
      </c>
      <c r="K176" s="57"/>
      <c r="L176" s="52" t="str">
        <f t="shared" si="11"/>
        <v>2026-04</v>
      </c>
    </row>
    <row r="177" spans="1:12" ht="22.15" customHeight="1" x14ac:dyDescent="0.2">
      <c r="A177" s="53">
        <v>173</v>
      </c>
      <c r="B177" s="53" t="s">
        <v>242</v>
      </c>
      <c r="C177" s="53" t="str">
        <f>IFERROR(VLOOKUP(B177,'👥 بيانات الموظفين'!B:C,2,0),"")</f>
        <v>ماجد سلطان الغامدي</v>
      </c>
      <c r="D177" s="55">
        <f>DATEVALUE("2026-04-21")</f>
        <v>46133</v>
      </c>
      <c r="E177" s="53" t="s">
        <v>86</v>
      </c>
      <c r="F177" s="75">
        <f>TIMEVALUE("08:01")</f>
        <v>0.33402777777777776</v>
      </c>
      <c r="G177" s="75">
        <f>TIMEVALUE("17:12")</f>
        <v>0.71666666666666667</v>
      </c>
      <c r="H177" s="76">
        <f t="shared" si="8"/>
        <v>9.1833333333333336</v>
      </c>
      <c r="I177" s="68">
        <f t="shared" si="9"/>
        <v>0</v>
      </c>
      <c r="J177" s="76">
        <f t="shared" si="10"/>
        <v>1.1833333333333336</v>
      </c>
      <c r="K177" s="53"/>
      <c r="L177" s="51" t="str">
        <f t="shared" si="11"/>
        <v>2026-04</v>
      </c>
    </row>
    <row r="178" spans="1:12" ht="22.15" customHeight="1" x14ac:dyDescent="0.2">
      <c r="A178" s="57">
        <v>174</v>
      </c>
      <c r="B178" s="57" t="s">
        <v>242</v>
      </c>
      <c r="C178" s="57" t="str">
        <f>IFERROR(VLOOKUP(B178,'👥 بيانات الموظفين'!B:C,2,0),"")</f>
        <v>ماجد سلطان الغامدي</v>
      </c>
      <c r="D178" s="59">
        <f>DATEVALUE("2026-04-22")</f>
        <v>46134</v>
      </c>
      <c r="E178" s="57" t="s">
        <v>86</v>
      </c>
      <c r="F178" s="77">
        <f>TIMEVALUE("07:58")</f>
        <v>0.33194444444444443</v>
      </c>
      <c r="G178" s="77">
        <f>TIMEVALUE("17:18")</f>
        <v>0.72083333333333333</v>
      </c>
      <c r="H178" s="78">
        <f t="shared" si="8"/>
        <v>9.3333333333333339</v>
      </c>
      <c r="I178" s="69">
        <f t="shared" si="9"/>
        <v>0</v>
      </c>
      <c r="J178" s="78">
        <f t="shared" si="10"/>
        <v>1.3333333333333339</v>
      </c>
      <c r="K178" s="57"/>
      <c r="L178" s="52" t="str">
        <f t="shared" si="11"/>
        <v>2026-04</v>
      </c>
    </row>
    <row r="179" spans="1:12" ht="22.15" customHeight="1" x14ac:dyDescent="0.2">
      <c r="A179" s="53">
        <v>175</v>
      </c>
      <c r="B179" s="53" t="s">
        <v>242</v>
      </c>
      <c r="C179" s="53" t="str">
        <f>IFERROR(VLOOKUP(B179,'👥 بيانات الموظفين'!B:C,2,0),"")</f>
        <v>ماجد سلطان الغامدي</v>
      </c>
      <c r="D179" s="55">
        <f>DATEVALUE("2026-04-23")</f>
        <v>46135</v>
      </c>
      <c r="E179" s="53" t="s">
        <v>86</v>
      </c>
      <c r="F179" s="75">
        <f>TIMEVALUE("08:03")</f>
        <v>0.33541666666666664</v>
      </c>
      <c r="G179" s="75">
        <f>TIMEVALUE("17:01")</f>
        <v>0.70902777777777781</v>
      </c>
      <c r="H179" s="76">
        <f t="shared" si="8"/>
        <v>8.9666666666666686</v>
      </c>
      <c r="I179" s="68">
        <f t="shared" si="9"/>
        <v>0</v>
      </c>
      <c r="J179" s="76">
        <f t="shared" si="10"/>
        <v>0.96666666666666856</v>
      </c>
      <c r="K179" s="53"/>
      <c r="L179" s="51" t="str">
        <f t="shared" si="11"/>
        <v>2026-04</v>
      </c>
    </row>
    <row r="180" spans="1:12" ht="22.15" customHeight="1" x14ac:dyDescent="0.2">
      <c r="A180" s="57">
        <v>176</v>
      </c>
      <c r="B180" s="57" t="s">
        <v>242</v>
      </c>
      <c r="C180" s="57" t="str">
        <f>IFERROR(VLOOKUP(B180,'👥 بيانات الموظفين'!B:C,2,0),"")</f>
        <v>ماجد سلطان الغامدي</v>
      </c>
      <c r="D180" s="59">
        <f>DATEVALUE("2026-04-26")</f>
        <v>46138</v>
      </c>
      <c r="E180" s="57" t="s">
        <v>86</v>
      </c>
      <c r="F180" s="77">
        <f>TIMEVALUE("07:54")</f>
        <v>0.32916666666666666</v>
      </c>
      <c r="G180" s="77">
        <f>TIMEVALUE("17:09")</f>
        <v>0.71458333333333335</v>
      </c>
      <c r="H180" s="78">
        <f t="shared" si="8"/>
        <v>9.25</v>
      </c>
      <c r="I180" s="69">
        <f t="shared" si="9"/>
        <v>0</v>
      </c>
      <c r="J180" s="78">
        <f t="shared" si="10"/>
        <v>1.25</v>
      </c>
      <c r="K180" s="57"/>
      <c r="L180" s="52" t="str">
        <f t="shared" si="11"/>
        <v>2026-04</v>
      </c>
    </row>
    <row r="181" spans="1:12" ht="22.15" customHeight="1" x14ac:dyDescent="0.2">
      <c r="A181" s="53">
        <v>177</v>
      </c>
      <c r="B181" s="53" t="s">
        <v>242</v>
      </c>
      <c r="C181" s="53" t="str">
        <f>IFERROR(VLOOKUP(B181,'👥 بيانات الموظفين'!B:C,2,0),"")</f>
        <v>ماجد سلطان الغامدي</v>
      </c>
      <c r="D181" s="55">
        <f>DATEVALUE("2026-04-27")</f>
        <v>46139</v>
      </c>
      <c r="E181" s="53" t="s">
        <v>86</v>
      </c>
      <c r="F181" s="75">
        <f>TIMEVALUE("07:53")</f>
        <v>0.32847222222222222</v>
      </c>
      <c r="G181" s="75">
        <f>TIMEVALUE("17:01")</f>
        <v>0.70902777777777781</v>
      </c>
      <c r="H181" s="76">
        <f t="shared" si="8"/>
        <v>9.1333333333333346</v>
      </c>
      <c r="I181" s="68">
        <f t="shared" si="9"/>
        <v>0</v>
      </c>
      <c r="J181" s="76">
        <f t="shared" si="10"/>
        <v>1.1333333333333346</v>
      </c>
      <c r="K181" s="53"/>
      <c r="L181" s="51" t="str">
        <f t="shared" si="11"/>
        <v>2026-04</v>
      </c>
    </row>
    <row r="182" spans="1:12" ht="22.15" customHeight="1" x14ac:dyDescent="0.2">
      <c r="A182" s="57">
        <v>178</v>
      </c>
      <c r="B182" s="57" t="s">
        <v>242</v>
      </c>
      <c r="C182" s="57" t="str">
        <f>IFERROR(VLOOKUP(B182,'👥 بيانات الموظفين'!B:C,2,0),"")</f>
        <v>ماجد سلطان الغامدي</v>
      </c>
      <c r="D182" s="59">
        <f>DATEVALUE("2026-04-28")</f>
        <v>46140</v>
      </c>
      <c r="E182" s="57" t="s">
        <v>86</v>
      </c>
      <c r="F182" s="77">
        <f>TIMEVALUE("08:00")</f>
        <v>0.33333333333333331</v>
      </c>
      <c r="G182" s="77">
        <f>TIMEVALUE("17:02")</f>
        <v>0.70972222222222225</v>
      </c>
      <c r="H182" s="78">
        <f t="shared" si="8"/>
        <v>9.033333333333335</v>
      </c>
      <c r="I182" s="69">
        <f t="shared" si="9"/>
        <v>0</v>
      </c>
      <c r="J182" s="78">
        <f t="shared" si="10"/>
        <v>1.033333333333335</v>
      </c>
      <c r="K182" s="57"/>
      <c r="L182" s="52" t="str">
        <f t="shared" si="11"/>
        <v>2026-04</v>
      </c>
    </row>
    <row r="183" spans="1:12" ht="22.15" customHeight="1" x14ac:dyDescent="0.2">
      <c r="A183" s="53">
        <v>179</v>
      </c>
      <c r="B183" s="53" t="s">
        <v>242</v>
      </c>
      <c r="C183" s="53" t="str">
        <f>IFERROR(VLOOKUP(B183,'👥 بيانات الموظفين'!B:C,2,0),"")</f>
        <v>ماجد سلطان الغامدي</v>
      </c>
      <c r="D183" s="55">
        <f>DATEVALUE("2026-04-29")</f>
        <v>46141</v>
      </c>
      <c r="E183" s="53" t="s">
        <v>86</v>
      </c>
      <c r="F183" s="75">
        <f>TIMEVALUE("08:07")</f>
        <v>0.33819444444444446</v>
      </c>
      <c r="G183" s="75">
        <f>TIMEVALUE("17:16")</f>
        <v>0.71944444444444444</v>
      </c>
      <c r="H183" s="76">
        <f t="shared" si="8"/>
        <v>9.1499999999999986</v>
      </c>
      <c r="I183" s="68">
        <f t="shared" si="9"/>
        <v>0</v>
      </c>
      <c r="J183" s="76">
        <f t="shared" si="10"/>
        <v>1.1499999999999986</v>
      </c>
      <c r="K183" s="53"/>
      <c r="L183" s="51" t="str">
        <f t="shared" si="11"/>
        <v>2026-04</v>
      </c>
    </row>
    <row r="184" spans="1:12" ht="22.15" customHeight="1" x14ac:dyDescent="0.2">
      <c r="A184" s="57">
        <v>180</v>
      </c>
      <c r="B184" s="57" t="s">
        <v>242</v>
      </c>
      <c r="C184" s="57" t="str">
        <f>IFERROR(VLOOKUP(B184,'👥 بيانات الموظفين'!B:C,2,0),"")</f>
        <v>ماجد سلطان الغامدي</v>
      </c>
      <c r="D184" s="59">
        <f>DATEVALUE("2026-04-30")</f>
        <v>46142</v>
      </c>
      <c r="E184" s="57" t="s">
        <v>86</v>
      </c>
      <c r="F184" s="77">
        <f>TIMEVALUE("07:55")</f>
        <v>0.3298611111111111</v>
      </c>
      <c r="G184" s="77">
        <f>TIMEVALUE("17:06")</f>
        <v>0.71250000000000002</v>
      </c>
      <c r="H184" s="78">
        <f t="shared" si="8"/>
        <v>9.1833333333333336</v>
      </c>
      <c r="I184" s="69">
        <f t="shared" si="9"/>
        <v>0</v>
      </c>
      <c r="J184" s="78">
        <f t="shared" si="10"/>
        <v>1.1833333333333336</v>
      </c>
      <c r="K184" s="57"/>
      <c r="L184" s="52" t="str">
        <f t="shared" si="11"/>
        <v>2026-04</v>
      </c>
    </row>
    <row r="185" spans="1:12" ht="22.15" customHeight="1" x14ac:dyDescent="0.2">
      <c r="A185" s="53">
        <v>181</v>
      </c>
      <c r="B185" s="53" t="s">
        <v>243</v>
      </c>
      <c r="C185" s="53" t="str">
        <f>IFERROR(VLOOKUP(B185,'👥 بيانات الموظفين'!B:C,2,0),"")</f>
        <v>سارة أحمد الحربي</v>
      </c>
      <c r="D185" s="55">
        <f>DATEVALUE("2026-04-12")</f>
        <v>46124</v>
      </c>
      <c r="E185" s="53" t="s">
        <v>86</v>
      </c>
      <c r="F185" s="75">
        <f>TIMEVALUE("07:52")</f>
        <v>0.32777777777777778</v>
      </c>
      <c r="G185" s="75">
        <f>TIMEVALUE("17:07")</f>
        <v>0.71319444444444446</v>
      </c>
      <c r="H185" s="76">
        <f t="shared" si="8"/>
        <v>9.25</v>
      </c>
      <c r="I185" s="68">
        <f t="shared" si="9"/>
        <v>0</v>
      </c>
      <c r="J185" s="76">
        <f t="shared" si="10"/>
        <v>1.25</v>
      </c>
      <c r="K185" s="53"/>
      <c r="L185" s="51" t="str">
        <f t="shared" si="11"/>
        <v>2026-04</v>
      </c>
    </row>
    <row r="186" spans="1:12" ht="22.15" customHeight="1" x14ac:dyDescent="0.2">
      <c r="A186" s="57">
        <v>182</v>
      </c>
      <c r="B186" s="57" t="s">
        <v>243</v>
      </c>
      <c r="C186" s="57" t="str">
        <f>IFERROR(VLOOKUP(B186,'👥 بيانات الموظفين'!B:C,2,0),"")</f>
        <v>سارة أحمد الحربي</v>
      </c>
      <c r="D186" s="59">
        <f>DATEVALUE("2026-04-13")</f>
        <v>46125</v>
      </c>
      <c r="E186" s="57" t="s">
        <v>86</v>
      </c>
      <c r="F186" s="77">
        <f>TIMEVALUE("07:53")</f>
        <v>0.32847222222222222</v>
      </c>
      <c r="G186" s="77">
        <f>TIMEVALUE("17:14")</f>
        <v>0.71805555555555556</v>
      </c>
      <c r="H186" s="78">
        <f t="shared" si="8"/>
        <v>9.35</v>
      </c>
      <c r="I186" s="69">
        <f t="shared" si="9"/>
        <v>0</v>
      </c>
      <c r="J186" s="78">
        <f t="shared" si="10"/>
        <v>1.3499999999999996</v>
      </c>
      <c r="K186" s="57"/>
      <c r="L186" s="52" t="str">
        <f t="shared" si="11"/>
        <v>2026-04</v>
      </c>
    </row>
    <row r="187" spans="1:12" ht="22.15" customHeight="1" x14ac:dyDescent="0.2">
      <c r="A187" s="53">
        <v>183</v>
      </c>
      <c r="B187" s="53" t="s">
        <v>243</v>
      </c>
      <c r="C187" s="53" t="str">
        <f>IFERROR(VLOOKUP(B187,'👥 بيانات الموظفين'!B:C,2,0),"")</f>
        <v>سارة أحمد الحربي</v>
      </c>
      <c r="D187" s="55">
        <f>DATEVALUE("2026-04-14")</f>
        <v>46126</v>
      </c>
      <c r="E187" s="53" t="s">
        <v>86</v>
      </c>
      <c r="F187" s="75">
        <f>TIMEVALUE("07:54")</f>
        <v>0.32916666666666666</v>
      </c>
      <c r="G187" s="75">
        <f>TIMEVALUE("17:09")</f>
        <v>0.71458333333333335</v>
      </c>
      <c r="H187" s="76">
        <f t="shared" si="8"/>
        <v>9.25</v>
      </c>
      <c r="I187" s="68">
        <f t="shared" si="9"/>
        <v>0</v>
      </c>
      <c r="J187" s="76">
        <f t="shared" si="10"/>
        <v>1.25</v>
      </c>
      <c r="K187" s="53"/>
      <c r="L187" s="51" t="str">
        <f t="shared" si="11"/>
        <v>2026-04</v>
      </c>
    </row>
    <row r="188" spans="1:12" ht="22.15" customHeight="1" x14ac:dyDescent="0.2">
      <c r="A188" s="57">
        <v>184</v>
      </c>
      <c r="B188" s="57" t="s">
        <v>243</v>
      </c>
      <c r="C188" s="57" t="str">
        <f>IFERROR(VLOOKUP(B188,'👥 بيانات الموظفين'!B:C,2,0),"")</f>
        <v>سارة أحمد الحربي</v>
      </c>
      <c r="D188" s="59">
        <f>DATEVALUE("2026-04-15")</f>
        <v>46127</v>
      </c>
      <c r="E188" s="57" t="s">
        <v>86</v>
      </c>
      <c r="F188" s="77">
        <f>TIMEVALUE("07:50")</f>
        <v>0.3263888888888889</v>
      </c>
      <c r="G188" s="77">
        <f>TIMEVALUE("17:05")</f>
        <v>0.71180555555555558</v>
      </c>
      <c r="H188" s="78">
        <f t="shared" si="8"/>
        <v>9.25</v>
      </c>
      <c r="I188" s="69">
        <f t="shared" si="9"/>
        <v>0</v>
      </c>
      <c r="J188" s="78">
        <f t="shared" si="10"/>
        <v>1.25</v>
      </c>
      <c r="K188" s="57"/>
      <c r="L188" s="52" t="str">
        <f t="shared" si="11"/>
        <v>2026-04</v>
      </c>
    </row>
    <row r="189" spans="1:12" ht="22.15" customHeight="1" x14ac:dyDescent="0.2">
      <c r="A189" s="53">
        <v>185</v>
      </c>
      <c r="B189" s="53" t="s">
        <v>243</v>
      </c>
      <c r="C189" s="53" t="str">
        <f>IFERROR(VLOOKUP(B189,'👥 بيانات الموظفين'!B:C,2,0),"")</f>
        <v>سارة أحمد الحربي</v>
      </c>
      <c r="D189" s="55">
        <f>DATEVALUE("2026-04-16")</f>
        <v>46128</v>
      </c>
      <c r="E189" s="53" t="s">
        <v>86</v>
      </c>
      <c r="F189" s="75">
        <f>TIMEVALUE("07:54")</f>
        <v>0.32916666666666666</v>
      </c>
      <c r="G189" s="75">
        <f>TIMEVALUE("17:22")</f>
        <v>0.72361111111111109</v>
      </c>
      <c r="H189" s="76">
        <f t="shared" si="8"/>
        <v>9.4666666666666668</v>
      </c>
      <c r="I189" s="68">
        <f t="shared" si="9"/>
        <v>0</v>
      </c>
      <c r="J189" s="76">
        <f t="shared" si="10"/>
        <v>1.4666666666666668</v>
      </c>
      <c r="K189" s="53"/>
      <c r="L189" s="51" t="str">
        <f t="shared" si="11"/>
        <v>2026-04</v>
      </c>
    </row>
    <row r="190" spans="1:12" ht="22.15" customHeight="1" x14ac:dyDescent="0.2">
      <c r="A190" s="57">
        <v>186</v>
      </c>
      <c r="B190" s="57" t="s">
        <v>243</v>
      </c>
      <c r="C190" s="57" t="str">
        <f>IFERROR(VLOOKUP(B190,'👥 بيانات الموظفين'!B:C,2,0),"")</f>
        <v>سارة أحمد الحربي</v>
      </c>
      <c r="D190" s="59">
        <f>DATEVALUE("2026-04-19")</f>
        <v>46131</v>
      </c>
      <c r="E190" s="57" t="s">
        <v>86</v>
      </c>
      <c r="F190" s="77">
        <f>TIMEVALUE("07:53")</f>
        <v>0.32847222222222222</v>
      </c>
      <c r="G190" s="77">
        <f>TIMEVALUE("17:25")</f>
        <v>0.72569444444444442</v>
      </c>
      <c r="H190" s="78">
        <f t="shared" si="8"/>
        <v>9.5333333333333332</v>
      </c>
      <c r="I190" s="69">
        <f t="shared" si="9"/>
        <v>0</v>
      </c>
      <c r="J190" s="78">
        <f t="shared" si="10"/>
        <v>1.5333333333333332</v>
      </c>
      <c r="K190" s="57"/>
      <c r="L190" s="52" t="str">
        <f t="shared" si="11"/>
        <v>2026-04</v>
      </c>
    </row>
    <row r="191" spans="1:12" ht="22.15" customHeight="1" x14ac:dyDescent="0.2">
      <c r="A191" s="53">
        <v>187</v>
      </c>
      <c r="B191" s="53" t="s">
        <v>243</v>
      </c>
      <c r="C191" s="53" t="str">
        <f>IFERROR(VLOOKUP(B191,'👥 بيانات الموظفين'!B:C,2,0),"")</f>
        <v>سارة أحمد الحربي</v>
      </c>
      <c r="D191" s="55">
        <f>DATEVALUE("2026-04-20")</f>
        <v>46132</v>
      </c>
      <c r="E191" s="53" t="s">
        <v>86</v>
      </c>
      <c r="F191" s="75">
        <f>TIMEVALUE("07:48")</f>
        <v>0.32500000000000001</v>
      </c>
      <c r="G191" s="75">
        <f>TIMEVALUE("17:12")</f>
        <v>0.71666666666666667</v>
      </c>
      <c r="H191" s="76">
        <f t="shared" si="8"/>
        <v>9.4</v>
      </c>
      <c r="I191" s="68">
        <f t="shared" si="9"/>
        <v>0</v>
      </c>
      <c r="J191" s="76">
        <f t="shared" si="10"/>
        <v>1.4000000000000004</v>
      </c>
      <c r="K191" s="53"/>
      <c r="L191" s="51" t="str">
        <f t="shared" si="11"/>
        <v>2026-04</v>
      </c>
    </row>
    <row r="192" spans="1:12" ht="22.15" customHeight="1" x14ac:dyDescent="0.2">
      <c r="A192" s="57">
        <v>188</v>
      </c>
      <c r="B192" s="57" t="s">
        <v>243</v>
      </c>
      <c r="C192" s="57" t="str">
        <f>IFERROR(VLOOKUP(B192,'👥 بيانات الموظفين'!B:C,2,0),"")</f>
        <v>سارة أحمد الحربي</v>
      </c>
      <c r="D192" s="59">
        <f>DATEVALUE("2026-04-21")</f>
        <v>46133</v>
      </c>
      <c r="E192" s="57" t="s">
        <v>86</v>
      </c>
      <c r="F192" s="77">
        <f>TIMEVALUE("07:48")</f>
        <v>0.32500000000000001</v>
      </c>
      <c r="G192" s="77">
        <f>TIMEVALUE("17:23")</f>
        <v>0.72430555555555554</v>
      </c>
      <c r="H192" s="78">
        <f t="shared" si="8"/>
        <v>9.5833333333333321</v>
      </c>
      <c r="I192" s="69">
        <f t="shared" si="9"/>
        <v>0</v>
      </c>
      <c r="J192" s="78">
        <f t="shared" si="10"/>
        <v>1.5833333333333321</v>
      </c>
      <c r="K192" s="57"/>
      <c r="L192" s="52" t="str">
        <f t="shared" si="11"/>
        <v>2026-04</v>
      </c>
    </row>
    <row r="193" spans="1:12" ht="22.15" customHeight="1" x14ac:dyDescent="0.2">
      <c r="A193" s="53">
        <v>189</v>
      </c>
      <c r="B193" s="53" t="s">
        <v>243</v>
      </c>
      <c r="C193" s="53" t="str">
        <f>IFERROR(VLOOKUP(B193,'👥 بيانات الموظفين'!B:C,2,0),"")</f>
        <v>سارة أحمد الحربي</v>
      </c>
      <c r="D193" s="55">
        <f>DATEVALUE("2026-04-22")</f>
        <v>46134</v>
      </c>
      <c r="E193" s="53" t="s">
        <v>86</v>
      </c>
      <c r="F193" s="75">
        <f>TIMEVALUE("07:47")</f>
        <v>0.32430555555555557</v>
      </c>
      <c r="G193" s="75">
        <f>TIMEVALUE("17:15")</f>
        <v>0.71875</v>
      </c>
      <c r="H193" s="76">
        <f t="shared" si="8"/>
        <v>9.4666666666666668</v>
      </c>
      <c r="I193" s="68">
        <f t="shared" si="9"/>
        <v>0</v>
      </c>
      <c r="J193" s="76">
        <f t="shared" si="10"/>
        <v>1.4666666666666668</v>
      </c>
      <c r="K193" s="53"/>
      <c r="L193" s="51" t="str">
        <f t="shared" si="11"/>
        <v>2026-04</v>
      </c>
    </row>
    <row r="194" spans="1:12" ht="22.15" customHeight="1" x14ac:dyDescent="0.2">
      <c r="A194" s="57">
        <v>190</v>
      </c>
      <c r="B194" s="57" t="s">
        <v>243</v>
      </c>
      <c r="C194" s="57" t="str">
        <f>IFERROR(VLOOKUP(B194,'👥 بيانات الموظفين'!B:C,2,0),"")</f>
        <v>سارة أحمد الحربي</v>
      </c>
      <c r="D194" s="59">
        <f>DATEVALUE("2026-04-23")</f>
        <v>46135</v>
      </c>
      <c r="E194" s="57" t="s">
        <v>86</v>
      </c>
      <c r="F194" s="77">
        <f>TIMEVALUE("07:48")</f>
        <v>0.32500000000000001</v>
      </c>
      <c r="G194" s="77">
        <f>TIMEVALUE("17:07")</f>
        <v>0.71319444444444446</v>
      </c>
      <c r="H194" s="78">
        <f t="shared" si="8"/>
        <v>9.3166666666666664</v>
      </c>
      <c r="I194" s="69">
        <f t="shared" si="9"/>
        <v>0</v>
      </c>
      <c r="J194" s="78">
        <f t="shared" si="10"/>
        <v>1.3166666666666664</v>
      </c>
      <c r="K194" s="57"/>
      <c r="L194" s="52" t="str">
        <f t="shared" si="11"/>
        <v>2026-04</v>
      </c>
    </row>
    <row r="195" spans="1:12" ht="22.15" customHeight="1" x14ac:dyDescent="0.2">
      <c r="A195" s="53">
        <v>191</v>
      </c>
      <c r="B195" s="53" t="s">
        <v>243</v>
      </c>
      <c r="C195" s="53" t="str">
        <f>IFERROR(VLOOKUP(B195,'👥 بيانات الموظفين'!B:C,2,0),"")</f>
        <v>سارة أحمد الحربي</v>
      </c>
      <c r="D195" s="55">
        <f>DATEVALUE("2026-04-26")</f>
        <v>46138</v>
      </c>
      <c r="E195" s="53" t="s">
        <v>86</v>
      </c>
      <c r="F195" s="75">
        <f>TIMEVALUE("07:49")</f>
        <v>0.32569444444444445</v>
      </c>
      <c r="G195" s="75">
        <f>TIMEVALUE("17:15")</f>
        <v>0.71875</v>
      </c>
      <c r="H195" s="76">
        <f t="shared" si="8"/>
        <v>9.4333333333333336</v>
      </c>
      <c r="I195" s="68">
        <f t="shared" si="9"/>
        <v>0</v>
      </c>
      <c r="J195" s="76">
        <f t="shared" si="10"/>
        <v>1.4333333333333336</v>
      </c>
      <c r="K195" s="53"/>
      <c r="L195" s="51" t="str">
        <f t="shared" si="11"/>
        <v>2026-04</v>
      </c>
    </row>
    <row r="196" spans="1:12" ht="22.15" customHeight="1" x14ac:dyDescent="0.2">
      <c r="A196" s="57">
        <v>192</v>
      </c>
      <c r="B196" s="57" t="s">
        <v>243</v>
      </c>
      <c r="C196" s="57" t="str">
        <f>IFERROR(VLOOKUP(B196,'👥 بيانات الموظفين'!B:C,2,0),"")</f>
        <v>سارة أحمد الحربي</v>
      </c>
      <c r="D196" s="59">
        <f>DATEVALUE("2026-04-27")</f>
        <v>46139</v>
      </c>
      <c r="E196" s="57" t="s">
        <v>86</v>
      </c>
      <c r="F196" s="77">
        <f>TIMEVALUE("07:52")</f>
        <v>0.32777777777777778</v>
      </c>
      <c r="G196" s="77">
        <f>TIMEVALUE("17:07")</f>
        <v>0.71319444444444446</v>
      </c>
      <c r="H196" s="78">
        <f t="shared" si="8"/>
        <v>9.25</v>
      </c>
      <c r="I196" s="69">
        <f t="shared" si="9"/>
        <v>0</v>
      </c>
      <c r="J196" s="78">
        <f t="shared" si="10"/>
        <v>1.25</v>
      </c>
      <c r="K196" s="57"/>
      <c r="L196" s="52" t="str">
        <f t="shared" si="11"/>
        <v>2026-04</v>
      </c>
    </row>
    <row r="197" spans="1:12" ht="22.15" customHeight="1" x14ac:dyDescent="0.2">
      <c r="A197" s="53">
        <v>193</v>
      </c>
      <c r="B197" s="53" t="s">
        <v>243</v>
      </c>
      <c r="C197" s="53" t="str">
        <f>IFERROR(VLOOKUP(B197,'👥 بيانات الموظفين'!B:C,2,0),"")</f>
        <v>سارة أحمد الحربي</v>
      </c>
      <c r="D197" s="55">
        <f>DATEVALUE("2026-04-28")</f>
        <v>46140</v>
      </c>
      <c r="E197" s="53" t="s">
        <v>86</v>
      </c>
      <c r="F197" s="75">
        <f>TIMEVALUE("07:50")</f>
        <v>0.3263888888888889</v>
      </c>
      <c r="G197" s="75">
        <f>TIMEVALUE("17:18")</f>
        <v>0.72083333333333333</v>
      </c>
      <c r="H197" s="76">
        <f t="shared" ref="H197:H260" si="12">IFERROR(IF(AND(F197&lt;&gt;"",G197&lt;&gt;""),(G197-F197)*24,""),"")</f>
        <v>9.4666666666666668</v>
      </c>
      <c r="I197" s="68">
        <f t="shared" ref="I197:I260" si="13">IFERROR(IF(E197="متأخر",MAX(0,(F197-TIME(8,0,0))*1440),0),0)</f>
        <v>0</v>
      </c>
      <c r="J197" s="76">
        <f t="shared" ref="J197:J260" si="14">IFERROR(IF(AND(ISNUMBER(H197),H197&gt;WorkHoursDay),H197-WorkHoursDay,0),0)</f>
        <v>1.4666666666666668</v>
      </c>
      <c r="K197" s="53"/>
      <c r="L197" s="51" t="str">
        <f t="shared" ref="L197:L260" si="15">IF(D197&lt;&gt;"",TEXT(D197,"yyyy-mm"),"")</f>
        <v>2026-04</v>
      </c>
    </row>
    <row r="198" spans="1:12" ht="22.15" customHeight="1" x14ac:dyDescent="0.2">
      <c r="A198" s="57">
        <v>194</v>
      </c>
      <c r="B198" s="57" t="s">
        <v>243</v>
      </c>
      <c r="C198" s="57" t="str">
        <f>IFERROR(VLOOKUP(B198,'👥 بيانات الموظفين'!B:C,2,0),"")</f>
        <v>سارة أحمد الحربي</v>
      </c>
      <c r="D198" s="59">
        <f>DATEVALUE("2026-04-29")</f>
        <v>46141</v>
      </c>
      <c r="E198" s="57" t="s">
        <v>86</v>
      </c>
      <c r="F198" s="77">
        <f>TIMEVALUE("07:48")</f>
        <v>0.32500000000000001</v>
      </c>
      <c r="G198" s="77">
        <f>TIMEVALUE("17:17")</f>
        <v>0.72013888888888888</v>
      </c>
      <c r="H198" s="78">
        <f t="shared" si="12"/>
        <v>9.4833333333333325</v>
      </c>
      <c r="I198" s="69">
        <f t="shared" si="13"/>
        <v>0</v>
      </c>
      <c r="J198" s="78">
        <f t="shared" si="14"/>
        <v>1.4833333333333325</v>
      </c>
      <c r="K198" s="57"/>
      <c r="L198" s="52" t="str">
        <f t="shared" si="15"/>
        <v>2026-04</v>
      </c>
    </row>
    <row r="199" spans="1:12" ht="22.15" customHeight="1" x14ac:dyDescent="0.2">
      <c r="A199" s="53">
        <v>195</v>
      </c>
      <c r="B199" s="53" t="s">
        <v>243</v>
      </c>
      <c r="C199" s="53" t="str">
        <f>IFERROR(VLOOKUP(B199,'👥 بيانات الموظفين'!B:C,2,0),"")</f>
        <v>سارة أحمد الحربي</v>
      </c>
      <c r="D199" s="55">
        <f>DATEVALUE("2026-04-30")</f>
        <v>46142</v>
      </c>
      <c r="E199" s="53" t="s">
        <v>86</v>
      </c>
      <c r="F199" s="75">
        <f>TIMEVALUE("07:53")</f>
        <v>0.32847222222222222</v>
      </c>
      <c r="G199" s="75">
        <f>TIMEVALUE("17:19")</f>
        <v>0.72152777777777777</v>
      </c>
      <c r="H199" s="76">
        <f t="shared" si="12"/>
        <v>9.4333333333333336</v>
      </c>
      <c r="I199" s="68">
        <f t="shared" si="13"/>
        <v>0</v>
      </c>
      <c r="J199" s="76">
        <f t="shared" si="14"/>
        <v>1.4333333333333336</v>
      </c>
      <c r="K199" s="53"/>
      <c r="L199" s="51" t="str">
        <f t="shared" si="15"/>
        <v>2026-04</v>
      </c>
    </row>
    <row r="200" spans="1:12" ht="22.15" customHeight="1" x14ac:dyDescent="0.2">
      <c r="A200" s="57">
        <v>196</v>
      </c>
      <c r="B200" s="57" t="s">
        <v>244</v>
      </c>
      <c r="C200" s="57" t="str">
        <f>IFERROR(VLOOKUP(B200,'👥 بيانات الموظفين'!B:C,2,0),"")</f>
        <v>بدر فهد المطيري</v>
      </c>
      <c r="D200" s="59">
        <f>DATEVALUE("2026-04-12")</f>
        <v>46124</v>
      </c>
      <c r="E200" s="57" t="s">
        <v>87</v>
      </c>
      <c r="F200" s="77">
        <f>TIMEVALUE("08:23")</f>
        <v>0.34930555555555554</v>
      </c>
      <c r="G200" s="77">
        <f>TIMEVALUE("17:00")</f>
        <v>0.70833333333333337</v>
      </c>
      <c r="H200" s="78">
        <f t="shared" si="12"/>
        <v>8.6166666666666671</v>
      </c>
      <c r="I200" s="69">
        <f t="shared" si="13"/>
        <v>23</v>
      </c>
      <c r="J200" s="78">
        <f t="shared" si="14"/>
        <v>0.61666666666666714</v>
      </c>
      <c r="K200" s="57"/>
      <c r="L200" s="52" t="str">
        <f t="shared" si="15"/>
        <v>2026-04</v>
      </c>
    </row>
    <row r="201" spans="1:12" ht="22.15" customHeight="1" x14ac:dyDescent="0.2">
      <c r="A201" s="53">
        <v>197</v>
      </c>
      <c r="B201" s="53" t="s">
        <v>244</v>
      </c>
      <c r="C201" s="53" t="str">
        <f>IFERROR(VLOOKUP(B201,'👥 بيانات الموظفين'!B:C,2,0),"")</f>
        <v>بدر فهد المطيري</v>
      </c>
      <c r="D201" s="55">
        <f>DATEVALUE("2026-04-13")</f>
        <v>46125</v>
      </c>
      <c r="E201" s="53" t="s">
        <v>88</v>
      </c>
      <c r="F201" s="75"/>
      <c r="G201" s="75"/>
      <c r="H201" s="76" t="str">
        <f t="shared" si="12"/>
        <v/>
      </c>
      <c r="I201" s="68">
        <f t="shared" si="13"/>
        <v>0</v>
      </c>
      <c r="J201" s="76">
        <f t="shared" si="14"/>
        <v>0</v>
      </c>
      <c r="K201" s="53" t="s">
        <v>89</v>
      </c>
      <c r="L201" s="51" t="str">
        <f t="shared" si="15"/>
        <v>2026-04</v>
      </c>
    </row>
    <row r="202" spans="1:12" ht="22.15" customHeight="1" x14ac:dyDescent="0.2">
      <c r="A202" s="57">
        <v>198</v>
      </c>
      <c r="B202" s="57" t="s">
        <v>244</v>
      </c>
      <c r="C202" s="57" t="str">
        <f>IFERROR(VLOOKUP(B202,'👥 بيانات الموظفين'!B:C,2,0),"")</f>
        <v>بدر فهد المطيري</v>
      </c>
      <c r="D202" s="59">
        <f>DATEVALUE("2026-04-14")</f>
        <v>46126</v>
      </c>
      <c r="E202" s="57" t="s">
        <v>87</v>
      </c>
      <c r="F202" s="77">
        <f>TIMEVALUE("08:24")</f>
        <v>0.35</v>
      </c>
      <c r="G202" s="77">
        <f>TIMEVALUE("17:00")</f>
        <v>0.70833333333333337</v>
      </c>
      <c r="H202" s="78">
        <f t="shared" si="12"/>
        <v>8.6000000000000014</v>
      </c>
      <c r="I202" s="69">
        <f t="shared" si="13"/>
        <v>23.999999999999993</v>
      </c>
      <c r="J202" s="78">
        <f t="shared" si="14"/>
        <v>0.60000000000000142</v>
      </c>
      <c r="K202" s="57"/>
      <c r="L202" s="52" t="str">
        <f t="shared" si="15"/>
        <v>2026-04</v>
      </c>
    </row>
    <row r="203" spans="1:12" ht="22.15" customHeight="1" x14ac:dyDescent="0.2">
      <c r="A203" s="53">
        <v>199</v>
      </c>
      <c r="B203" s="53" t="s">
        <v>244</v>
      </c>
      <c r="C203" s="53" t="str">
        <f>IFERROR(VLOOKUP(B203,'👥 بيانات الموظفين'!B:C,2,0),"")</f>
        <v>بدر فهد المطيري</v>
      </c>
      <c r="D203" s="55">
        <f>DATEVALUE("2026-04-15")</f>
        <v>46127</v>
      </c>
      <c r="E203" s="53" t="s">
        <v>86</v>
      </c>
      <c r="F203" s="75">
        <f>TIMEVALUE("08:01")</f>
        <v>0.33402777777777776</v>
      </c>
      <c r="G203" s="75">
        <f>TIMEVALUE("17:06")</f>
        <v>0.71250000000000002</v>
      </c>
      <c r="H203" s="76">
        <f t="shared" si="12"/>
        <v>9.0833333333333339</v>
      </c>
      <c r="I203" s="68">
        <f t="shared" si="13"/>
        <v>0</v>
      </c>
      <c r="J203" s="76">
        <f t="shared" si="14"/>
        <v>1.0833333333333339</v>
      </c>
      <c r="K203" s="53"/>
      <c r="L203" s="51" t="str">
        <f t="shared" si="15"/>
        <v>2026-04</v>
      </c>
    </row>
    <row r="204" spans="1:12" ht="22.15" customHeight="1" x14ac:dyDescent="0.2">
      <c r="A204" s="57">
        <v>200</v>
      </c>
      <c r="B204" s="57" t="s">
        <v>244</v>
      </c>
      <c r="C204" s="57" t="str">
        <f>IFERROR(VLOOKUP(B204,'👥 بيانات الموظفين'!B:C,2,0),"")</f>
        <v>بدر فهد المطيري</v>
      </c>
      <c r="D204" s="59">
        <f>DATEVALUE("2026-04-16")</f>
        <v>46128</v>
      </c>
      <c r="E204" s="57" t="s">
        <v>86</v>
      </c>
      <c r="F204" s="77">
        <f>TIMEVALUE("07:57")</f>
        <v>0.33124999999999999</v>
      </c>
      <c r="G204" s="77">
        <f>TIMEVALUE("17:17")</f>
        <v>0.72013888888888888</v>
      </c>
      <c r="H204" s="78">
        <f t="shared" si="12"/>
        <v>9.3333333333333339</v>
      </c>
      <c r="I204" s="69">
        <f t="shared" si="13"/>
        <v>0</v>
      </c>
      <c r="J204" s="78">
        <f t="shared" si="14"/>
        <v>1.3333333333333339</v>
      </c>
      <c r="K204" s="57"/>
      <c r="L204" s="52" t="str">
        <f t="shared" si="15"/>
        <v>2026-04</v>
      </c>
    </row>
    <row r="205" spans="1:12" ht="22.15" customHeight="1" x14ac:dyDescent="0.2">
      <c r="A205" s="53">
        <v>201</v>
      </c>
      <c r="B205" s="53" t="s">
        <v>244</v>
      </c>
      <c r="C205" s="53" t="str">
        <f>IFERROR(VLOOKUP(B205,'👥 بيانات الموظفين'!B:C,2,0),"")</f>
        <v>بدر فهد المطيري</v>
      </c>
      <c r="D205" s="55">
        <f>DATEVALUE("2026-04-19")</f>
        <v>46131</v>
      </c>
      <c r="E205" s="53" t="s">
        <v>86</v>
      </c>
      <c r="F205" s="75">
        <f>TIMEVALUE("08:07")</f>
        <v>0.33819444444444446</v>
      </c>
      <c r="G205" s="75">
        <f>TIMEVALUE("17:08")</f>
        <v>0.71388888888888891</v>
      </c>
      <c r="H205" s="76">
        <f t="shared" si="12"/>
        <v>9.0166666666666657</v>
      </c>
      <c r="I205" s="68">
        <f t="shared" si="13"/>
        <v>0</v>
      </c>
      <c r="J205" s="76">
        <f t="shared" si="14"/>
        <v>1.0166666666666657</v>
      </c>
      <c r="K205" s="53"/>
      <c r="L205" s="51" t="str">
        <f t="shared" si="15"/>
        <v>2026-04</v>
      </c>
    </row>
    <row r="206" spans="1:12" ht="22.15" customHeight="1" x14ac:dyDescent="0.2">
      <c r="A206" s="57">
        <v>202</v>
      </c>
      <c r="B206" s="57" t="s">
        <v>244</v>
      </c>
      <c r="C206" s="57" t="str">
        <f>IFERROR(VLOOKUP(B206,'👥 بيانات الموظفين'!B:C,2,0),"")</f>
        <v>بدر فهد المطيري</v>
      </c>
      <c r="D206" s="59">
        <f>DATEVALUE("2026-04-20")</f>
        <v>46132</v>
      </c>
      <c r="E206" s="57" t="s">
        <v>86</v>
      </c>
      <c r="F206" s="77">
        <f>TIMEVALUE("08:02")</f>
        <v>0.3347222222222222</v>
      </c>
      <c r="G206" s="77">
        <f>TIMEVALUE("17:02")</f>
        <v>0.70972222222222225</v>
      </c>
      <c r="H206" s="78">
        <f t="shared" si="12"/>
        <v>9.0000000000000018</v>
      </c>
      <c r="I206" s="69">
        <f t="shared" si="13"/>
        <v>0</v>
      </c>
      <c r="J206" s="78">
        <f t="shared" si="14"/>
        <v>1.0000000000000018</v>
      </c>
      <c r="K206" s="57"/>
      <c r="L206" s="52" t="str">
        <f t="shared" si="15"/>
        <v>2026-04</v>
      </c>
    </row>
    <row r="207" spans="1:12" ht="22.15" customHeight="1" x14ac:dyDescent="0.2">
      <c r="A207" s="53">
        <v>203</v>
      </c>
      <c r="B207" s="53" t="s">
        <v>244</v>
      </c>
      <c r="C207" s="53" t="str">
        <f>IFERROR(VLOOKUP(B207,'👥 بيانات الموظفين'!B:C,2,0),"")</f>
        <v>بدر فهد المطيري</v>
      </c>
      <c r="D207" s="55">
        <f>DATEVALUE("2026-04-21")</f>
        <v>46133</v>
      </c>
      <c r="E207" s="53" t="s">
        <v>88</v>
      </c>
      <c r="F207" s="75"/>
      <c r="G207" s="75"/>
      <c r="H207" s="76" t="str">
        <f t="shared" si="12"/>
        <v/>
      </c>
      <c r="I207" s="68">
        <f t="shared" si="13"/>
        <v>0</v>
      </c>
      <c r="J207" s="76">
        <f t="shared" si="14"/>
        <v>0</v>
      </c>
      <c r="K207" s="53" t="s">
        <v>89</v>
      </c>
      <c r="L207" s="51" t="str">
        <f t="shared" si="15"/>
        <v>2026-04</v>
      </c>
    </row>
    <row r="208" spans="1:12" ht="22.15" customHeight="1" x14ac:dyDescent="0.2">
      <c r="A208" s="57">
        <v>204</v>
      </c>
      <c r="B208" s="57" t="s">
        <v>244</v>
      </c>
      <c r="C208" s="57" t="str">
        <f>IFERROR(VLOOKUP(B208,'👥 بيانات الموظفين'!B:C,2,0),"")</f>
        <v>بدر فهد المطيري</v>
      </c>
      <c r="D208" s="59">
        <f>DATEVALUE("2026-04-22")</f>
        <v>46134</v>
      </c>
      <c r="E208" s="57" t="s">
        <v>86</v>
      </c>
      <c r="F208" s="77">
        <f>TIMEVALUE("07:52")</f>
        <v>0.32777777777777778</v>
      </c>
      <c r="G208" s="77">
        <f>TIMEVALUE("17:03")</f>
        <v>0.7104166666666667</v>
      </c>
      <c r="H208" s="78">
        <f t="shared" si="12"/>
        <v>9.1833333333333336</v>
      </c>
      <c r="I208" s="69">
        <f t="shared" si="13"/>
        <v>0</v>
      </c>
      <c r="J208" s="78">
        <f t="shared" si="14"/>
        <v>1.1833333333333336</v>
      </c>
      <c r="K208" s="57"/>
      <c r="L208" s="52" t="str">
        <f t="shared" si="15"/>
        <v>2026-04</v>
      </c>
    </row>
    <row r="209" spans="1:12" ht="22.15" customHeight="1" x14ac:dyDescent="0.2">
      <c r="A209" s="53">
        <v>205</v>
      </c>
      <c r="B209" s="53" t="s">
        <v>244</v>
      </c>
      <c r="C209" s="53" t="str">
        <f>IFERROR(VLOOKUP(B209,'👥 بيانات الموظفين'!B:C,2,0),"")</f>
        <v>بدر فهد المطيري</v>
      </c>
      <c r="D209" s="55">
        <f>DATEVALUE("2026-04-23")</f>
        <v>46135</v>
      </c>
      <c r="E209" s="53" t="s">
        <v>86</v>
      </c>
      <c r="F209" s="75">
        <f>TIMEVALUE("07:58")</f>
        <v>0.33194444444444443</v>
      </c>
      <c r="G209" s="75">
        <f>TIMEVALUE("17:16")</f>
        <v>0.71944444444444444</v>
      </c>
      <c r="H209" s="76">
        <f t="shared" si="12"/>
        <v>9.3000000000000007</v>
      </c>
      <c r="I209" s="68">
        <f t="shared" si="13"/>
        <v>0</v>
      </c>
      <c r="J209" s="76">
        <f t="shared" si="14"/>
        <v>1.3000000000000007</v>
      </c>
      <c r="K209" s="53"/>
      <c r="L209" s="51" t="str">
        <f t="shared" si="15"/>
        <v>2026-04</v>
      </c>
    </row>
    <row r="210" spans="1:12" ht="22.15" customHeight="1" x14ac:dyDescent="0.2">
      <c r="A210" s="57">
        <v>206</v>
      </c>
      <c r="B210" s="57" t="s">
        <v>244</v>
      </c>
      <c r="C210" s="57" t="str">
        <f>IFERROR(VLOOKUP(B210,'👥 بيانات الموظفين'!B:C,2,0),"")</f>
        <v>بدر فهد المطيري</v>
      </c>
      <c r="D210" s="59">
        <f>DATEVALUE("2026-04-26")</f>
        <v>46138</v>
      </c>
      <c r="E210" s="57" t="s">
        <v>86</v>
      </c>
      <c r="F210" s="77">
        <f>TIMEVALUE("07:56")</f>
        <v>0.33055555555555555</v>
      </c>
      <c r="G210" s="77">
        <f>TIMEVALUE("17:09")</f>
        <v>0.71458333333333335</v>
      </c>
      <c r="H210" s="78">
        <f t="shared" si="12"/>
        <v>9.2166666666666668</v>
      </c>
      <c r="I210" s="69">
        <f t="shared" si="13"/>
        <v>0</v>
      </c>
      <c r="J210" s="78">
        <f t="shared" si="14"/>
        <v>1.2166666666666668</v>
      </c>
      <c r="K210" s="57"/>
      <c r="L210" s="52" t="str">
        <f t="shared" si="15"/>
        <v>2026-04</v>
      </c>
    </row>
    <row r="211" spans="1:12" ht="22.15" customHeight="1" x14ac:dyDescent="0.2">
      <c r="A211" s="53">
        <v>207</v>
      </c>
      <c r="B211" s="53" t="s">
        <v>244</v>
      </c>
      <c r="C211" s="53" t="str">
        <f>IFERROR(VLOOKUP(B211,'👥 بيانات الموظفين'!B:C,2,0),"")</f>
        <v>بدر فهد المطيري</v>
      </c>
      <c r="D211" s="55">
        <f>DATEVALUE("2026-04-27")</f>
        <v>46139</v>
      </c>
      <c r="E211" s="53" t="s">
        <v>87</v>
      </c>
      <c r="F211" s="75">
        <f>TIMEVALUE("08:24")</f>
        <v>0.35</v>
      </c>
      <c r="G211" s="75">
        <f>TIMEVALUE("17:00")</f>
        <v>0.70833333333333337</v>
      </c>
      <c r="H211" s="76">
        <f t="shared" si="12"/>
        <v>8.6000000000000014</v>
      </c>
      <c r="I211" s="68">
        <f t="shared" si="13"/>
        <v>23.999999999999993</v>
      </c>
      <c r="J211" s="76">
        <f t="shared" si="14"/>
        <v>0.60000000000000142</v>
      </c>
      <c r="K211" s="53"/>
      <c r="L211" s="51" t="str">
        <f t="shared" si="15"/>
        <v>2026-04</v>
      </c>
    </row>
    <row r="212" spans="1:12" ht="22.15" customHeight="1" x14ac:dyDescent="0.2">
      <c r="A212" s="57">
        <v>208</v>
      </c>
      <c r="B212" s="57" t="s">
        <v>244</v>
      </c>
      <c r="C212" s="57" t="str">
        <f>IFERROR(VLOOKUP(B212,'👥 بيانات الموظفين'!B:C,2,0),"")</f>
        <v>بدر فهد المطيري</v>
      </c>
      <c r="D212" s="59">
        <f>DATEVALUE("2026-04-28")</f>
        <v>46140</v>
      </c>
      <c r="E212" s="57" t="s">
        <v>88</v>
      </c>
      <c r="F212" s="77"/>
      <c r="G212" s="77"/>
      <c r="H212" s="78" t="str">
        <f t="shared" si="12"/>
        <v/>
      </c>
      <c r="I212" s="69">
        <f t="shared" si="13"/>
        <v>0</v>
      </c>
      <c r="J212" s="78">
        <f t="shared" si="14"/>
        <v>0</v>
      </c>
      <c r="K212" s="57" t="s">
        <v>89</v>
      </c>
      <c r="L212" s="52" t="str">
        <f t="shared" si="15"/>
        <v>2026-04</v>
      </c>
    </row>
    <row r="213" spans="1:12" ht="22.15" customHeight="1" x14ac:dyDescent="0.2">
      <c r="A213" s="53">
        <v>209</v>
      </c>
      <c r="B213" s="53" t="s">
        <v>244</v>
      </c>
      <c r="C213" s="53" t="str">
        <f>IFERROR(VLOOKUP(B213,'👥 بيانات الموظفين'!B:C,2,0),"")</f>
        <v>بدر فهد المطيري</v>
      </c>
      <c r="D213" s="55">
        <f>DATEVALUE("2026-04-29")</f>
        <v>46141</v>
      </c>
      <c r="E213" s="53" t="s">
        <v>86</v>
      </c>
      <c r="F213" s="75">
        <f>TIMEVALUE("07:58")</f>
        <v>0.33194444444444443</v>
      </c>
      <c r="G213" s="75">
        <f>TIMEVALUE("17:13")</f>
        <v>0.71736111111111112</v>
      </c>
      <c r="H213" s="76">
        <f t="shared" si="12"/>
        <v>9.25</v>
      </c>
      <c r="I213" s="68">
        <f t="shared" si="13"/>
        <v>0</v>
      </c>
      <c r="J213" s="76">
        <f t="shared" si="14"/>
        <v>1.25</v>
      </c>
      <c r="K213" s="53"/>
      <c r="L213" s="51" t="str">
        <f t="shared" si="15"/>
        <v>2026-04</v>
      </c>
    </row>
    <row r="214" spans="1:12" ht="22.15" customHeight="1" x14ac:dyDescent="0.2">
      <c r="A214" s="57">
        <v>210</v>
      </c>
      <c r="B214" s="57" t="s">
        <v>244</v>
      </c>
      <c r="C214" s="57" t="str">
        <f>IFERROR(VLOOKUP(B214,'👥 بيانات الموظفين'!B:C,2,0),"")</f>
        <v>بدر فهد المطيري</v>
      </c>
      <c r="D214" s="59">
        <f>DATEVALUE("2026-04-30")</f>
        <v>46142</v>
      </c>
      <c r="E214" s="57" t="s">
        <v>86</v>
      </c>
      <c r="F214" s="77">
        <f>TIMEVALUE("07:61")</f>
        <v>0.33402777777777776</v>
      </c>
      <c r="G214" s="77">
        <f>TIMEVALUE("17:09")</f>
        <v>0.71458333333333335</v>
      </c>
      <c r="H214" s="78">
        <f t="shared" si="12"/>
        <v>9.1333333333333346</v>
      </c>
      <c r="I214" s="69">
        <f t="shared" si="13"/>
        <v>0</v>
      </c>
      <c r="J214" s="78">
        <f t="shared" si="14"/>
        <v>1.1333333333333346</v>
      </c>
      <c r="K214" s="57"/>
      <c r="L214" s="52" t="str">
        <f t="shared" si="15"/>
        <v>2026-04</v>
      </c>
    </row>
    <row r="215" spans="1:12" ht="22.15" customHeight="1" x14ac:dyDescent="0.2">
      <c r="A215" s="53">
        <v>211</v>
      </c>
      <c r="B215" s="53" t="s">
        <v>245</v>
      </c>
      <c r="C215" s="53" t="str">
        <f>IFERROR(VLOOKUP(B215,'👥 بيانات الموظفين'!B:C,2,0),"")</f>
        <v>Omar Khalid Mansour</v>
      </c>
      <c r="D215" s="55">
        <f>DATEVALUE("2026-04-12")</f>
        <v>46124</v>
      </c>
      <c r="E215" s="53" t="s">
        <v>179</v>
      </c>
      <c r="F215" s="75"/>
      <c r="G215" s="75"/>
      <c r="H215" s="76" t="str">
        <f t="shared" si="12"/>
        <v/>
      </c>
      <c r="I215" s="68">
        <f t="shared" si="13"/>
        <v>0</v>
      </c>
      <c r="J215" s="76">
        <f t="shared" si="14"/>
        <v>0</v>
      </c>
      <c r="K215" s="53" t="s">
        <v>396</v>
      </c>
      <c r="L215" s="51" t="str">
        <f t="shared" si="15"/>
        <v>2026-04</v>
      </c>
    </row>
    <row r="216" spans="1:12" ht="22.15" customHeight="1" x14ac:dyDescent="0.2">
      <c r="A216" s="57">
        <v>212</v>
      </c>
      <c r="B216" s="57" t="s">
        <v>245</v>
      </c>
      <c r="C216" s="57" t="str">
        <f>IFERROR(VLOOKUP(B216,'👥 بيانات الموظفين'!B:C,2,0),"")</f>
        <v>Omar Khalid Mansour</v>
      </c>
      <c r="D216" s="59">
        <f>DATEVALUE("2026-04-13")</f>
        <v>46125</v>
      </c>
      <c r="E216" s="57" t="s">
        <v>179</v>
      </c>
      <c r="F216" s="77"/>
      <c r="G216" s="77"/>
      <c r="H216" s="78" t="str">
        <f t="shared" si="12"/>
        <v/>
      </c>
      <c r="I216" s="69">
        <f t="shared" si="13"/>
        <v>0</v>
      </c>
      <c r="J216" s="78">
        <f t="shared" si="14"/>
        <v>0</v>
      </c>
      <c r="K216" s="57" t="s">
        <v>396</v>
      </c>
      <c r="L216" s="52" t="str">
        <f t="shared" si="15"/>
        <v>2026-04</v>
      </c>
    </row>
    <row r="217" spans="1:12" ht="22.15" customHeight="1" x14ac:dyDescent="0.2">
      <c r="A217" s="53">
        <v>213</v>
      </c>
      <c r="B217" s="53" t="s">
        <v>245</v>
      </c>
      <c r="C217" s="53" t="str">
        <f>IFERROR(VLOOKUP(B217,'👥 بيانات الموظفين'!B:C,2,0),"")</f>
        <v>Omar Khalid Mansour</v>
      </c>
      <c r="D217" s="55">
        <f>DATEVALUE("2026-04-14")</f>
        <v>46126</v>
      </c>
      <c r="E217" s="53" t="s">
        <v>87</v>
      </c>
      <c r="F217" s="75">
        <f>TIMEVALUE("08:16")</f>
        <v>0.34444444444444444</v>
      </c>
      <c r="G217" s="75">
        <f>TIMEVALUE("17:00")</f>
        <v>0.70833333333333337</v>
      </c>
      <c r="H217" s="76">
        <f t="shared" si="12"/>
        <v>8.7333333333333343</v>
      </c>
      <c r="I217" s="68">
        <f t="shared" si="13"/>
        <v>16.000000000000021</v>
      </c>
      <c r="J217" s="76">
        <f t="shared" si="14"/>
        <v>0.73333333333333428</v>
      </c>
      <c r="K217" s="53"/>
      <c r="L217" s="51" t="str">
        <f t="shared" si="15"/>
        <v>2026-04</v>
      </c>
    </row>
    <row r="218" spans="1:12" ht="22.15" customHeight="1" x14ac:dyDescent="0.2">
      <c r="A218" s="57">
        <v>214</v>
      </c>
      <c r="B218" s="57" t="s">
        <v>245</v>
      </c>
      <c r="C218" s="57" t="str">
        <f>IFERROR(VLOOKUP(B218,'👥 بيانات الموظفين'!B:C,2,0),"")</f>
        <v>Omar Khalid Mansour</v>
      </c>
      <c r="D218" s="59">
        <f>DATEVALUE("2026-04-15")</f>
        <v>46127</v>
      </c>
      <c r="E218" s="57" t="s">
        <v>86</v>
      </c>
      <c r="F218" s="77">
        <f>TIMEVALUE("07:53")</f>
        <v>0.32847222222222222</v>
      </c>
      <c r="G218" s="77">
        <f>TIMEVALUE("17:00")</f>
        <v>0.70833333333333337</v>
      </c>
      <c r="H218" s="78">
        <f t="shared" si="12"/>
        <v>9.1166666666666671</v>
      </c>
      <c r="I218" s="69">
        <f t="shared" si="13"/>
        <v>0</v>
      </c>
      <c r="J218" s="78">
        <f t="shared" si="14"/>
        <v>1.1166666666666671</v>
      </c>
      <c r="K218" s="57"/>
      <c r="L218" s="52" t="str">
        <f t="shared" si="15"/>
        <v>2026-04</v>
      </c>
    </row>
    <row r="219" spans="1:12" ht="22.15" customHeight="1" x14ac:dyDescent="0.2">
      <c r="A219" s="53">
        <v>215</v>
      </c>
      <c r="B219" s="53" t="s">
        <v>245</v>
      </c>
      <c r="C219" s="53" t="str">
        <f>IFERROR(VLOOKUP(B219,'👥 بيانات الموظفين'!B:C,2,0),"")</f>
        <v>Omar Khalid Mansour</v>
      </c>
      <c r="D219" s="55">
        <f>DATEVALUE("2026-04-16")</f>
        <v>46128</v>
      </c>
      <c r="E219" s="53" t="s">
        <v>86</v>
      </c>
      <c r="F219" s="75">
        <f>TIMEVALUE("08:04")</f>
        <v>0.33611111111111114</v>
      </c>
      <c r="G219" s="75">
        <f>TIMEVALUE("17:01")</f>
        <v>0.70902777777777781</v>
      </c>
      <c r="H219" s="76">
        <f t="shared" si="12"/>
        <v>8.9499999999999993</v>
      </c>
      <c r="I219" s="68">
        <f t="shared" si="13"/>
        <v>0</v>
      </c>
      <c r="J219" s="76">
        <f t="shared" si="14"/>
        <v>0.94999999999999929</v>
      </c>
      <c r="K219" s="53"/>
      <c r="L219" s="51" t="str">
        <f t="shared" si="15"/>
        <v>2026-04</v>
      </c>
    </row>
    <row r="220" spans="1:12" ht="22.15" customHeight="1" x14ac:dyDescent="0.2">
      <c r="A220" s="57">
        <v>216</v>
      </c>
      <c r="B220" s="57" t="s">
        <v>245</v>
      </c>
      <c r="C220" s="57" t="str">
        <f>IFERROR(VLOOKUP(B220,'👥 بيانات الموظفين'!B:C,2,0),"")</f>
        <v>Omar Khalid Mansour</v>
      </c>
      <c r="D220" s="59">
        <f>DATEVALUE("2026-04-19")</f>
        <v>46131</v>
      </c>
      <c r="E220" s="57" t="s">
        <v>86</v>
      </c>
      <c r="F220" s="77">
        <f>TIMEVALUE("08:04")</f>
        <v>0.33611111111111114</v>
      </c>
      <c r="G220" s="77">
        <f>TIMEVALUE("17:03")</f>
        <v>0.7104166666666667</v>
      </c>
      <c r="H220" s="78">
        <f t="shared" si="12"/>
        <v>8.9833333333333343</v>
      </c>
      <c r="I220" s="69">
        <f t="shared" si="13"/>
        <v>0</v>
      </c>
      <c r="J220" s="78">
        <f t="shared" si="14"/>
        <v>0.98333333333333428</v>
      </c>
      <c r="K220" s="57"/>
      <c r="L220" s="52" t="str">
        <f t="shared" si="15"/>
        <v>2026-04</v>
      </c>
    </row>
    <row r="221" spans="1:12" ht="22.15" customHeight="1" x14ac:dyDescent="0.2">
      <c r="A221" s="53">
        <v>217</v>
      </c>
      <c r="B221" s="53" t="s">
        <v>245</v>
      </c>
      <c r="C221" s="53" t="str">
        <f>IFERROR(VLOOKUP(B221,'👥 بيانات الموظفين'!B:C,2,0),"")</f>
        <v>Omar Khalid Mansour</v>
      </c>
      <c r="D221" s="55">
        <f>DATEVALUE("2026-04-20")</f>
        <v>46132</v>
      </c>
      <c r="E221" s="53" t="s">
        <v>86</v>
      </c>
      <c r="F221" s="75">
        <f>TIMEVALUE("08:07")</f>
        <v>0.33819444444444446</v>
      </c>
      <c r="G221" s="75">
        <f>TIMEVALUE("17:14")</f>
        <v>0.71805555555555556</v>
      </c>
      <c r="H221" s="76">
        <f t="shared" si="12"/>
        <v>9.1166666666666671</v>
      </c>
      <c r="I221" s="68">
        <f t="shared" si="13"/>
        <v>0</v>
      </c>
      <c r="J221" s="76">
        <f t="shared" si="14"/>
        <v>1.1166666666666671</v>
      </c>
      <c r="K221" s="53"/>
      <c r="L221" s="51" t="str">
        <f t="shared" si="15"/>
        <v>2026-04</v>
      </c>
    </row>
    <row r="222" spans="1:12" ht="22.15" customHeight="1" x14ac:dyDescent="0.2">
      <c r="A222" s="57">
        <v>218</v>
      </c>
      <c r="B222" s="57" t="s">
        <v>245</v>
      </c>
      <c r="C222" s="57" t="str">
        <f>IFERROR(VLOOKUP(B222,'👥 بيانات الموظفين'!B:C,2,0),"")</f>
        <v>Omar Khalid Mansour</v>
      </c>
      <c r="D222" s="59">
        <f>DATEVALUE("2026-04-21")</f>
        <v>46133</v>
      </c>
      <c r="E222" s="57" t="s">
        <v>86</v>
      </c>
      <c r="F222" s="77">
        <f>TIMEVALUE("08:02")</f>
        <v>0.3347222222222222</v>
      </c>
      <c r="G222" s="77">
        <f>TIMEVALUE("17:02")</f>
        <v>0.70972222222222225</v>
      </c>
      <c r="H222" s="78">
        <f t="shared" si="12"/>
        <v>9.0000000000000018</v>
      </c>
      <c r="I222" s="69">
        <f t="shared" si="13"/>
        <v>0</v>
      </c>
      <c r="J222" s="78">
        <f t="shared" si="14"/>
        <v>1.0000000000000018</v>
      </c>
      <c r="K222" s="57"/>
      <c r="L222" s="52" t="str">
        <f t="shared" si="15"/>
        <v>2026-04</v>
      </c>
    </row>
    <row r="223" spans="1:12" ht="22.15" customHeight="1" x14ac:dyDescent="0.2">
      <c r="A223" s="53">
        <v>219</v>
      </c>
      <c r="B223" s="53" t="s">
        <v>245</v>
      </c>
      <c r="C223" s="53" t="str">
        <f>IFERROR(VLOOKUP(B223,'👥 بيانات الموظفين'!B:C,2,0),"")</f>
        <v>Omar Khalid Mansour</v>
      </c>
      <c r="D223" s="55">
        <f>DATEVALUE("2026-04-22")</f>
        <v>46134</v>
      </c>
      <c r="E223" s="53" t="s">
        <v>86</v>
      </c>
      <c r="F223" s="75">
        <f>TIMEVALUE("08:07")</f>
        <v>0.33819444444444446</v>
      </c>
      <c r="G223" s="75">
        <f>TIMEVALUE("17:19")</f>
        <v>0.72152777777777777</v>
      </c>
      <c r="H223" s="76">
        <f t="shared" si="12"/>
        <v>9.1999999999999993</v>
      </c>
      <c r="I223" s="68">
        <f t="shared" si="13"/>
        <v>0</v>
      </c>
      <c r="J223" s="76">
        <f t="shared" si="14"/>
        <v>1.1999999999999993</v>
      </c>
      <c r="K223" s="53"/>
      <c r="L223" s="51" t="str">
        <f t="shared" si="15"/>
        <v>2026-04</v>
      </c>
    </row>
    <row r="224" spans="1:12" ht="22.15" customHeight="1" x14ac:dyDescent="0.2">
      <c r="A224" s="57">
        <v>220</v>
      </c>
      <c r="B224" s="57" t="s">
        <v>245</v>
      </c>
      <c r="C224" s="57" t="str">
        <f>IFERROR(VLOOKUP(B224,'👥 بيانات الموظفين'!B:C,2,0),"")</f>
        <v>Omar Khalid Mansour</v>
      </c>
      <c r="D224" s="59">
        <f>DATEVALUE("2026-04-23")</f>
        <v>46135</v>
      </c>
      <c r="E224" s="57" t="s">
        <v>86</v>
      </c>
      <c r="F224" s="77">
        <f>TIMEVALUE("07:54")</f>
        <v>0.32916666666666666</v>
      </c>
      <c r="G224" s="77">
        <f>TIMEVALUE("17:15")</f>
        <v>0.71875</v>
      </c>
      <c r="H224" s="78">
        <f t="shared" si="12"/>
        <v>9.35</v>
      </c>
      <c r="I224" s="69">
        <f t="shared" si="13"/>
        <v>0</v>
      </c>
      <c r="J224" s="78">
        <f t="shared" si="14"/>
        <v>1.3499999999999996</v>
      </c>
      <c r="K224" s="57"/>
      <c r="L224" s="52" t="str">
        <f t="shared" si="15"/>
        <v>2026-04</v>
      </c>
    </row>
    <row r="225" spans="1:12" ht="22.15" customHeight="1" x14ac:dyDescent="0.2">
      <c r="A225" s="53">
        <v>221</v>
      </c>
      <c r="B225" s="53" t="s">
        <v>245</v>
      </c>
      <c r="C225" s="53" t="str">
        <f>IFERROR(VLOOKUP(B225,'👥 بيانات الموظفين'!B:C,2,0),"")</f>
        <v>Omar Khalid Mansour</v>
      </c>
      <c r="D225" s="55">
        <f>DATEVALUE("2026-04-26")</f>
        <v>46138</v>
      </c>
      <c r="E225" s="53" t="s">
        <v>86</v>
      </c>
      <c r="F225" s="75">
        <f>TIMEVALUE("08:01")</f>
        <v>0.33402777777777776</v>
      </c>
      <c r="G225" s="75">
        <f>TIMEVALUE("17:08")</f>
        <v>0.71388888888888891</v>
      </c>
      <c r="H225" s="76">
        <f t="shared" si="12"/>
        <v>9.1166666666666671</v>
      </c>
      <c r="I225" s="68">
        <f t="shared" si="13"/>
        <v>0</v>
      </c>
      <c r="J225" s="76">
        <f t="shared" si="14"/>
        <v>1.1166666666666671</v>
      </c>
      <c r="K225" s="53"/>
      <c r="L225" s="51" t="str">
        <f t="shared" si="15"/>
        <v>2026-04</v>
      </c>
    </row>
    <row r="226" spans="1:12" ht="22.15" customHeight="1" x14ac:dyDescent="0.2">
      <c r="A226" s="57">
        <v>222</v>
      </c>
      <c r="B226" s="57" t="s">
        <v>245</v>
      </c>
      <c r="C226" s="57" t="str">
        <f>IFERROR(VLOOKUP(B226,'👥 بيانات الموظفين'!B:C,2,0),"")</f>
        <v>Omar Khalid Mansour</v>
      </c>
      <c r="D226" s="59">
        <f>DATEVALUE("2026-04-27")</f>
        <v>46139</v>
      </c>
      <c r="E226" s="57" t="s">
        <v>86</v>
      </c>
      <c r="F226" s="77">
        <f>TIMEVALUE("08:01")</f>
        <v>0.33402777777777776</v>
      </c>
      <c r="G226" s="77">
        <f>TIMEVALUE("17:03")</f>
        <v>0.7104166666666667</v>
      </c>
      <c r="H226" s="78">
        <f t="shared" si="12"/>
        <v>9.033333333333335</v>
      </c>
      <c r="I226" s="69">
        <f t="shared" si="13"/>
        <v>0</v>
      </c>
      <c r="J226" s="78">
        <f t="shared" si="14"/>
        <v>1.033333333333335</v>
      </c>
      <c r="K226" s="57"/>
      <c r="L226" s="52" t="str">
        <f t="shared" si="15"/>
        <v>2026-04</v>
      </c>
    </row>
    <row r="227" spans="1:12" ht="22.15" customHeight="1" x14ac:dyDescent="0.2">
      <c r="A227" s="53">
        <v>223</v>
      </c>
      <c r="B227" s="53" t="s">
        <v>245</v>
      </c>
      <c r="C227" s="53" t="str">
        <f>IFERROR(VLOOKUP(B227,'👥 بيانات الموظفين'!B:C,2,0),"")</f>
        <v>Omar Khalid Mansour</v>
      </c>
      <c r="D227" s="55">
        <f>DATEVALUE("2026-04-28")</f>
        <v>46140</v>
      </c>
      <c r="E227" s="53" t="s">
        <v>86</v>
      </c>
      <c r="F227" s="75">
        <f>TIMEVALUE("08:02")</f>
        <v>0.3347222222222222</v>
      </c>
      <c r="G227" s="75">
        <f>TIMEVALUE("17:19")</f>
        <v>0.72152777777777777</v>
      </c>
      <c r="H227" s="76">
        <f t="shared" si="12"/>
        <v>9.2833333333333332</v>
      </c>
      <c r="I227" s="68">
        <f t="shared" si="13"/>
        <v>0</v>
      </c>
      <c r="J227" s="76">
        <f t="shared" si="14"/>
        <v>1.2833333333333332</v>
      </c>
      <c r="K227" s="53"/>
      <c r="L227" s="51" t="str">
        <f t="shared" si="15"/>
        <v>2026-04</v>
      </c>
    </row>
    <row r="228" spans="1:12" ht="22.15" customHeight="1" x14ac:dyDescent="0.2">
      <c r="A228" s="57">
        <v>224</v>
      </c>
      <c r="B228" s="57" t="s">
        <v>245</v>
      </c>
      <c r="C228" s="57" t="str">
        <f>IFERROR(VLOOKUP(B228,'👥 بيانات الموظفين'!B:C,2,0),"")</f>
        <v>Omar Khalid Mansour</v>
      </c>
      <c r="D228" s="59">
        <f>DATEVALUE("2026-04-29")</f>
        <v>46141</v>
      </c>
      <c r="E228" s="57" t="s">
        <v>86</v>
      </c>
      <c r="F228" s="77">
        <f>TIMEVALUE("07:60")</f>
        <v>0.33333333333333331</v>
      </c>
      <c r="G228" s="77">
        <f>TIMEVALUE("17:06")</f>
        <v>0.71250000000000002</v>
      </c>
      <c r="H228" s="78">
        <f t="shared" si="12"/>
        <v>9.1000000000000014</v>
      </c>
      <c r="I228" s="69">
        <f t="shared" si="13"/>
        <v>0</v>
      </c>
      <c r="J228" s="78">
        <f t="shared" si="14"/>
        <v>1.1000000000000014</v>
      </c>
      <c r="K228" s="57"/>
      <c r="L228" s="52" t="str">
        <f t="shared" si="15"/>
        <v>2026-04</v>
      </c>
    </row>
    <row r="229" spans="1:12" ht="22.15" customHeight="1" x14ac:dyDescent="0.2">
      <c r="A229" s="53">
        <v>225</v>
      </c>
      <c r="B229" s="53" t="s">
        <v>245</v>
      </c>
      <c r="C229" s="53" t="str">
        <f>IFERROR(VLOOKUP(B229,'👥 بيانات الموظفين'!B:C,2,0),"")</f>
        <v>Omar Khalid Mansour</v>
      </c>
      <c r="D229" s="55">
        <f>DATEVALUE("2026-04-30")</f>
        <v>46142</v>
      </c>
      <c r="E229" s="53" t="s">
        <v>87</v>
      </c>
      <c r="F229" s="75">
        <f>TIMEVALUE("08:22")</f>
        <v>0.34861111111111109</v>
      </c>
      <c r="G229" s="75">
        <f>TIMEVALUE("17:00")</f>
        <v>0.70833333333333337</v>
      </c>
      <c r="H229" s="76">
        <f t="shared" si="12"/>
        <v>8.6333333333333346</v>
      </c>
      <c r="I229" s="68">
        <f t="shared" si="13"/>
        <v>22</v>
      </c>
      <c r="J229" s="76">
        <f t="shared" si="14"/>
        <v>0.63333333333333464</v>
      </c>
      <c r="K229" s="53"/>
      <c r="L229" s="51" t="str">
        <f t="shared" si="15"/>
        <v>2026-04</v>
      </c>
    </row>
    <row r="230" spans="1:12" ht="22.15" customHeight="1" x14ac:dyDescent="0.2">
      <c r="A230" s="57">
        <v>226</v>
      </c>
      <c r="B230" s="57" t="s">
        <v>246</v>
      </c>
      <c r="C230" s="57" t="str">
        <f>IFERROR(VLOOKUP(B230,'👥 بيانات الموظفين'!B:C,2,0),"")</f>
        <v>هند ناصر القرشي</v>
      </c>
      <c r="D230" s="59">
        <f>DATEVALUE("2026-04-12")</f>
        <v>46124</v>
      </c>
      <c r="E230" s="57" t="s">
        <v>87</v>
      </c>
      <c r="F230" s="77">
        <f>TIMEVALUE("08:28")</f>
        <v>0.3527777777777778</v>
      </c>
      <c r="G230" s="77">
        <f>TIMEVALUE("17:00")</f>
        <v>0.70833333333333337</v>
      </c>
      <c r="H230" s="78">
        <f t="shared" si="12"/>
        <v>8.5333333333333332</v>
      </c>
      <c r="I230" s="69">
        <f t="shared" si="13"/>
        <v>28.00000000000006</v>
      </c>
      <c r="J230" s="78">
        <f t="shared" si="14"/>
        <v>0.53333333333333321</v>
      </c>
      <c r="K230" s="57"/>
      <c r="L230" s="52" t="str">
        <f t="shared" si="15"/>
        <v>2026-04</v>
      </c>
    </row>
    <row r="231" spans="1:12" ht="22.15" customHeight="1" x14ac:dyDescent="0.2">
      <c r="A231" s="53">
        <v>227</v>
      </c>
      <c r="B231" s="53" t="s">
        <v>246</v>
      </c>
      <c r="C231" s="53" t="str">
        <f>IFERROR(VLOOKUP(B231,'👥 بيانات الموظفين'!B:C,2,0),"")</f>
        <v>هند ناصر القرشي</v>
      </c>
      <c r="D231" s="55">
        <f>DATEVALUE("2026-04-13")</f>
        <v>46125</v>
      </c>
      <c r="E231" s="53" t="s">
        <v>87</v>
      </c>
      <c r="F231" s="75">
        <f>TIMEVALUE("08:16")</f>
        <v>0.34444444444444444</v>
      </c>
      <c r="G231" s="75">
        <f>TIMEVALUE("17:00")</f>
        <v>0.70833333333333337</v>
      </c>
      <c r="H231" s="76">
        <f t="shared" si="12"/>
        <v>8.7333333333333343</v>
      </c>
      <c r="I231" s="68">
        <f t="shared" si="13"/>
        <v>16.000000000000021</v>
      </c>
      <c r="J231" s="76">
        <f t="shared" si="14"/>
        <v>0.73333333333333428</v>
      </c>
      <c r="K231" s="53"/>
      <c r="L231" s="51" t="str">
        <f t="shared" si="15"/>
        <v>2026-04</v>
      </c>
    </row>
    <row r="232" spans="1:12" ht="22.15" customHeight="1" x14ac:dyDescent="0.2">
      <c r="A232" s="57">
        <v>228</v>
      </c>
      <c r="B232" s="57" t="s">
        <v>246</v>
      </c>
      <c r="C232" s="57" t="str">
        <f>IFERROR(VLOOKUP(B232,'👥 بيانات الموظفين'!B:C,2,0),"")</f>
        <v>هند ناصر القرشي</v>
      </c>
      <c r="D232" s="59">
        <f>DATEVALUE("2026-04-14")</f>
        <v>46126</v>
      </c>
      <c r="E232" s="57" t="s">
        <v>86</v>
      </c>
      <c r="F232" s="77">
        <f>TIMEVALUE("08:07")</f>
        <v>0.33819444444444446</v>
      </c>
      <c r="G232" s="77">
        <f>TIMEVALUE("17:02")</f>
        <v>0.70972222222222225</v>
      </c>
      <c r="H232" s="78">
        <f t="shared" si="12"/>
        <v>8.9166666666666679</v>
      </c>
      <c r="I232" s="69">
        <f t="shared" si="13"/>
        <v>0</v>
      </c>
      <c r="J232" s="78">
        <f t="shared" si="14"/>
        <v>0.91666666666666785</v>
      </c>
      <c r="K232" s="57"/>
      <c r="L232" s="52" t="str">
        <f t="shared" si="15"/>
        <v>2026-04</v>
      </c>
    </row>
    <row r="233" spans="1:12" ht="22.15" customHeight="1" x14ac:dyDescent="0.2">
      <c r="A233" s="53">
        <v>229</v>
      </c>
      <c r="B233" s="53" t="s">
        <v>246</v>
      </c>
      <c r="C233" s="53" t="str">
        <f>IFERROR(VLOOKUP(B233,'👥 بيانات الموظفين'!B:C,2,0),"")</f>
        <v>هند ناصر القرشي</v>
      </c>
      <c r="D233" s="55">
        <f>DATEVALUE("2026-04-15")</f>
        <v>46127</v>
      </c>
      <c r="E233" s="53" t="s">
        <v>87</v>
      </c>
      <c r="F233" s="75">
        <f>TIMEVALUE("08:29")</f>
        <v>0.35347222222222224</v>
      </c>
      <c r="G233" s="75">
        <f>TIMEVALUE("17:00")</f>
        <v>0.70833333333333337</v>
      </c>
      <c r="H233" s="76">
        <f t="shared" si="12"/>
        <v>8.5166666666666675</v>
      </c>
      <c r="I233" s="68">
        <f t="shared" si="13"/>
        <v>29.000000000000057</v>
      </c>
      <c r="J233" s="76">
        <f t="shared" si="14"/>
        <v>0.5166666666666675</v>
      </c>
      <c r="K233" s="53"/>
      <c r="L233" s="51" t="str">
        <f t="shared" si="15"/>
        <v>2026-04</v>
      </c>
    </row>
    <row r="234" spans="1:12" ht="22.15" customHeight="1" x14ac:dyDescent="0.2">
      <c r="A234" s="57">
        <v>230</v>
      </c>
      <c r="B234" s="57" t="s">
        <v>246</v>
      </c>
      <c r="C234" s="57" t="str">
        <f>IFERROR(VLOOKUP(B234,'👥 بيانات الموظفين'!B:C,2,0),"")</f>
        <v>هند ناصر القرشي</v>
      </c>
      <c r="D234" s="59">
        <f>DATEVALUE("2026-04-16")</f>
        <v>46128</v>
      </c>
      <c r="E234" s="57" t="s">
        <v>86</v>
      </c>
      <c r="F234" s="77">
        <f>TIMEVALUE("07:55")</f>
        <v>0.3298611111111111</v>
      </c>
      <c r="G234" s="77">
        <f>TIMEVALUE("17:18")</f>
        <v>0.72083333333333333</v>
      </c>
      <c r="H234" s="78">
        <f t="shared" si="12"/>
        <v>9.3833333333333329</v>
      </c>
      <c r="I234" s="69">
        <f t="shared" si="13"/>
        <v>0</v>
      </c>
      <c r="J234" s="78">
        <f t="shared" si="14"/>
        <v>1.3833333333333329</v>
      </c>
      <c r="K234" s="57"/>
      <c r="L234" s="52" t="str">
        <f t="shared" si="15"/>
        <v>2026-04</v>
      </c>
    </row>
    <row r="235" spans="1:12" ht="22.15" customHeight="1" x14ac:dyDescent="0.2">
      <c r="A235" s="53">
        <v>231</v>
      </c>
      <c r="B235" s="53" t="s">
        <v>246</v>
      </c>
      <c r="C235" s="53" t="str">
        <f>IFERROR(VLOOKUP(B235,'👥 بيانات الموظفين'!B:C,2,0),"")</f>
        <v>هند ناصر القرشي</v>
      </c>
      <c r="D235" s="55">
        <f>DATEVALUE("2026-04-19")</f>
        <v>46131</v>
      </c>
      <c r="E235" s="53" t="s">
        <v>86</v>
      </c>
      <c r="F235" s="75">
        <f>TIMEVALUE("08:06")</f>
        <v>0.33750000000000002</v>
      </c>
      <c r="G235" s="75">
        <f>TIMEVALUE("17:00")</f>
        <v>0.70833333333333337</v>
      </c>
      <c r="H235" s="76">
        <f t="shared" si="12"/>
        <v>8.9</v>
      </c>
      <c r="I235" s="68">
        <f t="shared" si="13"/>
        <v>0</v>
      </c>
      <c r="J235" s="76">
        <f t="shared" si="14"/>
        <v>0.90000000000000036</v>
      </c>
      <c r="K235" s="53"/>
      <c r="L235" s="51" t="str">
        <f t="shared" si="15"/>
        <v>2026-04</v>
      </c>
    </row>
    <row r="236" spans="1:12" ht="22.15" customHeight="1" x14ac:dyDescent="0.2">
      <c r="A236" s="57">
        <v>232</v>
      </c>
      <c r="B236" s="57" t="s">
        <v>246</v>
      </c>
      <c r="C236" s="57" t="str">
        <f>IFERROR(VLOOKUP(B236,'👥 بيانات الموظفين'!B:C,2,0),"")</f>
        <v>هند ناصر القرشي</v>
      </c>
      <c r="D236" s="59">
        <f>DATEVALUE("2026-04-20")</f>
        <v>46132</v>
      </c>
      <c r="E236" s="57" t="s">
        <v>86</v>
      </c>
      <c r="F236" s="77">
        <f>TIMEVALUE("07:57")</f>
        <v>0.33124999999999999</v>
      </c>
      <c r="G236" s="77">
        <f>TIMEVALUE("17:14")</f>
        <v>0.71805555555555556</v>
      </c>
      <c r="H236" s="78">
        <f t="shared" si="12"/>
        <v>9.2833333333333332</v>
      </c>
      <c r="I236" s="69">
        <f t="shared" si="13"/>
        <v>0</v>
      </c>
      <c r="J236" s="78">
        <f t="shared" si="14"/>
        <v>1.2833333333333332</v>
      </c>
      <c r="K236" s="57"/>
      <c r="L236" s="52" t="str">
        <f t="shared" si="15"/>
        <v>2026-04</v>
      </c>
    </row>
    <row r="237" spans="1:12" ht="22.15" customHeight="1" x14ac:dyDescent="0.2">
      <c r="A237" s="53">
        <v>233</v>
      </c>
      <c r="B237" s="53" t="s">
        <v>246</v>
      </c>
      <c r="C237" s="53" t="str">
        <f>IFERROR(VLOOKUP(B237,'👥 بيانات الموظفين'!B:C,2,0),"")</f>
        <v>هند ناصر القرشي</v>
      </c>
      <c r="D237" s="55">
        <f>DATEVALUE("2026-04-21")</f>
        <v>46133</v>
      </c>
      <c r="E237" s="53" t="s">
        <v>87</v>
      </c>
      <c r="F237" s="75">
        <f>TIMEVALUE("08:15")</f>
        <v>0.34375</v>
      </c>
      <c r="G237" s="75">
        <f>TIMEVALUE("17:00")</f>
        <v>0.70833333333333337</v>
      </c>
      <c r="H237" s="76">
        <f t="shared" si="12"/>
        <v>8.75</v>
      </c>
      <c r="I237" s="68">
        <f t="shared" si="13"/>
        <v>15.000000000000027</v>
      </c>
      <c r="J237" s="76">
        <f t="shared" si="14"/>
        <v>0.75</v>
      </c>
      <c r="K237" s="53"/>
      <c r="L237" s="51" t="str">
        <f t="shared" si="15"/>
        <v>2026-04</v>
      </c>
    </row>
    <row r="238" spans="1:12" ht="22.15" customHeight="1" x14ac:dyDescent="0.2">
      <c r="A238" s="57">
        <v>234</v>
      </c>
      <c r="B238" s="57" t="s">
        <v>246</v>
      </c>
      <c r="C238" s="57" t="str">
        <f>IFERROR(VLOOKUP(B238,'👥 بيانات الموظفين'!B:C,2,0),"")</f>
        <v>هند ناصر القرشي</v>
      </c>
      <c r="D238" s="59">
        <f>DATEVALUE("2026-04-22")</f>
        <v>46134</v>
      </c>
      <c r="E238" s="57" t="s">
        <v>86</v>
      </c>
      <c r="F238" s="77">
        <f>TIMEVALUE("07:54")</f>
        <v>0.32916666666666666</v>
      </c>
      <c r="G238" s="77">
        <f>TIMEVALUE("17:13")</f>
        <v>0.71736111111111112</v>
      </c>
      <c r="H238" s="78">
        <f t="shared" si="12"/>
        <v>9.3166666666666664</v>
      </c>
      <c r="I238" s="69">
        <f t="shared" si="13"/>
        <v>0</v>
      </c>
      <c r="J238" s="78">
        <f t="shared" si="14"/>
        <v>1.3166666666666664</v>
      </c>
      <c r="K238" s="57"/>
      <c r="L238" s="52" t="str">
        <f t="shared" si="15"/>
        <v>2026-04</v>
      </c>
    </row>
    <row r="239" spans="1:12" ht="22.15" customHeight="1" x14ac:dyDescent="0.2">
      <c r="A239" s="53">
        <v>235</v>
      </c>
      <c r="B239" s="53" t="s">
        <v>246</v>
      </c>
      <c r="C239" s="53" t="str">
        <f>IFERROR(VLOOKUP(B239,'👥 بيانات الموظفين'!B:C,2,0),"")</f>
        <v>هند ناصر القرشي</v>
      </c>
      <c r="D239" s="55">
        <f>DATEVALUE("2026-04-23")</f>
        <v>46135</v>
      </c>
      <c r="E239" s="53" t="s">
        <v>87</v>
      </c>
      <c r="F239" s="75">
        <f>TIMEVALUE("08:29")</f>
        <v>0.35347222222222224</v>
      </c>
      <c r="G239" s="75">
        <f>TIMEVALUE("17:00")</f>
        <v>0.70833333333333337</v>
      </c>
      <c r="H239" s="76">
        <f t="shared" si="12"/>
        <v>8.5166666666666675</v>
      </c>
      <c r="I239" s="68">
        <f t="shared" si="13"/>
        <v>29.000000000000057</v>
      </c>
      <c r="J239" s="76">
        <f t="shared" si="14"/>
        <v>0.5166666666666675</v>
      </c>
      <c r="K239" s="53"/>
      <c r="L239" s="51" t="str">
        <f t="shared" si="15"/>
        <v>2026-04</v>
      </c>
    </row>
    <row r="240" spans="1:12" ht="22.15" customHeight="1" x14ac:dyDescent="0.2">
      <c r="A240" s="57">
        <v>236</v>
      </c>
      <c r="B240" s="57" t="s">
        <v>246</v>
      </c>
      <c r="C240" s="57" t="str">
        <f>IFERROR(VLOOKUP(B240,'👥 بيانات الموظفين'!B:C,2,0),"")</f>
        <v>هند ناصر القرشي</v>
      </c>
      <c r="D240" s="59">
        <f>DATEVALUE("2026-04-26")</f>
        <v>46138</v>
      </c>
      <c r="E240" s="57" t="s">
        <v>87</v>
      </c>
      <c r="F240" s="77">
        <f>TIMEVALUE("08:28")</f>
        <v>0.3527777777777778</v>
      </c>
      <c r="G240" s="77">
        <f>TIMEVALUE("17:00")</f>
        <v>0.70833333333333337</v>
      </c>
      <c r="H240" s="78">
        <f t="shared" si="12"/>
        <v>8.5333333333333332</v>
      </c>
      <c r="I240" s="69">
        <f t="shared" si="13"/>
        <v>28.00000000000006</v>
      </c>
      <c r="J240" s="78">
        <f t="shared" si="14"/>
        <v>0.53333333333333321</v>
      </c>
      <c r="K240" s="57"/>
      <c r="L240" s="52" t="str">
        <f t="shared" si="15"/>
        <v>2026-04</v>
      </c>
    </row>
    <row r="241" spans="1:12" ht="22.15" customHeight="1" x14ac:dyDescent="0.2">
      <c r="A241" s="53">
        <v>237</v>
      </c>
      <c r="B241" s="53" t="s">
        <v>246</v>
      </c>
      <c r="C241" s="53" t="str">
        <f>IFERROR(VLOOKUP(B241,'👥 بيانات الموظفين'!B:C,2,0),"")</f>
        <v>هند ناصر القرشي</v>
      </c>
      <c r="D241" s="55">
        <f>DATEVALUE("2026-04-27")</f>
        <v>46139</v>
      </c>
      <c r="E241" s="53" t="s">
        <v>86</v>
      </c>
      <c r="F241" s="75">
        <f>TIMEVALUE("08:05")</f>
        <v>0.33680555555555558</v>
      </c>
      <c r="G241" s="75">
        <f>TIMEVALUE("17:13")</f>
        <v>0.71736111111111112</v>
      </c>
      <c r="H241" s="76">
        <f t="shared" si="12"/>
        <v>9.1333333333333329</v>
      </c>
      <c r="I241" s="68">
        <f t="shared" si="13"/>
        <v>0</v>
      </c>
      <c r="J241" s="76">
        <f t="shared" si="14"/>
        <v>1.1333333333333329</v>
      </c>
      <c r="K241" s="53"/>
      <c r="L241" s="51" t="str">
        <f t="shared" si="15"/>
        <v>2026-04</v>
      </c>
    </row>
    <row r="242" spans="1:12" ht="22.15" customHeight="1" x14ac:dyDescent="0.2">
      <c r="A242" s="57">
        <v>238</v>
      </c>
      <c r="B242" s="57" t="s">
        <v>246</v>
      </c>
      <c r="C242" s="57" t="str">
        <f>IFERROR(VLOOKUP(B242,'👥 بيانات الموظفين'!B:C,2,0),"")</f>
        <v>هند ناصر القرشي</v>
      </c>
      <c r="D242" s="59">
        <f>DATEVALUE("2026-04-28")</f>
        <v>46140</v>
      </c>
      <c r="E242" s="57" t="s">
        <v>86</v>
      </c>
      <c r="F242" s="77">
        <f>TIMEVALUE("07:52")</f>
        <v>0.32777777777777778</v>
      </c>
      <c r="G242" s="77">
        <f>TIMEVALUE("17:03")</f>
        <v>0.7104166666666667</v>
      </c>
      <c r="H242" s="78">
        <f t="shared" si="12"/>
        <v>9.1833333333333336</v>
      </c>
      <c r="I242" s="69">
        <f t="shared" si="13"/>
        <v>0</v>
      </c>
      <c r="J242" s="78">
        <f t="shared" si="14"/>
        <v>1.1833333333333336</v>
      </c>
      <c r="K242" s="57"/>
      <c r="L242" s="52" t="str">
        <f t="shared" si="15"/>
        <v>2026-04</v>
      </c>
    </row>
    <row r="243" spans="1:12" ht="22.15" customHeight="1" x14ac:dyDescent="0.2">
      <c r="A243" s="53">
        <v>239</v>
      </c>
      <c r="B243" s="53" t="s">
        <v>246</v>
      </c>
      <c r="C243" s="53" t="str">
        <f>IFERROR(VLOOKUP(B243,'👥 بيانات الموظفين'!B:C,2,0),"")</f>
        <v>هند ناصر القرشي</v>
      </c>
      <c r="D243" s="55">
        <f>DATEVALUE("2026-04-29")</f>
        <v>46141</v>
      </c>
      <c r="E243" s="53" t="s">
        <v>86</v>
      </c>
      <c r="F243" s="75">
        <f>TIMEVALUE("08:02")</f>
        <v>0.3347222222222222</v>
      </c>
      <c r="G243" s="75">
        <f>TIMEVALUE("17:02")</f>
        <v>0.70972222222222225</v>
      </c>
      <c r="H243" s="76">
        <f t="shared" si="12"/>
        <v>9.0000000000000018</v>
      </c>
      <c r="I243" s="68">
        <f t="shared" si="13"/>
        <v>0</v>
      </c>
      <c r="J243" s="76">
        <f t="shared" si="14"/>
        <v>1.0000000000000018</v>
      </c>
      <c r="K243" s="53"/>
      <c r="L243" s="51" t="str">
        <f t="shared" si="15"/>
        <v>2026-04</v>
      </c>
    </row>
    <row r="244" spans="1:12" ht="22.15" customHeight="1" x14ac:dyDescent="0.2">
      <c r="A244" s="57">
        <v>240</v>
      </c>
      <c r="B244" s="57" t="s">
        <v>246</v>
      </c>
      <c r="C244" s="57" t="str">
        <f>IFERROR(VLOOKUP(B244,'👥 بيانات الموظفين'!B:C,2,0),"")</f>
        <v>هند ناصر القرشي</v>
      </c>
      <c r="D244" s="59">
        <f>DATEVALUE("2026-04-30")</f>
        <v>46142</v>
      </c>
      <c r="E244" s="57" t="s">
        <v>86</v>
      </c>
      <c r="F244" s="77">
        <f>TIMEVALUE("07:54")</f>
        <v>0.32916666666666666</v>
      </c>
      <c r="G244" s="77">
        <f>TIMEVALUE("17:03")</f>
        <v>0.7104166666666667</v>
      </c>
      <c r="H244" s="78">
        <f t="shared" si="12"/>
        <v>9.15</v>
      </c>
      <c r="I244" s="69">
        <f t="shared" si="13"/>
        <v>0</v>
      </c>
      <c r="J244" s="78">
        <f t="shared" si="14"/>
        <v>1.1500000000000004</v>
      </c>
      <c r="K244" s="57"/>
      <c r="L244" s="52" t="str">
        <f t="shared" si="15"/>
        <v>2026-04</v>
      </c>
    </row>
    <row r="245" spans="1:12" ht="22.15" customHeight="1" x14ac:dyDescent="0.2">
      <c r="A245" s="53">
        <v>241</v>
      </c>
      <c r="B245" s="53" t="s">
        <v>247</v>
      </c>
      <c r="C245" s="53" t="str">
        <f>IFERROR(VLOOKUP(B245,'👥 بيانات الموظفين'!B:C,2,0),"")</f>
        <v>عبدالملك سعد التميمي</v>
      </c>
      <c r="D245" s="55">
        <f>DATEVALUE("2026-04-12")</f>
        <v>46124</v>
      </c>
      <c r="E245" s="53" t="s">
        <v>86</v>
      </c>
      <c r="F245" s="75">
        <f>TIMEVALUE("08:05")</f>
        <v>0.33680555555555558</v>
      </c>
      <c r="G245" s="75">
        <f>TIMEVALUE("17:06")</f>
        <v>0.71250000000000002</v>
      </c>
      <c r="H245" s="76">
        <f t="shared" si="12"/>
        <v>9.0166666666666657</v>
      </c>
      <c r="I245" s="68">
        <f t="shared" si="13"/>
        <v>0</v>
      </c>
      <c r="J245" s="76">
        <f t="shared" si="14"/>
        <v>1.0166666666666657</v>
      </c>
      <c r="K245" s="53"/>
      <c r="L245" s="51" t="str">
        <f t="shared" si="15"/>
        <v>2026-04</v>
      </c>
    </row>
    <row r="246" spans="1:12" ht="22.15" customHeight="1" x14ac:dyDescent="0.2">
      <c r="A246" s="57">
        <v>242</v>
      </c>
      <c r="B246" s="57" t="s">
        <v>247</v>
      </c>
      <c r="C246" s="57" t="str">
        <f>IFERROR(VLOOKUP(B246,'👥 بيانات الموظفين'!B:C,2,0),"")</f>
        <v>عبدالملك سعد التميمي</v>
      </c>
      <c r="D246" s="59">
        <f>DATEVALUE("2026-04-13")</f>
        <v>46125</v>
      </c>
      <c r="E246" s="57" t="s">
        <v>86</v>
      </c>
      <c r="F246" s="77">
        <f>TIMEVALUE("07:61")</f>
        <v>0.33402777777777776</v>
      </c>
      <c r="G246" s="77">
        <f>TIMEVALUE("17:15")</f>
        <v>0.71875</v>
      </c>
      <c r="H246" s="78">
        <f t="shared" si="12"/>
        <v>9.2333333333333343</v>
      </c>
      <c r="I246" s="69">
        <f t="shared" si="13"/>
        <v>0</v>
      </c>
      <c r="J246" s="78">
        <f t="shared" si="14"/>
        <v>1.2333333333333343</v>
      </c>
      <c r="K246" s="57"/>
      <c r="L246" s="52" t="str">
        <f t="shared" si="15"/>
        <v>2026-04</v>
      </c>
    </row>
    <row r="247" spans="1:12" ht="22.15" customHeight="1" x14ac:dyDescent="0.2">
      <c r="A247" s="53">
        <v>243</v>
      </c>
      <c r="B247" s="53" t="s">
        <v>247</v>
      </c>
      <c r="C247" s="53" t="str">
        <f>IFERROR(VLOOKUP(B247,'👥 بيانات الموظفين'!B:C,2,0),"")</f>
        <v>عبدالملك سعد التميمي</v>
      </c>
      <c r="D247" s="55">
        <f>DATEVALUE("2026-04-14")</f>
        <v>46126</v>
      </c>
      <c r="E247" s="53" t="s">
        <v>87</v>
      </c>
      <c r="F247" s="75">
        <f>TIMEVALUE("08:24")</f>
        <v>0.35</v>
      </c>
      <c r="G247" s="75">
        <f>TIMEVALUE("17:00")</f>
        <v>0.70833333333333337</v>
      </c>
      <c r="H247" s="76">
        <f t="shared" si="12"/>
        <v>8.6000000000000014</v>
      </c>
      <c r="I247" s="68">
        <f t="shared" si="13"/>
        <v>23.999999999999993</v>
      </c>
      <c r="J247" s="76">
        <f t="shared" si="14"/>
        <v>0.60000000000000142</v>
      </c>
      <c r="K247" s="53"/>
      <c r="L247" s="51" t="str">
        <f t="shared" si="15"/>
        <v>2026-04</v>
      </c>
    </row>
    <row r="248" spans="1:12" ht="22.15" customHeight="1" x14ac:dyDescent="0.2">
      <c r="A248" s="57">
        <v>244</v>
      </c>
      <c r="B248" s="57" t="s">
        <v>247</v>
      </c>
      <c r="C248" s="57" t="str">
        <f>IFERROR(VLOOKUP(B248,'👥 بيانات الموظفين'!B:C,2,0),"")</f>
        <v>عبدالملك سعد التميمي</v>
      </c>
      <c r="D248" s="59">
        <f>DATEVALUE("2026-04-15")</f>
        <v>46127</v>
      </c>
      <c r="E248" s="57" t="s">
        <v>86</v>
      </c>
      <c r="F248" s="77">
        <f>TIMEVALUE("08:03")</f>
        <v>0.33541666666666664</v>
      </c>
      <c r="G248" s="77">
        <f>TIMEVALUE("17:00")</f>
        <v>0.70833333333333337</v>
      </c>
      <c r="H248" s="78">
        <f t="shared" si="12"/>
        <v>8.9500000000000011</v>
      </c>
      <c r="I248" s="69">
        <f t="shared" si="13"/>
        <v>0</v>
      </c>
      <c r="J248" s="78">
        <f t="shared" si="14"/>
        <v>0.95000000000000107</v>
      </c>
      <c r="K248" s="57"/>
      <c r="L248" s="52" t="str">
        <f t="shared" si="15"/>
        <v>2026-04</v>
      </c>
    </row>
    <row r="249" spans="1:12" ht="22.15" customHeight="1" x14ac:dyDescent="0.2">
      <c r="A249" s="53">
        <v>245</v>
      </c>
      <c r="B249" s="53" t="s">
        <v>247</v>
      </c>
      <c r="C249" s="53" t="str">
        <f>IFERROR(VLOOKUP(B249,'👥 بيانات الموظفين'!B:C,2,0),"")</f>
        <v>عبدالملك سعد التميمي</v>
      </c>
      <c r="D249" s="55">
        <f>DATEVALUE("2026-04-16")</f>
        <v>46128</v>
      </c>
      <c r="E249" s="53" t="s">
        <v>86</v>
      </c>
      <c r="F249" s="75">
        <f>TIMEVALUE("07:59")</f>
        <v>0.33263888888888887</v>
      </c>
      <c r="G249" s="75">
        <f>TIMEVALUE("17:03")</f>
        <v>0.7104166666666667</v>
      </c>
      <c r="H249" s="76">
        <f t="shared" si="12"/>
        <v>9.0666666666666682</v>
      </c>
      <c r="I249" s="68">
        <f t="shared" si="13"/>
        <v>0</v>
      </c>
      <c r="J249" s="76">
        <f t="shared" si="14"/>
        <v>1.0666666666666682</v>
      </c>
      <c r="K249" s="53"/>
      <c r="L249" s="51" t="str">
        <f t="shared" si="15"/>
        <v>2026-04</v>
      </c>
    </row>
    <row r="250" spans="1:12" ht="22.15" customHeight="1" x14ac:dyDescent="0.2">
      <c r="A250" s="57">
        <v>246</v>
      </c>
      <c r="B250" s="57" t="s">
        <v>247</v>
      </c>
      <c r="C250" s="57" t="str">
        <f>IFERROR(VLOOKUP(B250,'👥 بيانات الموظفين'!B:C,2,0),"")</f>
        <v>عبدالملك سعد التميمي</v>
      </c>
      <c r="D250" s="59">
        <f>DATEVALUE("2026-04-19")</f>
        <v>46131</v>
      </c>
      <c r="E250" s="57" t="s">
        <v>86</v>
      </c>
      <c r="F250" s="77">
        <f>TIMEVALUE("07:57")</f>
        <v>0.33124999999999999</v>
      </c>
      <c r="G250" s="77">
        <f>TIMEVALUE("17:02")</f>
        <v>0.70972222222222225</v>
      </c>
      <c r="H250" s="78">
        <f t="shared" si="12"/>
        <v>9.0833333333333339</v>
      </c>
      <c r="I250" s="69">
        <f t="shared" si="13"/>
        <v>0</v>
      </c>
      <c r="J250" s="78">
        <f t="shared" si="14"/>
        <v>1.0833333333333339</v>
      </c>
      <c r="K250" s="57"/>
      <c r="L250" s="52" t="str">
        <f t="shared" si="15"/>
        <v>2026-04</v>
      </c>
    </row>
    <row r="251" spans="1:12" ht="22.15" customHeight="1" x14ac:dyDescent="0.2">
      <c r="A251" s="53">
        <v>247</v>
      </c>
      <c r="B251" s="53" t="s">
        <v>247</v>
      </c>
      <c r="C251" s="53" t="str">
        <f>IFERROR(VLOOKUP(B251,'👥 بيانات الموظفين'!B:C,2,0),"")</f>
        <v>عبدالملك سعد التميمي</v>
      </c>
      <c r="D251" s="55">
        <f>DATEVALUE("2026-04-20")</f>
        <v>46132</v>
      </c>
      <c r="E251" s="53" t="s">
        <v>86</v>
      </c>
      <c r="F251" s="75">
        <f>TIMEVALUE("08:01")</f>
        <v>0.33402777777777776</v>
      </c>
      <c r="G251" s="75">
        <f>TIMEVALUE("17:10")</f>
        <v>0.71527777777777779</v>
      </c>
      <c r="H251" s="76">
        <f t="shared" si="12"/>
        <v>9.15</v>
      </c>
      <c r="I251" s="68">
        <f t="shared" si="13"/>
        <v>0</v>
      </c>
      <c r="J251" s="76">
        <f t="shared" si="14"/>
        <v>1.1500000000000004</v>
      </c>
      <c r="K251" s="53"/>
      <c r="L251" s="51" t="str">
        <f t="shared" si="15"/>
        <v>2026-04</v>
      </c>
    </row>
    <row r="252" spans="1:12" ht="22.15" customHeight="1" x14ac:dyDescent="0.2">
      <c r="A252" s="57">
        <v>248</v>
      </c>
      <c r="B252" s="57" t="s">
        <v>247</v>
      </c>
      <c r="C252" s="57" t="str">
        <f>IFERROR(VLOOKUP(B252,'👥 بيانات الموظفين'!B:C,2,0),"")</f>
        <v>عبدالملك سعد التميمي</v>
      </c>
      <c r="D252" s="59">
        <f>DATEVALUE("2026-04-21")</f>
        <v>46133</v>
      </c>
      <c r="E252" s="57" t="s">
        <v>86</v>
      </c>
      <c r="F252" s="77">
        <f>TIMEVALUE("07:55")</f>
        <v>0.3298611111111111</v>
      </c>
      <c r="G252" s="77">
        <f>TIMEVALUE("17:11")</f>
        <v>0.71597222222222223</v>
      </c>
      <c r="H252" s="78">
        <f t="shared" si="12"/>
        <v>9.2666666666666675</v>
      </c>
      <c r="I252" s="69">
        <f t="shared" si="13"/>
        <v>0</v>
      </c>
      <c r="J252" s="78">
        <f t="shared" si="14"/>
        <v>1.2666666666666675</v>
      </c>
      <c r="K252" s="57"/>
      <c r="L252" s="52" t="str">
        <f t="shared" si="15"/>
        <v>2026-04</v>
      </c>
    </row>
    <row r="253" spans="1:12" ht="22.15" customHeight="1" x14ac:dyDescent="0.2">
      <c r="A253" s="53">
        <v>249</v>
      </c>
      <c r="B253" s="53" t="s">
        <v>247</v>
      </c>
      <c r="C253" s="53" t="str">
        <f>IFERROR(VLOOKUP(B253,'👥 بيانات الموظفين'!B:C,2,0),"")</f>
        <v>عبدالملك سعد التميمي</v>
      </c>
      <c r="D253" s="55">
        <f>DATEVALUE("2026-04-22")</f>
        <v>46134</v>
      </c>
      <c r="E253" s="53" t="s">
        <v>86</v>
      </c>
      <c r="F253" s="75">
        <f>TIMEVALUE("08:03")</f>
        <v>0.33541666666666664</v>
      </c>
      <c r="G253" s="75">
        <f>TIMEVALUE("17:17")</f>
        <v>0.72013888888888888</v>
      </c>
      <c r="H253" s="76">
        <f t="shared" si="12"/>
        <v>9.2333333333333343</v>
      </c>
      <c r="I253" s="68">
        <f t="shared" si="13"/>
        <v>0</v>
      </c>
      <c r="J253" s="76">
        <f t="shared" si="14"/>
        <v>1.2333333333333343</v>
      </c>
      <c r="K253" s="53"/>
      <c r="L253" s="51" t="str">
        <f t="shared" si="15"/>
        <v>2026-04</v>
      </c>
    </row>
    <row r="254" spans="1:12" ht="22.15" customHeight="1" x14ac:dyDescent="0.2">
      <c r="A254" s="57">
        <v>250</v>
      </c>
      <c r="B254" s="57" t="s">
        <v>247</v>
      </c>
      <c r="C254" s="57" t="str">
        <f>IFERROR(VLOOKUP(B254,'👥 بيانات الموظفين'!B:C,2,0),"")</f>
        <v>عبدالملك سعد التميمي</v>
      </c>
      <c r="D254" s="59">
        <f>DATEVALUE("2026-04-23")</f>
        <v>46135</v>
      </c>
      <c r="E254" s="57" t="s">
        <v>86</v>
      </c>
      <c r="F254" s="77">
        <f>TIMEVALUE("08:07")</f>
        <v>0.33819444444444446</v>
      </c>
      <c r="G254" s="77">
        <f>TIMEVALUE("17:13")</f>
        <v>0.71736111111111112</v>
      </c>
      <c r="H254" s="78">
        <f t="shared" si="12"/>
        <v>9.1</v>
      </c>
      <c r="I254" s="69">
        <f t="shared" si="13"/>
        <v>0</v>
      </c>
      <c r="J254" s="78">
        <f t="shared" si="14"/>
        <v>1.0999999999999996</v>
      </c>
      <c r="K254" s="57"/>
      <c r="L254" s="52" t="str">
        <f t="shared" si="15"/>
        <v>2026-04</v>
      </c>
    </row>
    <row r="255" spans="1:12" ht="22.15" customHeight="1" x14ac:dyDescent="0.2">
      <c r="A255" s="53">
        <v>251</v>
      </c>
      <c r="B255" s="53" t="s">
        <v>247</v>
      </c>
      <c r="C255" s="53" t="str">
        <f>IFERROR(VLOOKUP(B255,'👥 بيانات الموظفين'!B:C,2,0),"")</f>
        <v>عبدالملك سعد التميمي</v>
      </c>
      <c r="D255" s="55">
        <f>DATEVALUE("2026-04-26")</f>
        <v>46138</v>
      </c>
      <c r="E255" s="53" t="s">
        <v>86</v>
      </c>
      <c r="F255" s="75">
        <f>TIMEVALUE("08:03")</f>
        <v>0.33541666666666664</v>
      </c>
      <c r="G255" s="75">
        <f>TIMEVALUE("17:11")</f>
        <v>0.71597222222222223</v>
      </c>
      <c r="H255" s="76">
        <f t="shared" si="12"/>
        <v>9.1333333333333346</v>
      </c>
      <c r="I255" s="68">
        <f t="shared" si="13"/>
        <v>0</v>
      </c>
      <c r="J255" s="76">
        <f t="shared" si="14"/>
        <v>1.1333333333333346</v>
      </c>
      <c r="K255" s="53"/>
      <c r="L255" s="51" t="str">
        <f t="shared" si="15"/>
        <v>2026-04</v>
      </c>
    </row>
    <row r="256" spans="1:12" ht="22.15" customHeight="1" x14ac:dyDescent="0.2">
      <c r="A256" s="57">
        <v>252</v>
      </c>
      <c r="B256" s="57" t="s">
        <v>247</v>
      </c>
      <c r="C256" s="57" t="str">
        <f>IFERROR(VLOOKUP(B256,'👥 بيانات الموظفين'!B:C,2,0),"")</f>
        <v>عبدالملك سعد التميمي</v>
      </c>
      <c r="D256" s="59">
        <f>DATEVALUE("2026-04-27")</f>
        <v>46139</v>
      </c>
      <c r="E256" s="57" t="s">
        <v>86</v>
      </c>
      <c r="F256" s="77">
        <f>TIMEVALUE("07:53")</f>
        <v>0.32847222222222222</v>
      </c>
      <c r="G256" s="77">
        <f>TIMEVALUE("17:14")</f>
        <v>0.71805555555555556</v>
      </c>
      <c r="H256" s="78">
        <f t="shared" si="12"/>
        <v>9.35</v>
      </c>
      <c r="I256" s="69">
        <f t="shared" si="13"/>
        <v>0</v>
      </c>
      <c r="J256" s="78">
        <f t="shared" si="14"/>
        <v>1.3499999999999996</v>
      </c>
      <c r="K256" s="57"/>
      <c r="L256" s="52" t="str">
        <f t="shared" si="15"/>
        <v>2026-04</v>
      </c>
    </row>
    <row r="257" spans="1:12" ht="22.15" customHeight="1" x14ac:dyDescent="0.2">
      <c r="A257" s="53">
        <v>253</v>
      </c>
      <c r="B257" s="53" t="s">
        <v>247</v>
      </c>
      <c r="C257" s="53" t="str">
        <f>IFERROR(VLOOKUP(B257,'👥 بيانات الموظفين'!B:C,2,0),"")</f>
        <v>عبدالملك سعد التميمي</v>
      </c>
      <c r="D257" s="55">
        <f>DATEVALUE("2026-04-28")</f>
        <v>46140</v>
      </c>
      <c r="E257" s="53" t="s">
        <v>86</v>
      </c>
      <c r="F257" s="75">
        <f>TIMEVALUE("07:55")</f>
        <v>0.3298611111111111</v>
      </c>
      <c r="G257" s="75">
        <f>TIMEVALUE("17:01")</f>
        <v>0.70902777777777781</v>
      </c>
      <c r="H257" s="76">
        <f t="shared" si="12"/>
        <v>9.1000000000000014</v>
      </c>
      <c r="I257" s="68">
        <f t="shared" si="13"/>
        <v>0</v>
      </c>
      <c r="J257" s="76">
        <f t="shared" si="14"/>
        <v>1.1000000000000014</v>
      </c>
      <c r="K257" s="53"/>
      <c r="L257" s="51" t="str">
        <f t="shared" si="15"/>
        <v>2026-04</v>
      </c>
    </row>
    <row r="258" spans="1:12" ht="22.15" customHeight="1" x14ac:dyDescent="0.2">
      <c r="A258" s="57">
        <v>254</v>
      </c>
      <c r="B258" s="57" t="s">
        <v>247</v>
      </c>
      <c r="C258" s="57" t="str">
        <f>IFERROR(VLOOKUP(B258,'👥 بيانات الموظفين'!B:C,2,0),"")</f>
        <v>عبدالملك سعد التميمي</v>
      </c>
      <c r="D258" s="59">
        <f>DATEVALUE("2026-04-29")</f>
        <v>46141</v>
      </c>
      <c r="E258" s="57" t="s">
        <v>86</v>
      </c>
      <c r="F258" s="77">
        <f>TIMEVALUE("08:02")</f>
        <v>0.3347222222222222</v>
      </c>
      <c r="G258" s="77">
        <f>TIMEVALUE("17:00")</f>
        <v>0.70833333333333337</v>
      </c>
      <c r="H258" s="78">
        <f t="shared" si="12"/>
        <v>8.9666666666666686</v>
      </c>
      <c r="I258" s="69">
        <f t="shared" si="13"/>
        <v>0</v>
      </c>
      <c r="J258" s="78">
        <f t="shared" si="14"/>
        <v>0.96666666666666856</v>
      </c>
      <c r="K258" s="57"/>
      <c r="L258" s="52" t="str">
        <f t="shared" si="15"/>
        <v>2026-04</v>
      </c>
    </row>
    <row r="259" spans="1:12" ht="22.15" customHeight="1" x14ac:dyDescent="0.2">
      <c r="A259" s="53">
        <v>255</v>
      </c>
      <c r="B259" s="53" t="s">
        <v>247</v>
      </c>
      <c r="C259" s="53" t="str">
        <f>IFERROR(VLOOKUP(B259,'👥 بيانات الموظفين'!B:C,2,0),"")</f>
        <v>عبدالملك سعد التميمي</v>
      </c>
      <c r="D259" s="55">
        <f>DATEVALUE("2026-04-30")</f>
        <v>46142</v>
      </c>
      <c r="E259" s="53" t="s">
        <v>86</v>
      </c>
      <c r="F259" s="75">
        <f>TIMEVALUE("08:07")</f>
        <v>0.33819444444444446</v>
      </c>
      <c r="G259" s="75">
        <f>TIMEVALUE("17:01")</f>
        <v>0.70902777777777781</v>
      </c>
      <c r="H259" s="76">
        <f t="shared" si="12"/>
        <v>8.9</v>
      </c>
      <c r="I259" s="68">
        <f t="shared" si="13"/>
        <v>0</v>
      </c>
      <c r="J259" s="76">
        <f t="shared" si="14"/>
        <v>0.90000000000000036</v>
      </c>
      <c r="K259" s="53"/>
      <c r="L259" s="51" t="str">
        <f t="shared" si="15"/>
        <v>2026-04</v>
      </c>
    </row>
    <row r="260" spans="1:12" ht="22.15" customHeight="1" x14ac:dyDescent="0.2">
      <c r="A260" s="57">
        <v>256</v>
      </c>
      <c r="B260" s="57" t="s">
        <v>248</v>
      </c>
      <c r="C260" s="57" t="str">
        <f>IFERROR(VLOOKUP(B260,'👥 بيانات الموظفين'!B:C,2,0),"")</f>
        <v>لمى محمد البرقاوي</v>
      </c>
      <c r="D260" s="59">
        <f>DATEVALUE("2026-04-12")</f>
        <v>46124</v>
      </c>
      <c r="E260" s="57" t="s">
        <v>86</v>
      </c>
      <c r="F260" s="77">
        <f>TIMEVALUE("08:00")</f>
        <v>0.33333333333333331</v>
      </c>
      <c r="G260" s="77">
        <f>TIMEVALUE("17:09")</f>
        <v>0.71458333333333335</v>
      </c>
      <c r="H260" s="78">
        <f t="shared" si="12"/>
        <v>9.15</v>
      </c>
      <c r="I260" s="69">
        <f t="shared" si="13"/>
        <v>0</v>
      </c>
      <c r="J260" s="78">
        <f t="shared" si="14"/>
        <v>1.1500000000000004</v>
      </c>
      <c r="K260" s="57"/>
      <c r="L260" s="52" t="str">
        <f t="shared" si="15"/>
        <v>2026-04</v>
      </c>
    </row>
    <row r="261" spans="1:12" ht="22.15" customHeight="1" x14ac:dyDescent="0.2">
      <c r="A261" s="53">
        <v>257</v>
      </c>
      <c r="B261" s="53" t="s">
        <v>248</v>
      </c>
      <c r="C261" s="53" t="str">
        <f>IFERROR(VLOOKUP(B261,'👥 بيانات الموظفين'!B:C,2,0),"")</f>
        <v>لمى محمد البرقاوي</v>
      </c>
      <c r="D261" s="55">
        <f>DATEVALUE("2026-04-13")</f>
        <v>46125</v>
      </c>
      <c r="E261" s="53" t="s">
        <v>86</v>
      </c>
      <c r="F261" s="75">
        <f>TIMEVALUE("08:00")</f>
        <v>0.33333333333333331</v>
      </c>
      <c r="G261" s="75">
        <f>TIMEVALUE("17:17")</f>
        <v>0.72013888888888888</v>
      </c>
      <c r="H261" s="76">
        <f t="shared" ref="H261:H324" si="16">IFERROR(IF(AND(F261&lt;&gt;"",G261&lt;&gt;""),(G261-F261)*24,""),"")</f>
        <v>9.2833333333333332</v>
      </c>
      <c r="I261" s="68">
        <f t="shared" ref="I261:I324" si="17">IFERROR(IF(E261="متأخر",MAX(0,(F261-TIME(8,0,0))*1440),0),0)</f>
        <v>0</v>
      </c>
      <c r="J261" s="76">
        <f t="shared" ref="J261:J324" si="18">IFERROR(IF(AND(ISNUMBER(H261),H261&gt;WorkHoursDay),H261-WorkHoursDay,0),0)</f>
        <v>1.2833333333333332</v>
      </c>
      <c r="K261" s="53"/>
      <c r="L261" s="51" t="str">
        <f t="shared" ref="L261:L324" si="19">IF(D261&lt;&gt;"",TEXT(D261,"yyyy-mm"),"")</f>
        <v>2026-04</v>
      </c>
    </row>
    <row r="262" spans="1:12" ht="22.15" customHeight="1" x14ac:dyDescent="0.2">
      <c r="A262" s="57">
        <v>258</v>
      </c>
      <c r="B262" s="57" t="s">
        <v>248</v>
      </c>
      <c r="C262" s="57" t="str">
        <f>IFERROR(VLOOKUP(B262,'👥 بيانات الموظفين'!B:C,2,0),"")</f>
        <v>لمى محمد البرقاوي</v>
      </c>
      <c r="D262" s="59">
        <f>DATEVALUE("2026-04-14")</f>
        <v>46126</v>
      </c>
      <c r="E262" s="57" t="s">
        <v>86</v>
      </c>
      <c r="F262" s="77">
        <f>TIMEVALUE("08:03")</f>
        <v>0.33541666666666664</v>
      </c>
      <c r="G262" s="77">
        <f>TIMEVALUE("17:05")</f>
        <v>0.71180555555555558</v>
      </c>
      <c r="H262" s="78">
        <f t="shared" si="16"/>
        <v>9.033333333333335</v>
      </c>
      <c r="I262" s="69">
        <f t="shared" si="17"/>
        <v>0</v>
      </c>
      <c r="J262" s="78">
        <f t="shared" si="18"/>
        <v>1.033333333333335</v>
      </c>
      <c r="K262" s="57"/>
      <c r="L262" s="52" t="str">
        <f t="shared" si="19"/>
        <v>2026-04</v>
      </c>
    </row>
    <row r="263" spans="1:12" ht="22.15" customHeight="1" x14ac:dyDescent="0.2">
      <c r="A263" s="53">
        <v>259</v>
      </c>
      <c r="B263" s="53" t="s">
        <v>248</v>
      </c>
      <c r="C263" s="53" t="str">
        <f>IFERROR(VLOOKUP(B263,'👥 بيانات الموظفين'!B:C,2,0),"")</f>
        <v>لمى محمد البرقاوي</v>
      </c>
      <c r="D263" s="55">
        <f>DATEVALUE("2026-04-15")</f>
        <v>46127</v>
      </c>
      <c r="E263" s="53" t="s">
        <v>86</v>
      </c>
      <c r="F263" s="75">
        <f>TIMEVALUE("07:55")</f>
        <v>0.3298611111111111</v>
      </c>
      <c r="G263" s="75">
        <f>TIMEVALUE("17:14")</f>
        <v>0.71805555555555556</v>
      </c>
      <c r="H263" s="76">
        <f t="shared" si="16"/>
        <v>9.3166666666666664</v>
      </c>
      <c r="I263" s="68">
        <f t="shared" si="17"/>
        <v>0</v>
      </c>
      <c r="J263" s="76">
        <f t="shared" si="18"/>
        <v>1.3166666666666664</v>
      </c>
      <c r="K263" s="53"/>
      <c r="L263" s="51" t="str">
        <f t="shared" si="19"/>
        <v>2026-04</v>
      </c>
    </row>
    <row r="264" spans="1:12" ht="22.15" customHeight="1" x14ac:dyDescent="0.2">
      <c r="A264" s="57">
        <v>260</v>
      </c>
      <c r="B264" s="57" t="s">
        <v>248</v>
      </c>
      <c r="C264" s="57" t="str">
        <f>IFERROR(VLOOKUP(B264,'👥 بيانات الموظفين'!B:C,2,0),"")</f>
        <v>لمى محمد البرقاوي</v>
      </c>
      <c r="D264" s="59">
        <f>DATEVALUE("2026-04-16")</f>
        <v>46128</v>
      </c>
      <c r="E264" s="57" t="s">
        <v>86</v>
      </c>
      <c r="F264" s="77">
        <f>TIMEVALUE("07:53")</f>
        <v>0.32847222222222222</v>
      </c>
      <c r="G264" s="77">
        <f>TIMEVALUE("17:10")</f>
        <v>0.71527777777777779</v>
      </c>
      <c r="H264" s="78">
        <f t="shared" si="16"/>
        <v>9.2833333333333332</v>
      </c>
      <c r="I264" s="69">
        <f t="shared" si="17"/>
        <v>0</v>
      </c>
      <c r="J264" s="78">
        <f t="shared" si="18"/>
        <v>1.2833333333333332</v>
      </c>
      <c r="K264" s="57"/>
      <c r="L264" s="52" t="str">
        <f t="shared" si="19"/>
        <v>2026-04</v>
      </c>
    </row>
    <row r="265" spans="1:12" ht="22.15" customHeight="1" x14ac:dyDescent="0.2">
      <c r="A265" s="53">
        <v>261</v>
      </c>
      <c r="B265" s="53" t="s">
        <v>248</v>
      </c>
      <c r="C265" s="53" t="str">
        <f>IFERROR(VLOOKUP(B265,'👥 بيانات الموظفين'!B:C,2,0),"")</f>
        <v>لمى محمد البرقاوي</v>
      </c>
      <c r="D265" s="55">
        <f>DATEVALUE("2026-04-19")</f>
        <v>46131</v>
      </c>
      <c r="E265" s="53" t="s">
        <v>86</v>
      </c>
      <c r="F265" s="75">
        <f>TIMEVALUE("08:04")</f>
        <v>0.33611111111111114</v>
      </c>
      <c r="G265" s="75">
        <f>TIMEVALUE("17:07")</f>
        <v>0.71319444444444446</v>
      </c>
      <c r="H265" s="76">
        <f t="shared" si="16"/>
        <v>9.0500000000000007</v>
      </c>
      <c r="I265" s="68">
        <f t="shared" si="17"/>
        <v>0</v>
      </c>
      <c r="J265" s="76">
        <f t="shared" si="18"/>
        <v>1.0500000000000007</v>
      </c>
      <c r="K265" s="53"/>
      <c r="L265" s="51" t="str">
        <f t="shared" si="19"/>
        <v>2026-04</v>
      </c>
    </row>
    <row r="266" spans="1:12" ht="22.15" customHeight="1" x14ac:dyDescent="0.2">
      <c r="A266" s="57">
        <v>262</v>
      </c>
      <c r="B266" s="57" t="s">
        <v>248</v>
      </c>
      <c r="C266" s="57" t="str">
        <f>IFERROR(VLOOKUP(B266,'👥 بيانات الموظفين'!B:C,2,0),"")</f>
        <v>لمى محمد البرقاوي</v>
      </c>
      <c r="D266" s="59">
        <f>DATEVALUE("2026-04-20")</f>
        <v>46132</v>
      </c>
      <c r="E266" s="57" t="s">
        <v>86</v>
      </c>
      <c r="F266" s="77">
        <f>TIMEVALUE("08:05")</f>
        <v>0.33680555555555558</v>
      </c>
      <c r="G266" s="77">
        <f>TIMEVALUE("17:03")</f>
        <v>0.7104166666666667</v>
      </c>
      <c r="H266" s="78">
        <f t="shared" si="16"/>
        <v>8.9666666666666668</v>
      </c>
      <c r="I266" s="69">
        <f t="shared" si="17"/>
        <v>0</v>
      </c>
      <c r="J266" s="78">
        <f t="shared" si="18"/>
        <v>0.96666666666666679</v>
      </c>
      <c r="K266" s="57"/>
      <c r="L266" s="52" t="str">
        <f t="shared" si="19"/>
        <v>2026-04</v>
      </c>
    </row>
    <row r="267" spans="1:12" ht="22.15" customHeight="1" x14ac:dyDescent="0.2">
      <c r="A267" s="53">
        <v>263</v>
      </c>
      <c r="B267" s="53" t="s">
        <v>248</v>
      </c>
      <c r="C267" s="53" t="str">
        <f>IFERROR(VLOOKUP(B267,'👥 بيانات الموظفين'!B:C,2,0),"")</f>
        <v>لمى محمد البرقاوي</v>
      </c>
      <c r="D267" s="55">
        <f>DATEVALUE("2026-04-21")</f>
        <v>46133</v>
      </c>
      <c r="E267" s="53" t="s">
        <v>86</v>
      </c>
      <c r="F267" s="75">
        <f>TIMEVALUE("08:01")</f>
        <v>0.33402777777777776</v>
      </c>
      <c r="G267" s="75">
        <f>TIMEVALUE("17:09")</f>
        <v>0.71458333333333335</v>
      </c>
      <c r="H267" s="76">
        <f t="shared" si="16"/>
        <v>9.1333333333333346</v>
      </c>
      <c r="I267" s="68">
        <f t="shared" si="17"/>
        <v>0</v>
      </c>
      <c r="J267" s="76">
        <f t="shared" si="18"/>
        <v>1.1333333333333346</v>
      </c>
      <c r="K267" s="53"/>
      <c r="L267" s="51" t="str">
        <f t="shared" si="19"/>
        <v>2026-04</v>
      </c>
    </row>
    <row r="268" spans="1:12" ht="22.15" customHeight="1" x14ac:dyDescent="0.2">
      <c r="A268" s="57">
        <v>264</v>
      </c>
      <c r="B268" s="57" t="s">
        <v>248</v>
      </c>
      <c r="C268" s="57" t="str">
        <f>IFERROR(VLOOKUP(B268,'👥 بيانات الموظفين'!B:C,2,0),"")</f>
        <v>لمى محمد البرقاوي</v>
      </c>
      <c r="D268" s="59">
        <f>DATEVALUE("2026-04-22")</f>
        <v>46134</v>
      </c>
      <c r="E268" s="57" t="s">
        <v>86</v>
      </c>
      <c r="F268" s="77">
        <f>TIMEVALUE("07:60")</f>
        <v>0.33333333333333331</v>
      </c>
      <c r="G268" s="77">
        <f>TIMEVALUE("17:12")</f>
        <v>0.71666666666666667</v>
      </c>
      <c r="H268" s="78">
        <f t="shared" si="16"/>
        <v>9.2000000000000011</v>
      </c>
      <c r="I268" s="69">
        <f t="shared" si="17"/>
        <v>0</v>
      </c>
      <c r="J268" s="78">
        <f t="shared" si="18"/>
        <v>1.2000000000000011</v>
      </c>
      <c r="K268" s="57"/>
      <c r="L268" s="52" t="str">
        <f t="shared" si="19"/>
        <v>2026-04</v>
      </c>
    </row>
    <row r="269" spans="1:12" ht="22.15" customHeight="1" x14ac:dyDescent="0.2">
      <c r="A269" s="53">
        <v>265</v>
      </c>
      <c r="B269" s="53" t="s">
        <v>248</v>
      </c>
      <c r="C269" s="53" t="str">
        <f>IFERROR(VLOOKUP(B269,'👥 بيانات الموظفين'!B:C,2,0),"")</f>
        <v>لمى محمد البرقاوي</v>
      </c>
      <c r="D269" s="55">
        <f>DATEVALUE("2026-04-23")</f>
        <v>46135</v>
      </c>
      <c r="E269" s="53" t="s">
        <v>86</v>
      </c>
      <c r="F269" s="75">
        <f>TIMEVALUE("07:53")</f>
        <v>0.32847222222222222</v>
      </c>
      <c r="G269" s="75">
        <f>TIMEVALUE("17:04")</f>
        <v>0.71111111111111114</v>
      </c>
      <c r="H269" s="76">
        <f t="shared" si="16"/>
        <v>9.1833333333333336</v>
      </c>
      <c r="I269" s="68">
        <f t="shared" si="17"/>
        <v>0</v>
      </c>
      <c r="J269" s="76">
        <f t="shared" si="18"/>
        <v>1.1833333333333336</v>
      </c>
      <c r="K269" s="53"/>
      <c r="L269" s="51" t="str">
        <f t="shared" si="19"/>
        <v>2026-04</v>
      </c>
    </row>
    <row r="270" spans="1:12" ht="22.15" customHeight="1" x14ac:dyDescent="0.2">
      <c r="A270" s="57">
        <v>266</v>
      </c>
      <c r="B270" s="57" t="s">
        <v>248</v>
      </c>
      <c r="C270" s="57" t="str">
        <f>IFERROR(VLOOKUP(B270,'👥 بيانات الموظفين'!B:C,2,0),"")</f>
        <v>لمى محمد البرقاوي</v>
      </c>
      <c r="D270" s="59">
        <f>DATEVALUE("2026-04-26")</f>
        <v>46138</v>
      </c>
      <c r="E270" s="57" t="s">
        <v>86</v>
      </c>
      <c r="F270" s="77">
        <f>TIMEVALUE("07:54")</f>
        <v>0.32916666666666666</v>
      </c>
      <c r="G270" s="77">
        <f>TIMEVALUE("17:18")</f>
        <v>0.72083333333333333</v>
      </c>
      <c r="H270" s="78">
        <f t="shared" si="16"/>
        <v>9.4</v>
      </c>
      <c r="I270" s="69">
        <f t="shared" si="17"/>
        <v>0</v>
      </c>
      <c r="J270" s="78">
        <f t="shared" si="18"/>
        <v>1.4000000000000004</v>
      </c>
      <c r="K270" s="57"/>
      <c r="L270" s="52" t="str">
        <f t="shared" si="19"/>
        <v>2026-04</v>
      </c>
    </row>
    <row r="271" spans="1:12" ht="22.15" customHeight="1" x14ac:dyDescent="0.2">
      <c r="A271" s="53">
        <v>267</v>
      </c>
      <c r="B271" s="53" t="s">
        <v>248</v>
      </c>
      <c r="C271" s="53" t="str">
        <f>IFERROR(VLOOKUP(B271,'👥 بيانات الموظفين'!B:C,2,0),"")</f>
        <v>لمى محمد البرقاوي</v>
      </c>
      <c r="D271" s="55">
        <f>DATEVALUE("2026-04-27")</f>
        <v>46139</v>
      </c>
      <c r="E271" s="53" t="s">
        <v>86</v>
      </c>
      <c r="F271" s="75">
        <f>TIMEVALUE("08:05")</f>
        <v>0.33680555555555558</v>
      </c>
      <c r="G271" s="75">
        <f>TIMEVALUE("17:10")</f>
        <v>0.71527777777777779</v>
      </c>
      <c r="H271" s="76">
        <f t="shared" si="16"/>
        <v>9.0833333333333321</v>
      </c>
      <c r="I271" s="68">
        <f t="shared" si="17"/>
        <v>0</v>
      </c>
      <c r="J271" s="76">
        <f t="shared" si="18"/>
        <v>1.0833333333333321</v>
      </c>
      <c r="K271" s="53"/>
      <c r="L271" s="51" t="str">
        <f t="shared" si="19"/>
        <v>2026-04</v>
      </c>
    </row>
    <row r="272" spans="1:12" ht="22.15" customHeight="1" x14ac:dyDescent="0.2">
      <c r="A272" s="57">
        <v>268</v>
      </c>
      <c r="B272" s="57" t="s">
        <v>248</v>
      </c>
      <c r="C272" s="57" t="str">
        <f>IFERROR(VLOOKUP(B272,'👥 بيانات الموظفين'!B:C,2,0),"")</f>
        <v>لمى محمد البرقاوي</v>
      </c>
      <c r="D272" s="59">
        <f>DATEVALUE("2026-04-28")</f>
        <v>46140</v>
      </c>
      <c r="E272" s="57" t="s">
        <v>86</v>
      </c>
      <c r="F272" s="77">
        <f>TIMEVALUE("08:01")</f>
        <v>0.33402777777777776</v>
      </c>
      <c r="G272" s="77">
        <f>TIMEVALUE("17:03")</f>
        <v>0.7104166666666667</v>
      </c>
      <c r="H272" s="78">
        <f t="shared" si="16"/>
        <v>9.033333333333335</v>
      </c>
      <c r="I272" s="69">
        <f t="shared" si="17"/>
        <v>0</v>
      </c>
      <c r="J272" s="78">
        <f t="shared" si="18"/>
        <v>1.033333333333335</v>
      </c>
      <c r="K272" s="57"/>
      <c r="L272" s="52" t="str">
        <f t="shared" si="19"/>
        <v>2026-04</v>
      </c>
    </row>
    <row r="273" spans="1:12" ht="22.15" customHeight="1" x14ac:dyDescent="0.2">
      <c r="A273" s="53">
        <v>269</v>
      </c>
      <c r="B273" s="53" t="s">
        <v>248</v>
      </c>
      <c r="C273" s="53" t="str">
        <f>IFERROR(VLOOKUP(B273,'👥 بيانات الموظفين'!B:C,2,0),"")</f>
        <v>لمى محمد البرقاوي</v>
      </c>
      <c r="D273" s="55">
        <f>DATEVALUE("2026-04-29")</f>
        <v>46141</v>
      </c>
      <c r="E273" s="53" t="s">
        <v>86</v>
      </c>
      <c r="F273" s="75">
        <f>TIMEVALUE("07:53")</f>
        <v>0.32847222222222222</v>
      </c>
      <c r="G273" s="75">
        <f>TIMEVALUE("17:16")</f>
        <v>0.71944444444444444</v>
      </c>
      <c r="H273" s="76">
        <f t="shared" si="16"/>
        <v>9.3833333333333329</v>
      </c>
      <c r="I273" s="68">
        <f t="shared" si="17"/>
        <v>0</v>
      </c>
      <c r="J273" s="76">
        <f t="shared" si="18"/>
        <v>1.3833333333333329</v>
      </c>
      <c r="K273" s="53"/>
      <c r="L273" s="51" t="str">
        <f t="shared" si="19"/>
        <v>2026-04</v>
      </c>
    </row>
    <row r="274" spans="1:12" ht="22.15" customHeight="1" x14ac:dyDescent="0.2">
      <c r="A274" s="57">
        <v>270</v>
      </c>
      <c r="B274" s="57" t="s">
        <v>248</v>
      </c>
      <c r="C274" s="57" t="str">
        <f>IFERROR(VLOOKUP(B274,'👥 بيانات الموظفين'!B:C,2,0),"")</f>
        <v>لمى محمد البرقاوي</v>
      </c>
      <c r="D274" s="59">
        <f>DATEVALUE("2026-04-30")</f>
        <v>46142</v>
      </c>
      <c r="E274" s="57" t="s">
        <v>86</v>
      </c>
      <c r="F274" s="77">
        <f>TIMEVALUE("08:04")</f>
        <v>0.33611111111111114</v>
      </c>
      <c r="G274" s="77">
        <f>TIMEVALUE("17:14")</f>
        <v>0.71805555555555556</v>
      </c>
      <c r="H274" s="78">
        <f t="shared" si="16"/>
        <v>9.1666666666666661</v>
      </c>
      <c r="I274" s="69">
        <f t="shared" si="17"/>
        <v>0</v>
      </c>
      <c r="J274" s="78">
        <f t="shared" si="18"/>
        <v>1.1666666666666661</v>
      </c>
      <c r="K274" s="57"/>
      <c r="L274" s="52" t="str">
        <f t="shared" si="19"/>
        <v>2026-04</v>
      </c>
    </row>
    <row r="275" spans="1:12" ht="22.15" customHeight="1" x14ac:dyDescent="0.2">
      <c r="A275" s="53">
        <v>271</v>
      </c>
      <c r="B275" s="53" t="s">
        <v>249</v>
      </c>
      <c r="C275" s="53" t="str">
        <f>IFERROR(VLOOKUP(B275,'👥 بيانات الموظفين'!B:C,2,0),"")</f>
        <v>Maria Garcia Lopez</v>
      </c>
      <c r="D275" s="55">
        <f>DATEVALUE("2026-04-12")</f>
        <v>46124</v>
      </c>
      <c r="E275" s="53" t="s">
        <v>86</v>
      </c>
      <c r="F275" s="75">
        <f>TIMEVALUE("08:00")</f>
        <v>0.33333333333333331</v>
      </c>
      <c r="G275" s="75">
        <f>TIMEVALUE("17:16")</f>
        <v>0.71944444444444444</v>
      </c>
      <c r="H275" s="76">
        <f t="shared" si="16"/>
        <v>9.2666666666666675</v>
      </c>
      <c r="I275" s="68">
        <f t="shared" si="17"/>
        <v>0</v>
      </c>
      <c r="J275" s="76">
        <f t="shared" si="18"/>
        <v>1.2666666666666675</v>
      </c>
      <c r="K275" s="53"/>
      <c r="L275" s="51" t="str">
        <f t="shared" si="19"/>
        <v>2026-04</v>
      </c>
    </row>
    <row r="276" spans="1:12" ht="22.15" customHeight="1" x14ac:dyDescent="0.2">
      <c r="A276" s="57">
        <v>272</v>
      </c>
      <c r="B276" s="57" t="s">
        <v>249</v>
      </c>
      <c r="C276" s="57" t="str">
        <f>IFERROR(VLOOKUP(B276,'👥 بيانات الموظفين'!B:C,2,0),"")</f>
        <v>Maria Garcia Lopez</v>
      </c>
      <c r="D276" s="59">
        <f>DATEVALUE("2026-04-13")</f>
        <v>46125</v>
      </c>
      <c r="E276" s="57" t="s">
        <v>87</v>
      </c>
      <c r="F276" s="77">
        <f>TIMEVALUE("08:15")</f>
        <v>0.34375</v>
      </c>
      <c r="G276" s="77">
        <f>TIMEVALUE("17:00")</f>
        <v>0.70833333333333337</v>
      </c>
      <c r="H276" s="78">
        <f t="shared" si="16"/>
        <v>8.75</v>
      </c>
      <c r="I276" s="69">
        <f t="shared" si="17"/>
        <v>15.000000000000027</v>
      </c>
      <c r="J276" s="78">
        <f t="shared" si="18"/>
        <v>0.75</v>
      </c>
      <c r="K276" s="57"/>
      <c r="L276" s="52" t="str">
        <f t="shared" si="19"/>
        <v>2026-04</v>
      </c>
    </row>
    <row r="277" spans="1:12" ht="22.15" customHeight="1" x14ac:dyDescent="0.2">
      <c r="A277" s="53">
        <v>273</v>
      </c>
      <c r="B277" s="53" t="s">
        <v>249</v>
      </c>
      <c r="C277" s="53" t="str">
        <f>IFERROR(VLOOKUP(B277,'👥 بيانات الموظفين'!B:C,2,0),"")</f>
        <v>Maria Garcia Lopez</v>
      </c>
      <c r="D277" s="55">
        <f>DATEVALUE("2026-04-14")</f>
        <v>46126</v>
      </c>
      <c r="E277" s="53" t="s">
        <v>87</v>
      </c>
      <c r="F277" s="75">
        <f>TIMEVALUE("08:17")</f>
        <v>0.34513888888888888</v>
      </c>
      <c r="G277" s="75">
        <f>TIMEVALUE("17:00")</f>
        <v>0.70833333333333337</v>
      </c>
      <c r="H277" s="76">
        <f t="shared" si="16"/>
        <v>8.7166666666666686</v>
      </c>
      <c r="I277" s="68">
        <f t="shared" si="17"/>
        <v>17.000000000000021</v>
      </c>
      <c r="J277" s="76">
        <f t="shared" si="18"/>
        <v>0.71666666666666856</v>
      </c>
      <c r="K277" s="53"/>
      <c r="L277" s="51" t="str">
        <f t="shared" si="19"/>
        <v>2026-04</v>
      </c>
    </row>
    <row r="278" spans="1:12" ht="22.15" customHeight="1" x14ac:dyDescent="0.2">
      <c r="A278" s="57">
        <v>274</v>
      </c>
      <c r="B278" s="57" t="s">
        <v>249</v>
      </c>
      <c r="C278" s="57" t="str">
        <f>IFERROR(VLOOKUP(B278,'👥 بيانات الموظفين'!B:C,2,0),"")</f>
        <v>Maria Garcia Lopez</v>
      </c>
      <c r="D278" s="59">
        <f>DATEVALUE("2026-04-15")</f>
        <v>46127</v>
      </c>
      <c r="E278" s="57" t="s">
        <v>86</v>
      </c>
      <c r="F278" s="77">
        <f>TIMEVALUE("08:06")</f>
        <v>0.33750000000000002</v>
      </c>
      <c r="G278" s="77">
        <f>TIMEVALUE("17:11")</f>
        <v>0.71597222222222223</v>
      </c>
      <c r="H278" s="78">
        <f t="shared" si="16"/>
        <v>9.0833333333333321</v>
      </c>
      <c r="I278" s="69">
        <f t="shared" si="17"/>
        <v>0</v>
      </c>
      <c r="J278" s="78">
        <f t="shared" si="18"/>
        <v>1.0833333333333321</v>
      </c>
      <c r="K278" s="57"/>
      <c r="L278" s="52" t="str">
        <f t="shared" si="19"/>
        <v>2026-04</v>
      </c>
    </row>
    <row r="279" spans="1:12" ht="22.15" customHeight="1" x14ac:dyDescent="0.2">
      <c r="A279" s="53">
        <v>275</v>
      </c>
      <c r="B279" s="53" t="s">
        <v>249</v>
      </c>
      <c r="C279" s="53" t="str">
        <f>IFERROR(VLOOKUP(B279,'👥 بيانات الموظفين'!B:C,2,0),"")</f>
        <v>Maria Garcia Lopez</v>
      </c>
      <c r="D279" s="55">
        <f>DATEVALUE("2026-04-16")</f>
        <v>46128</v>
      </c>
      <c r="E279" s="53" t="s">
        <v>86</v>
      </c>
      <c r="F279" s="75">
        <f>TIMEVALUE("07:59")</f>
        <v>0.33263888888888887</v>
      </c>
      <c r="G279" s="75">
        <f>TIMEVALUE("17:14")</f>
        <v>0.71805555555555556</v>
      </c>
      <c r="H279" s="76">
        <f t="shared" si="16"/>
        <v>9.25</v>
      </c>
      <c r="I279" s="68">
        <f t="shared" si="17"/>
        <v>0</v>
      </c>
      <c r="J279" s="76">
        <f t="shared" si="18"/>
        <v>1.25</v>
      </c>
      <c r="K279" s="53"/>
      <c r="L279" s="51" t="str">
        <f t="shared" si="19"/>
        <v>2026-04</v>
      </c>
    </row>
    <row r="280" spans="1:12" ht="22.15" customHeight="1" x14ac:dyDescent="0.2">
      <c r="A280" s="57">
        <v>276</v>
      </c>
      <c r="B280" s="57" t="s">
        <v>249</v>
      </c>
      <c r="C280" s="57" t="str">
        <f>IFERROR(VLOOKUP(B280,'👥 بيانات الموظفين'!B:C,2,0),"")</f>
        <v>Maria Garcia Lopez</v>
      </c>
      <c r="D280" s="59">
        <f>DATEVALUE("2026-04-19")</f>
        <v>46131</v>
      </c>
      <c r="E280" s="57" t="s">
        <v>86</v>
      </c>
      <c r="F280" s="77">
        <f>TIMEVALUE("08:03")</f>
        <v>0.33541666666666664</v>
      </c>
      <c r="G280" s="77">
        <f>TIMEVALUE("17:00")</f>
        <v>0.70833333333333337</v>
      </c>
      <c r="H280" s="78">
        <f t="shared" si="16"/>
        <v>8.9500000000000011</v>
      </c>
      <c r="I280" s="69">
        <f t="shared" si="17"/>
        <v>0</v>
      </c>
      <c r="J280" s="78">
        <f t="shared" si="18"/>
        <v>0.95000000000000107</v>
      </c>
      <c r="K280" s="57"/>
      <c r="L280" s="52" t="str">
        <f t="shared" si="19"/>
        <v>2026-04</v>
      </c>
    </row>
    <row r="281" spans="1:12" ht="22.15" customHeight="1" x14ac:dyDescent="0.2">
      <c r="A281" s="53">
        <v>277</v>
      </c>
      <c r="B281" s="53" t="s">
        <v>249</v>
      </c>
      <c r="C281" s="53" t="str">
        <f>IFERROR(VLOOKUP(B281,'👥 بيانات الموظفين'!B:C,2,0),"")</f>
        <v>Maria Garcia Lopez</v>
      </c>
      <c r="D281" s="55">
        <f>DATEVALUE("2026-04-20")</f>
        <v>46132</v>
      </c>
      <c r="E281" s="53" t="s">
        <v>86</v>
      </c>
      <c r="F281" s="75">
        <f>TIMEVALUE("07:57")</f>
        <v>0.33124999999999999</v>
      </c>
      <c r="G281" s="75">
        <f>TIMEVALUE("17:17")</f>
        <v>0.72013888888888888</v>
      </c>
      <c r="H281" s="76">
        <f t="shared" si="16"/>
        <v>9.3333333333333339</v>
      </c>
      <c r="I281" s="68">
        <f t="shared" si="17"/>
        <v>0</v>
      </c>
      <c r="J281" s="76">
        <f t="shared" si="18"/>
        <v>1.3333333333333339</v>
      </c>
      <c r="K281" s="53"/>
      <c r="L281" s="51" t="str">
        <f t="shared" si="19"/>
        <v>2026-04</v>
      </c>
    </row>
    <row r="282" spans="1:12" ht="22.15" customHeight="1" x14ac:dyDescent="0.2">
      <c r="A282" s="57">
        <v>278</v>
      </c>
      <c r="B282" s="57" t="s">
        <v>249</v>
      </c>
      <c r="C282" s="57" t="str">
        <f>IFERROR(VLOOKUP(B282,'👥 بيانات الموظفين'!B:C,2,0),"")</f>
        <v>Maria Garcia Lopez</v>
      </c>
      <c r="D282" s="59">
        <f>DATEVALUE("2026-04-21")</f>
        <v>46133</v>
      </c>
      <c r="E282" s="57" t="s">
        <v>86</v>
      </c>
      <c r="F282" s="77">
        <f>TIMEVALUE("08:04")</f>
        <v>0.33611111111111114</v>
      </c>
      <c r="G282" s="77">
        <f>TIMEVALUE("17:07")</f>
        <v>0.71319444444444446</v>
      </c>
      <c r="H282" s="78">
        <f t="shared" si="16"/>
        <v>9.0500000000000007</v>
      </c>
      <c r="I282" s="69">
        <f t="shared" si="17"/>
        <v>0</v>
      </c>
      <c r="J282" s="78">
        <f t="shared" si="18"/>
        <v>1.0500000000000007</v>
      </c>
      <c r="K282" s="57"/>
      <c r="L282" s="52" t="str">
        <f t="shared" si="19"/>
        <v>2026-04</v>
      </c>
    </row>
    <row r="283" spans="1:12" ht="22.15" customHeight="1" x14ac:dyDescent="0.2">
      <c r="A283" s="53">
        <v>279</v>
      </c>
      <c r="B283" s="53" t="s">
        <v>249</v>
      </c>
      <c r="C283" s="53" t="str">
        <f>IFERROR(VLOOKUP(B283,'👥 بيانات الموظفين'!B:C,2,0),"")</f>
        <v>Maria Garcia Lopez</v>
      </c>
      <c r="D283" s="55">
        <f>DATEVALUE("2026-04-22")</f>
        <v>46134</v>
      </c>
      <c r="E283" s="53" t="s">
        <v>179</v>
      </c>
      <c r="F283" s="75"/>
      <c r="G283" s="75"/>
      <c r="H283" s="76" t="str">
        <f t="shared" si="16"/>
        <v/>
      </c>
      <c r="I283" s="68">
        <f t="shared" si="17"/>
        <v>0</v>
      </c>
      <c r="J283" s="76">
        <f t="shared" si="18"/>
        <v>0</v>
      </c>
      <c r="K283" s="53" t="s">
        <v>397</v>
      </c>
      <c r="L283" s="51" t="str">
        <f t="shared" si="19"/>
        <v>2026-04</v>
      </c>
    </row>
    <row r="284" spans="1:12" ht="22.15" customHeight="1" x14ac:dyDescent="0.2">
      <c r="A284" s="57">
        <v>280</v>
      </c>
      <c r="B284" s="57" t="s">
        <v>249</v>
      </c>
      <c r="C284" s="57" t="str">
        <f>IFERROR(VLOOKUP(B284,'👥 بيانات الموظفين'!B:C,2,0),"")</f>
        <v>Maria Garcia Lopez</v>
      </c>
      <c r="D284" s="59">
        <f>DATEVALUE("2026-04-23")</f>
        <v>46135</v>
      </c>
      <c r="E284" s="57" t="s">
        <v>179</v>
      </c>
      <c r="F284" s="77"/>
      <c r="G284" s="77"/>
      <c r="H284" s="78" t="str">
        <f t="shared" si="16"/>
        <v/>
      </c>
      <c r="I284" s="69">
        <f t="shared" si="17"/>
        <v>0</v>
      </c>
      <c r="J284" s="78">
        <f t="shared" si="18"/>
        <v>0</v>
      </c>
      <c r="K284" s="57" t="s">
        <v>397</v>
      </c>
      <c r="L284" s="52" t="str">
        <f t="shared" si="19"/>
        <v>2026-04</v>
      </c>
    </row>
    <row r="285" spans="1:12" ht="22.15" customHeight="1" x14ac:dyDescent="0.2">
      <c r="A285" s="53">
        <v>281</v>
      </c>
      <c r="B285" s="53" t="s">
        <v>249</v>
      </c>
      <c r="C285" s="53" t="str">
        <f>IFERROR(VLOOKUP(B285,'👥 بيانات الموظفين'!B:C,2,0),"")</f>
        <v>Maria Garcia Lopez</v>
      </c>
      <c r="D285" s="55">
        <f>DATEVALUE("2026-04-26")</f>
        <v>46138</v>
      </c>
      <c r="E285" s="53" t="s">
        <v>179</v>
      </c>
      <c r="F285" s="75"/>
      <c r="G285" s="75"/>
      <c r="H285" s="76" t="str">
        <f t="shared" si="16"/>
        <v/>
      </c>
      <c r="I285" s="68">
        <f t="shared" si="17"/>
        <v>0</v>
      </c>
      <c r="J285" s="76">
        <f t="shared" si="18"/>
        <v>0</v>
      </c>
      <c r="K285" s="53" t="s">
        <v>397</v>
      </c>
      <c r="L285" s="51" t="str">
        <f t="shared" si="19"/>
        <v>2026-04</v>
      </c>
    </row>
    <row r="286" spans="1:12" ht="22.15" customHeight="1" x14ac:dyDescent="0.2">
      <c r="A286" s="57">
        <v>282</v>
      </c>
      <c r="B286" s="57" t="s">
        <v>249</v>
      </c>
      <c r="C286" s="57" t="str">
        <f>IFERROR(VLOOKUP(B286,'👥 بيانات الموظفين'!B:C,2,0),"")</f>
        <v>Maria Garcia Lopez</v>
      </c>
      <c r="D286" s="59">
        <f>DATEVALUE("2026-04-27")</f>
        <v>46139</v>
      </c>
      <c r="E286" s="57" t="s">
        <v>179</v>
      </c>
      <c r="F286" s="77"/>
      <c r="G286" s="77"/>
      <c r="H286" s="78" t="str">
        <f t="shared" si="16"/>
        <v/>
      </c>
      <c r="I286" s="69">
        <f t="shared" si="17"/>
        <v>0</v>
      </c>
      <c r="J286" s="78">
        <f t="shared" si="18"/>
        <v>0</v>
      </c>
      <c r="K286" s="57" t="s">
        <v>397</v>
      </c>
      <c r="L286" s="52" t="str">
        <f t="shared" si="19"/>
        <v>2026-04</v>
      </c>
    </row>
    <row r="287" spans="1:12" ht="22.15" customHeight="1" x14ac:dyDescent="0.2">
      <c r="A287" s="53">
        <v>283</v>
      </c>
      <c r="B287" s="53" t="s">
        <v>249</v>
      </c>
      <c r="C287" s="53" t="str">
        <f>IFERROR(VLOOKUP(B287,'👥 بيانات الموظفين'!B:C,2,0),"")</f>
        <v>Maria Garcia Lopez</v>
      </c>
      <c r="D287" s="55">
        <f>DATEVALUE("2026-04-28")</f>
        <v>46140</v>
      </c>
      <c r="E287" s="53" t="s">
        <v>179</v>
      </c>
      <c r="F287" s="75"/>
      <c r="G287" s="75"/>
      <c r="H287" s="76" t="str">
        <f t="shared" si="16"/>
        <v/>
      </c>
      <c r="I287" s="68">
        <f t="shared" si="17"/>
        <v>0</v>
      </c>
      <c r="J287" s="76">
        <f t="shared" si="18"/>
        <v>0</v>
      </c>
      <c r="K287" s="53" t="s">
        <v>397</v>
      </c>
      <c r="L287" s="51" t="str">
        <f t="shared" si="19"/>
        <v>2026-04</v>
      </c>
    </row>
    <row r="288" spans="1:12" ht="22.15" customHeight="1" x14ac:dyDescent="0.2">
      <c r="A288" s="57">
        <v>284</v>
      </c>
      <c r="B288" s="57" t="s">
        <v>249</v>
      </c>
      <c r="C288" s="57" t="str">
        <f>IFERROR(VLOOKUP(B288,'👥 بيانات الموظفين'!B:C,2,0),"")</f>
        <v>Maria Garcia Lopez</v>
      </c>
      <c r="D288" s="59">
        <f>DATEVALUE("2026-04-29")</f>
        <v>46141</v>
      </c>
      <c r="E288" s="57" t="s">
        <v>179</v>
      </c>
      <c r="F288" s="77"/>
      <c r="G288" s="77"/>
      <c r="H288" s="78" t="str">
        <f t="shared" si="16"/>
        <v/>
      </c>
      <c r="I288" s="69">
        <f t="shared" si="17"/>
        <v>0</v>
      </c>
      <c r="J288" s="78">
        <f t="shared" si="18"/>
        <v>0</v>
      </c>
      <c r="K288" s="57" t="s">
        <v>397</v>
      </c>
      <c r="L288" s="52" t="str">
        <f t="shared" si="19"/>
        <v>2026-04</v>
      </c>
    </row>
    <row r="289" spans="1:12" ht="22.15" customHeight="1" x14ac:dyDescent="0.2">
      <c r="A289" s="53">
        <v>285</v>
      </c>
      <c r="B289" s="53" t="s">
        <v>249</v>
      </c>
      <c r="C289" s="53" t="str">
        <f>IFERROR(VLOOKUP(B289,'👥 بيانات الموظفين'!B:C,2,0),"")</f>
        <v>Maria Garcia Lopez</v>
      </c>
      <c r="D289" s="55">
        <f>DATEVALUE("2026-04-30")</f>
        <v>46142</v>
      </c>
      <c r="E289" s="53" t="s">
        <v>179</v>
      </c>
      <c r="F289" s="75"/>
      <c r="G289" s="75"/>
      <c r="H289" s="76" t="str">
        <f t="shared" si="16"/>
        <v/>
      </c>
      <c r="I289" s="68">
        <f t="shared" si="17"/>
        <v>0</v>
      </c>
      <c r="J289" s="76">
        <f t="shared" si="18"/>
        <v>0</v>
      </c>
      <c r="K289" s="53" t="s">
        <v>397</v>
      </c>
      <c r="L289" s="51" t="str">
        <f t="shared" si="19"/>
        <v>2026-04</v>
      </c>
    </row>
    <row r="290" spans="1:12" ht="22.15" customHeight="1" x14ac:dyDescent="0.2">
      <c r="A290" s="57">
        <v>286</v>
      </c>
      <c r="B290" s="57" t="s">
        <v>250</v>
      </c>
      <c r="C290" s="57" t="str">
        <f>IFERROR(VLOOKUP(B290,'👥 بيانات الموظفين'!B:C,2,0),"")</f>
        <v>حنان عبدالكريم الخميس</v>
      </c>
      <c r="D290" s="59">
        <f>DATEVALUE("2026-04-12")</f>
        <v>46124</v>
      </c>
      <c r="E290" s="57" t="s">
        <v>86</v>
      </c>
      <c r="F290" s="77">
        <f>TIMEVALUE("08:02")</f>
        <v>0.3347222222222222</v>
      </c>
      <c r="G290" s="77">
        <f>TIMEVALUE("17:08")</f>
        <v>0.71388888888888891</v>
      </c>
      <c r="H290" s="78">
        <f t="shared" si="16"/>
        <v>9.1000000000000014</v>
      </c>
      <c r="I290" s="69">
        <f t="shared" si="17"/>
        <v>0</v>
      </c>
      <c r="J290" s="78">
        <f t="shared" si="18"/>
        <v>1.1000000000000014</v>
      </c>
      <c r="K290" s="57"/>
      <c r="L290" s="52" t="str">
        <f t="shared" si="19"/>
        <v>2026-04</v>
      </c>
    </row>
    <row r="291" spans="1:12" ht="22.15" customHeight="1" x14ac:dyDescent="0.2">
      <c r="A291" s="53">
        <v>287</v>
      </c>
      <c r="B291" s="53" t="s">
        <v>250</v>
      </c>
      <c r="C291" s="53" t="str">
        <f>IFERROR(VLOOKUP(B291,'👥 بيانات الموظفين'!B:C,2,0),"")</f>
        <v>حنان عبدالكريم الخميس</v>
      </c>
      <c r="D291" s="55">
        <f>DATEVALUE("2026-04-13")</f>
        <v>46125</v>
      </c>
      <c r="E291" s="53" t="s">
        <v>86</v>
      </c>
      <c r="F291" s="75">
        <f>TIMEVALUE("08:06")</f>
        <v>0.33750000000000002</v>
      </c>
      <c r="G291" s="75">
        <f>TIMEVALUE("17:09")</f>
        <v>0.71458333333333335</v>
      </c>
      <c r="H291" s="76">
        <f t="shared" si="16"/>
        <v>9.0500000000000007</v>
      </c>
      <c r="I291" s="68">
        <f t="shared" si="17"/>
        <v>0</v>
      </c>
      <c r="J291" s="76">
        <f t="shared" si="18"/>
        <v>1.0500000000000007</v>
      </c>
      <c r="K291" s="53"/>
      <c r="L291" s="51" t="str">
        <f t="shared" si="19"/>
        <v>2026-04</v>
      </c>
    </row>
    <row r="292" spans="1:12" ht="22.15" customHeight="1" x14ac:dyDescent="0.2">
      <c r="A292" s="57">
        <v>288</v>
      </c>
      <c r="B292" s="57" t="s">
        <v>250</v>
      </c>
      <c r="C292" s="57" t="str">
        <f>IFERROR(VLOOKUP(B292,'👥 بيانات الموظفين'!B:C,2,0),"")</f>
        <v>حنان عبدالكريم الخميس</v>
      </c>
      <c r="D292" s="59">
        <f>DATEVALUE("2026-04-14")</f>
        <v>46126</v>
      </c>
      <c r="E292" s="57" t="s">
        <v>86</v>
      </c>
      <c r="F292" s="77">
        <f>TIMEVALUE("08:03")</f>
        <v>0.33541666666666664</v>
      </c>
      <c r="G292" s="77">
        <f>TIMEVALUE("17:08")</f>
        <v>0.71388888888888891</v>
      </c>
      <c r="H292" s="78">
        <f t="shared" si="16"/>
        <v>9.0833333333333339</v>
      </c>
      <c r="I292" s="69">
        <f t="shared" si="17"/>
        <v>0</v>
      </c>
      <c r="J292" s="78">
        <f t="shared" si="18"/>
        <v>1.0833333333333339</v>
      </c>
      <c r="K292" s="57"/>
      <c r="L292" s="52" t="str">
        <f t="shared" si="19"/>
        <v>2026-04</v>
      </c>
    </row>
    <row r="293" spans="1:12" ht="22.15" customHeight="1" x14ac:dyDescent="0.2">
      <c r="A293" s="53">
        <v>289</v>
      </c>
      <c r="B293" s="53" t="s">
        <v>250</v>
      </c>
      <c r="C293" s="53" t="str">
        <f>IFERROR(VLOOKUP(B293,'👥 بيانات الموظفين'!B:C,2,0),"")</f>
        <v>حنان عبدالكريم الخميس</v>
      </c>
      <c r="D293" s="55">
        <f>DATEVALUE("2026-04-15")</f>
        <v>46127</v>
      </c>
      <c r="E293" s="53" t="s">
        <v>86</v>
      </c>
      <c r="F293" s="75">
        <f>TIMEVALUE("07:55")</f>
        <v>0.3298611111111111</v>
      </c>
      <c r="G293" s="75">
        <f>TIMEVALUE("17:02")</f>
        <v>0.70972222222222225</v>
      </c>
      <c r="H293" s="76">
        <f t="shared" si="16"/>
        <v>9.1166666666666671</v>
      </c>
      <c r="I293" s="68">
        <f t="shared" si="17"/>
        <v>0</v>
      </c>
      <c r="J293" s="76">
        <f t="shared" si="18"/>
        <v>1.1166666666666671</v>
      </c>
      <c r="K293" s="53"/>
      <c r="L293" s="51" t="str">
        <f t="shared" si="19"/>
        <v>2026-04</v>
      </c>
    </row>
    <row r="294" spans="1:12" ht="22.15" customHeight="1" x14ac:dyDescent="0.2">
      <c r="A294" s="57">
        <v>290</v>
      </c>
      <c r="B294" s="57" t="s">
        <v>250</v>
      </c>
      <c r="C294" s="57" t="str">
        <f>IFERROR(VLOOKUP(B294,'👥 بيانات الموظفين'!B:C,2,0),"")</f>
        <v>حنان عبدالكريم الخميس</v>
      </c>
      <c r="D294" s="59">
        <f>DATEVALUE("2026-04-16")</f>
        <v>46128</v>
      </c>
      <c r="E294" s="57" t="s">
        <v>86</v>
      </c>
      <c r="F294" s="77">
        <f>TIMEVALUE("07:57")</f>
        <v>0.33124999999999999</v>
      </c>
      <c r="G294" s="77">
        <f>TIMEVALUE("17:09")</f>
        <v>0.71458333333333335</v>
      </c>
      <c r="H294" s="78">
        <f t="shared" si="16"/>
        <v>9.2000000000000011</v>
      </c>
      <c r="I294" s="69">
        <f t="shared" si="17"/>
        <v>0</v>
      </c>
      <c r="J294" s="78">
        <f t="shared" si="18"/>
        <v>1.2000000000000011</v>
      </c>
      <c r="K294" s="57"/>
      <c r="L294" s="52" t="str">
        <f t="shared" si="19"/>
        <v>2026-04</v>
      </c>
    </row>
    <row r="295" spans="1:12" ht="22.15" customHeight="1" x14ac:dyDescent="0.2">
      <c r="A295" s="53">
        <v>291</v>
      </c>
      <c r="B295" s="53" t="s">
        <v>250</v>
      </c>
      <c r="C295" s="53" t="str">
        <f>IFERROR(VLOOKUP(B295,'👥 بيانات الموظفين'!B:C,2,0),"")</f>
        <v>حنان عبدالكريم الخميس</v>
      </c>
      <c r="D295" s="55">
        <f>DATEVALUE("2026-04-19")</f>
        <v>46131</v>
      </c>
      <c r="E295" s="53" t="s">
        <v>86</v>
      </c>
      <c r="F295" s="75">
        <f>TIMEVALUE("07:54")</f>
        <v>0.32916666666666666</v>
      </c>
      <c r="G295" s="75">
        <f>TIMEVALUE("17:00")</f>
        <v>0.70833333333333337</v>
      </c>
      <c r="H295" s="76">
        <f t="shared" si="16"/>
        <v>9.1000000000000014</v>
      </c>
      <c r="I295" s="68">
        <f t="shared" si="17"/>
        <v>0</v>
      </c>
      <c r="J295" s="76">
        <f t="shared" si="18"/>
        <v>1.1000000000000014</v>
      </c>
      <c r="K295" s="53"/>
      <c r="L295" s="51" t="str">
        <f t="shared" si="19"/>
        <v>2026-04</v>
      </c>
    </row>
    <row r="296" spans="1:12" ht="22.15" customHeight="1" x14ac:dyDescent="0.2">
      <c r="A296" s="57">
        <v>292</v>
      </c>
      <c r="B296" s="57" t="s">
        <v>250</v>
      </c>
      <c r="C296" s="57" t="str">
        <f>IFERROR(VLOOKUP(B296,'👥 بيانات الموظفين'!B:C,2,0),"")</f>
        <v>حنان عبدالكريم الخميس</v>
      </c>
      <c r="D296" s="59">
        <f>DATEVALUE("2026-04-20")</f>
        <v>46132</v>
      </c>
      <c r="E296" s="57" t="s">
        <v>86</v>
      </c>
      <c r="F296" s="77">
        <f>TIMEVALUE("08:04")</f>
        <v>0.33611111111111114</v>
      </c>
      <c r="G296" s="77">
        <f>TIMEVALUE("17:02")</f>
        <v>0.70972222222222225</v>
      </c>
      <c r="H296" s="78">
        <f t="shared" si="16"/>
        <v>8.9666666666666668</v>
      </c>
      <c r="I296" s="69">
        <f t="shared" si="17"/>
        <v>0</v>
      </c>
      <c r="J296" s="78">
        <f t="shared" si="18"/>
        <v>0.96666666666666679</v>
      </c>
      <c r="K296" s="57"/>
      <c r="L296" s="52" t="str">
        <f t="shared" si="19"/>
        <v>2026-04</v>
      </c>
    </row>
    <row r="297" spans="1:12" ht="22.15" customHeight="1" x14ac:dyDescent="0.2">
      <c r="A297" s="53">
        <v>293</v>
      </c>
      <c r="B297" s="53" t="s">
        <v>250</v>
      </c>
      <c r="C297" s="53" t="str">
        <f>IFERROR(VLOOKUP(B297,'👥 بيانات الموظفين'!B:C,2,0),"")</f>
        <v>حنان عبدالكريم الخميس</v>
      </c>
      <c r="D297" s="55">
        <f>DATEVALUE("2026-04-21")</f>
        <v>46133</v>
      </c>
      <c r="E297" s="53" t="s">
        <v>87</v>
      </c>
      <c r="F297" s="75">
        <f>TIMEVALUE("08:17")</f>
        <v>0.34513888888888888</v>
      </c>
      <c r="G297" s="75">
        <f>TIMEVALUE("17:00")</f>
        <v>0.70833333333333337</v>
      </c>
      <c r="H297" s="76">
        <f t="shared" si="16"/>
        <v>8.7166666666666686</v>
      </c>
      <c r="I297" s="68">
        <f t="shared" si="17"/>
        <v>17.000000000000021</v>
      </c>
      <c r="J297" s="76">
        <f t="shared" si="18"/>
        <v>0.71666666666666856</v>
      </c>
      <c r="K297" s="53"/>
      <c r="L297" s="51" t="str">
        <f t="shared" si="19"/>
        <v>2026-04</v>
      </c>
    </row>
    <row r="298" spans="1:12" ht="22.15" customHeight="1" x14ac:dyDescent="0.2">
      <c r="A298" s="57">
        <v>294</v>
      </c>
      <c r="B298" s="57" t="s">
        <v>250</v>
      </c>
      <c r="C298" s="57" t="str">
        <f>IFERROR(VLOOKUP(B298,'👥 بيانات الموظفين'!B:C,2,0),"")</f>
        <v>حنان عبدالكريم الخميس</v>
      </c>
      <c r="D298" s="59">
        <f>DATEVALUE("2026-04-22")</f>
        <v>46134</v>
      </c>
      <c r="E298" s="57" t="s">
        <v>86</v>
      </c>
      <c r="F298" s="77">
        <f>TIMEVALUE("08:05")</f>
        <v>0.33680555555555558</v>
      </c>
      <c r="G298" s="77">
        <f>TIMEVALUE("17:01")</f>
        <v>0.70902777777777781</v>
      </c>
      <c r="H298" s="78">
        <f t="shared" si="16"/>
        <v>8.9333333333333336</v>
      </c>
      <c r="I298" s="69">
        <f t="shared" si="17"/>
        <v>0</v>
      </c>
      <c r="J298" s="78">
        <f t="shared" si="18"/>
        <v>0.93333333333333357</v>
      </c>
      <c r="K298" s="57"/>
      <c r="L298" s="52" t="str">
        <f t="shared" si="19"/>
        <v>2026-04</v>
      </c>
    </row>
    <row r="299" spans="1:12" ht="22.15" customHeight="1" x14ac:dyDescent="0.2">
      <c r="A299" s="53">
        <v>295</v>
      </c>
      <c r="B299" s="53" t="s">
        <v>250</v>
      </c>
      <c r="C299" s="53" t="str">
        <f>IFERROR(VLOOKUP(B299,'👥 بيانات الموظفين'!B:C,2,0),"")</f>
        <v>حنان عبدالكريم الخميس</v>
      </c>
      <c r="D299" s="55">
        <f>DATEVALUE("2026-04-23")</f>
        <v>46135</v>
      </c>
      <c r="E299" s="53" t="s">
        <v>86</v>
      </c>
      <c r="F299" s="75">
        <f>TIMEVALUE("08:04")</f>
        <v>0.33611111111111114</v>
      </c>
      <c r="G299" s="75">
        <f>TIMEVALUE("17:00")</f>
        <v>0.70833333333333337</v>
      </c>
      <c r="H299" s="76">
        <f t="shared" si="16"/>
        <v>8.9333333333333336</v>
      </c>
      <c r="I299" s="68">
        <f t="shared" si="17"/>
        <v>0</v>
      </c>
      <c r="J299" s="76">
        <f t="shared" si="18"/>
        <v>0.93333333333333357</v>
      </c>
      <c r="K299" s="53"/>
      <c r="L299" s="51" t="str">
        <f t="shared" si="19"/>
        <v>2026-04</v>
      </c>
    </row>
    <row r="300" spans="1:12" ht="22.15" customHeight="1" x14ac:dyDescent="0.2">
      <c r="A300" s="57">
        <v>296</v>
      </c>
      <c r="B300" s="57" t="s">
        <v>250</v>
      </c>
      <c r="C300" s="57" t="str">
        <f>IFERROR(VLOOKUP(B300,'👥 بيانات الموظفين'!B:C,2,0),"")</f>
        <v>حنان عبدالكريم الخميس</v>
      </c>
      <c r="D300" s="59">
        <f>DATEVALUE("2026-04-26")</f>
        <v>46138</v>
      </c>
      <c r="E300" s="57" t="s">
        <v>86</v>
      </c>
      <c r="F300" s="77">
        <f>TIMEVALUE("07:56")</f>
        <v>0.33055555555555555</v>
      </c>
      <c r="G300" s="77">
        <f>TIMEVALUE("17:02")</f>
        <v>0.70972222222222225</v>
      </c>
      <c r="H300" s="78">
        <f t="shared" si="16"/>
        <v>9.1000000000000014</v>
      </c>
      <c r="I300" s="69">
        <f t="shared" si="17"/>
        <v>0</v>
      </c>
      <c r="J300" s="78">
        <f t="shared" si="18"/>
        <v>1.1000000000000014</v>
      </c>
      <c r="K300" s="57"/>
      <c r="L300" s="52" t="str">
        <f t="shared" si="19"/>
        <v>2026-04</v>
      </c>
    </row>
    <row r="301" spans="1:12" ht="22.15" customHeight="1" x14ac:dyDescent="0.2">
      <c r="A301" s="53">
        <v>297</v>
      </c>
      <c r="B301" s="53" t="s">
        <v>250</v>
      </c>
      <c r="C301" s="53" t="str">
        <f>IFERROR(VLOOKUP(B301,'👥 بيانات الموظفين'!B:C,2,0),"")</f>
        <v>حنان عبدالكريم الخميس</v>
      </c>
      <c r="D301" s="55">
        <f>DATEVALUE("2026-04-27")</f>
        <v>46139</v>
      </c>
      <c r="E301" s="53" t="s">
        <v>86</v>
      </c>
      <c r="F301" s="75">
        <f>TIMEVALUE("08:04")</f>
        <v>0.33611111111111114</v>
      </c>
      <c r="G301" s="75">
        <f>TIMEVALUE("17:03")</f>
        <v>0.7104166666666667</v>
      </c>
      <c r="H301" s="76">
        <f t="shared" si="16"/>
        <v>8.9833333333333343</v>
      </c>
      <c r="I301" s="68">
        <f t="shared" si="17"/>
        <v>0</v>
      </c>
      <c r="J301" s="76">
        <f t="shared" si="18"/>
        <v>0.98333333333333428</v>
      </c>
      <c r="K301" s="53"/>
      <c r="L301" s="51" t="str">
        <f t="shared" si="19"/>
        <v>2026-04</v>
      </c>
    </row>
    <row r="302" spans="1:12" ht="22.15" customHeight="1" x14ac:dyDescent="0.2">
      <c r="A302" s="57">
        <v>298</v>
      </c>
      <c r="B302" s="57" t="s">
        <v>250</v>
      </c>
      <c r="C302" s="57" t="str">
        <f>IFERROR(VLOOKUP(B302,'👥 بيانات الموظفين'!B:C,2,0),"")</f>
        <v>حنان عبدالكريم الخميس</v>
      </c>
      <c r="D302" s="59">
        <f>DATEVALUE("2026-04-28")</f>
        <v>46140</v>
      </c>
      <c r="E302" s="57" t="s">
        <v>86</v>
      </c>
      <c r="F302" s="77">
        <f>TIMEVALUE("07:53")</f>
        <v>0.32847222222222222</v>
      </c>
      <c r="G302" s="77">
        <f>TIMEVALUE("17:14")</f>
        <v>0.71805555555555556</v>
      </c>
      <c r="H302" s="78">
        <f t="shared" si="16"/>
        <v>9.35</v>
      </c>
      <c r="I302" s="69">
        <f t="shared" si="17"/>
        <v>0</v>
      </c>
      <c r="J302" s="78">
        <f t="shared" si="18"/>
        <v>1.3499999999999996</v>
      </c>
      <c r="K302" s="57"/>
      <c r="L302" s="52" t="str">
        <f t="shared" si="19"/>
        <v>2026-04</v>
      </c>
    </row>
    <row r="303" spans="1:12" ht="22.15" customHeight="1" x14ac:dyDescent="0.2">
      <c r="A303" s="53">
        <v>299</v>
      </c>
      <c r="B303" s="53" t="s">
        <v>250</v>
      </c>
      <c r="C303" s="53" t="str">
        <f>IFERROR(VLOOKUP(B303,'👥 بيانات الموظفين'!B:C,2,0),"")</f>
        <v>حنان عبدالكريم الخميس</v>
      </c>
      <c r="D303" s="55">
        <f>DATEVALUE("2026-04-29")</f>
        <v>46141</v>
      </c>
      <c r="E303" s="53" t="s">
        <v>86</v>
      </c>
      <c r="F303" s="75">
        <f>TIMEVALUE("07:61")</f>
        <v>0.33402777777777776</v>
      </c>
      <c r="G303" s="75">
        <f>TIMEVALUE("17:16")</f>
        <v>0.71944444444444444</v>
      </c>
      <c r="H303" s="76">
        <f t="shared" si="16"/>
        <v>9.25</v>
      </c>
      <c r="I303" s="68">
        <f t="shared" si="17"/>
        <v>0</v>
      </c>
      <c r="J303" s="76">
        <f t="shared" si="18"/>
        <v>1.25</v>
      </c>
      <c r="K303" s="53"/>
      <c r="L303" s="51" t="str">
        <f t="shared" si="19"/>
        <v>2026-04</v>
      </c>
    </row>
    <row r="304" spans="1:12" ht="22.15" customHeight="1" x14ac:dyDescent="0.2">
      <c r="A304" s="57">
        <v>300</v>
      </c>
      <c r="B304" s="57" t="s">
        <v>250</v>
      </c>
      <c r="C304" s="57" t="str">
        <f>IFERROR(VLOOKUP(B304,'👥 بيانات الموظفين'!B:C,2,0),"")</f>
        <v>حنان عبدالكريم الخميس</v>
      </c>
      <c r="D304" s="59">
        <f>DATEVALUE("2026-04-30")</f>
        <v>46142</v>
      </c>
      <c r="E304" s="57" t="s">
        <v>86</v>
      </c>
      <c r="F304" s="77">
        <f>TIMEVALUE("07:61")</f>
        <v>0.33402777777777776</v>
      </c>
      <c r="G304" s="77">
        <f>TIMEVALUE("17:14")</f>
        <v>0.71805555555555556</v>
      </c>
      <c r="H304" s="78">
        <f t="shared" si="16"/>
        <v>9.2166666666666668</v>
      </c>
      <c r="I304" s="69">
        <f t="shared" si="17"/>
        <v>0</v>
      </c>
      <c r="J304" s="78">
        <f t="shared" si="18"/>
        <v>1.2166666666666668</v>
      </c>
      <c r="K304" s="57"/>
      <c r="L304" s="52" t="str">
        <f t="shared" si="19"/>
        <v>2026-04</v>
      </c>
    </row>
    <row r="305" spans="1:12" ht="22.15" customHeight="1" x14ac:dyDescent="0.2">
      <c r="A305" s="53">
        <v>301</v>
      </c>
      <c r="B305" s="53" t="s">
        <v>251</v>
      </c>
      <c r="C305" s="53" t="str">
        <f>IFERROR(VLOOKUP(B305,'👥 بيانات الموظفين'!B:C,2,0),"")</f>
        <v>ريان محمد العسيري</v>
      </c>
      <c r="D305" s="55">
        <f>DATEVALUE("2026-04-12")</f>
        <v>46124</v>
      </c>
      <c r="E305" s="53" t="s">
        <v>86</v>
      </c>
      <c r="F305" s="75">
        <f>TIMEVALUE("08:01")</f>
        <v>0.33402777777777776</v>
      </c>
      <c r="G305" s="75">
        <f>TIMEVALUE("17:13")</f>
        <v>0.71736111111111112</v>
      </c>
      <c r="H305" s="76">
        <f t="shared" si="16"/>
        <v>9.2000000000000011</v>
      </c>
      <c r="I305" s="68">
        <f t="shared" si="17"/>
        <v>0</v>
      </c>
      <c r="J305" s="76">
        <f t="shared" si="18"/>
        <v>1.2000000000000011</v>
      </c>
      <c r="K305" s="53"/>
      <c r="L305" s="51" t="str">
        <f t="shared" si="19"/>
        <v>2026-04</v>
      </c>
    </row>
    <row r="306" spans="1:12" ht="22.15" customHeight="1" x14ac:dyDescent="0.2">
      <c r="A306" s="57">
        <v>302</v>
      </c>
      <c r="B306" s="57" t="s">
        <v>251</v>
      </c>
      <c r="C306" s="57" t="str">
        <f>IFERROR(VLOOKUP(B306,'👥 بيانات الموظفين'!B:C,2,0),"")</f>
        <v>ريان محمد العسيري</v>
      </c>
      <c r="D306" s="59">
        <f>DATEVALUE("2026-04-13")</f>
        <v>46125</v>
      </c>
      <c r="E306" s="57" t="s">
        <v>86</v>
      </c>
      <c r="F306" s="77">
        <f>TIMEVALUE("07:60")</f>
        <v>0.33333333333333331</v>
      </c>
      <c r="G306" s="77">
        <f>TIMEVALUE("17:08")</f>
        <v>0.71388888888888891</v>
      </c>
      <c r="H306" s="78">
        <f t="shared" si="16"/>
        <v>9.1333333333333346</v>
      </c>
      <c r="I306" s="69">
        <f t="shared" si="17"/>
        <v>0</v>
      </c>
      <c r="J306" s="78">
        <f t="shared" si="18"/>
        <v>1.1333333333333346</v>
      </c>
      <c r="K306" s="57"/>
      <c r="L306" s="52" t="str">
        <f t="shared" si="19"/>
        <v>2026-04</v>
      </c>
    </row>
    <row r="307" spans="1:12" ht="22.15" customHeight="1" x14ac:dyDescent="0.2">
      <c r="A307" s="53">
        <v>303</v>
      </c>
      <c r="B307" s="53" t="s">
        <v>251</v>
      </c>
      <c r="C307" s="53" t="str">
        <f>IFERROR(VLOOKUP(B307,'👥 بيانات الموظفين'!B:C,2,0),"")</f>
        <v>ريان محمد العسيري</v>
      </c>
      <c r="D307" s="55">
        <f>DATEVALUE("2026-04-14")</f>
        <v>46126</v>
      </c>
      <c r="E307" s="53" t="s">
        <v>86</v>
      </c>
      <c r="F307" s="75">
        <f>TIMEVALUE("07:59")</f>
        <v>0.33263888888888887</v>
      </c>
      <c r="G307" s="75">
        <f>TIMEVALUE("17:07")</f>
        <v>0.71319444444444446</v>
      </c>
      <c r="H307" s="76">
        <f t="shared" si="16"/>
        <v>9.1333333333333346</v>
      </c>
      <c r="I307" s="68">
        <f t="shared" si="17"/>
        <v>0</v>
      </c>
      <c r="J307" s="76">
        <f t="shared" si="18"/>
        <v>1.1333333333333346</v>
      </c>
      <c r="K307" s="53"/>
      <c r="L307" s="51" t="str">
        <f t="shared" si="19"/>
        <v>2026-04</v>
      </c>
    </row>
    <row r="308" spans="1:12" ht="22.15" customHeight="1" x14ac:dyDescent="0.2">
      <c r="A308" s="57">
        <v>304</v>
      </c>
      <c r="B308" s="57" t="s">
        <v>251</v>
      </c>
      <c r="C308" s="57" t="str">
        <f>IFERROR(VLOOKUP(B308,'👥 بيانات الموظفين'!B:C,2,0),"")</f>
        <v>ريان محمد العسيري</v>
      </c>
      <c r="D308" s="59">
        <f>DATEVALUE("2026-04-15")</f>
        <v>46127</v>
      </c>
      <c r="E308" s="57" t="s">
        <v>86</v>
      </c>
      <c r="F308" s="77">
        <f>TIMEVALUE("07:59")</f>
        <v>0.33263888888888887</v>
      </c>
      <c r="G308" s="77">
        <f>TIMEVALUE("17:15")</f>
        <v>0.71875</v>
      </c>
      <c r="H308" s="78">
        <f t="shared" si="16"/>
        <v>9.2666666666666675</v>
      </c>
      <c r="I308" s="69">
        <f t="shared" si="17"/>
        <v>0</v>
      </c>
      <c r="J308" s="78">
        <f t="shared" si="18"/>
        <v>1.2666666666666675</v>
      </c>
      <c r="K308" s="57"/>
      <c r="L308" s="52" t="str">
        <f t="shared" si="19"/>
        <v>2026-04</v>
      </c>
    </row>
    <row r="309" spans="1:12" ht="22.15" customHeight="1" x14ac:dyDescent="0.2">
      <c r="A309" s="53">
        <v>305</v>
      </c>
      <c r="B309" s="53" t="s">
        <v>251</v>
      </c>
      <c r="C309" s="53" t="str">
        <f>IFERROR(VLOOKUP(B309,'👥 بيانات الموظفين'!B:C,2,0),"")</f>
        <v>ريان محمد العسيري</v>
      </c>
      <c r="D309" s="55">
        <f>DATEVALUE("2026-04-16")</f>
        <v>46128</v>
      </c>
      <c r="E309" s="53" t="s">
        <v>87</v>
      </c>
      <c r="F309" s="75">
        <f>TIMEVALUE("08:10")</f>
        <v>0.34027777777777779</v>
      </c>
      <c r="G309" s="75">
        <f>TIMEVALUE("17:00")</f>
        <v>0.70833333333333337</v>
      </c>
      <c r="H309" s="76">
        <f t="shared" si="16"/>
        <v>8.8333333333333339</v>
      </c>
      <c r="I309" s="68">
        <f t="shared" si="17"/>
        <v>10.000000000000044</v>
      </c>
      <c r="J309" s="76">
        <f t="shared" si="18"/>
        <v>0.83333333333333393</v>
      </c>
      <c r="K309" s="53"/>
      <c r="L309" s="51" t="str">
        <f t="shared" si="19"/>
        <v>2026-04</v>
      </c>
    </row>
    <row r="310" spans="1:12" ht="22.15" customHeight="1" x14ac:dyDescent="0.2">
      <c r="A310" s="57">
        <v>306</v>
      </c>
      <c r="B310" s="57" t="s">
        <v>251</v>
      </c>
      <c r="C310" s="57" t="str">
        <f>IFERROR(VLOOKUP(B310,'👥 بيانات الموظفين'!B:C,2,0),"")</f>
        <v>ريان محمد العسيري</v>
      </c>
      <c r="D310" s="59">
        <f>DATEVALUE("2026-04-19")</f>
        <v>46131</v>
      </c>
      <c r="E310" s="57" t="s">
        <v>86</v>
      </c>
      <c r="F310" s="77">
        <f>TIMEVALUE("08:01")</f>
        <v>0.33402777777777776</v>
      </c>
      <c r="G310" s="77">
        <f>TIMEVALUE("17:16")</f>
        <v>0.71944444444444444</v>
      </c>
      <c r="H310" s="78">
        <f t="shared" si="16"/>
        <v>9.25</v>
      </c>
      <c r="I310" s="69">
        <f t="shared" si="17"/>
        <v>0</v>
      </c>
      <c r="J310" s="78">
        <f t="shared" si="18"/>
        <v>1.25</v>
      </c>
      <c r="K310" s="57"/>
      <c r="L310" s="52" t="str">
        <f t="shared" si="19"/>
        <v>2026-04</v>
      </c>
    </row>
    <row r="311" spans="1:12" ht="22.15" customHeight="1" x14ac:dyDescent="0.2">
      <c r="A311" s="53">
        <v>307</v>
      </c>
      <c r="B311" s="53" t="s">
        <v>251</v>
      </c>
      <c r="C311" s="53" t="str">
        <f>IFERROR(VLOOKUP(B311,'👥 بيانات الموظفين'!B:C,2,0),"")</f>
        <v>ريان محمد العسيري</v>
      </c>
      <c r="D311" s="55">
        <f>DATEVALUE("2026-04-20")</f>
        <v>46132</v>
      </c>
      <c r="E311" s="53" t="s">
        <v>86</v>
      </c>
      <c r="F311" s="75">
        <f>TIMEVALUE("07:53")</f>
        <v>0.32847222222222222</v>
      </c>
      <c r="G311" s="75">
        <f>TIMEVALUE("17:18")</f>
        <v>0.72083333333333333</v>
      </c>
      <c r="H311" s="76">
        <f t="shared" si="16"/>
        <v>9.4166666666666661</v>
      </c>
      <c r="I311" s="68">
        <f t="shared" si="17"/>
        <v>0</v>
      </c>
      <c r="J311" s="76">
        <f t="shared" si="18"/>
        <v>1.4166666666666661</v>
      </c>
      <c r="K311" s="53"/>
      <c r="L311" s="51" t="str">
        <f t="shared" si="19"/>
        <v>2026-04</v>
      </c>
    </row>
    <row r="312" spans="1:12" ht="22.15" customHeight="1" x14ac:dyDescent="0.2">
      <c r="A312" s="57">
        <v>308</v>
      </c>
      <c r="B312" s="57" t="s">
        <v>251</v>
      </c>
      <c r="C312" s="57" t="str">
        <f>IFERROR(VLOOKUP(B312,'👥 بيانات الموظفين'!B:C,2,0),"")</f>
        <v>ريان محمد العسيري</v>
      </c>
      <c r="D312" s="59">
        <f>DATEVALUE("2026-04-21")</f>
        <v>46133</v>
      </c>
      <c r="E312" s="57" t="s">
        <v>86</v>
      </c>
      <c r="F312" s="77">
        <f>TIMEVALUE("07:57")</f>
        <v>0.33124999999999999</v>
      </c>
      <c r="G312" s="77">
        <f>TIMEVALUE("17:07")</f>
        <v>0.71319444444444446</v>
      </c>
      <c r="H312" s="78">
        <f t="shared" si="16"/>
        <v>9.1666666666666679</v>
      </c>
      <c r="I312" s="69">
        <f t="shared" si="17"/>
        <v>0</v>
      </c>
      <c r="J312" s="78">
        <f t="shared" si="18"/>
        <v>1.1666666666666679</v>
      </c>
      <c r="K312" s="57"/>
      <c r="L312" s="52" t="str">
        <f t="shared" si="19"/>
        <v>2026-04</v>
      </c>
    </row>
    <row r="313" spans="1:12" ht="22.15" customHeight="1" x14ac:dyDescent="0.2">
      <c r="A313" s="53">
        <v>309</v>
      </c>
      <c r="B313" s="53" t="s">
        <v>251</v>
      </c>
      <c r="C313" s="53" t="str">
        <f>IFERROR(VLOOKUP(B313,'👥 بيانات الموظفين'!B:C,2,0),"")</f>
        <v>ريان محمد العسيري</v>
      </c>
      <c r="D313" s="55">
        <f>DATEVALUE("2026-04-22")</f>
        <v>46134</v>
      </c>
      <c r="E313" s="53" t="s">
        <v>86</v>
      </c>
      <c r="F313" s="75">
        <f>TIMEVALUE("07:58")</f>
        <v>0.33194444444444443</v>
      </c>
      <c r="G313" s="75">
        <f>TIMEVALUE("17:09")</f>
        <v>0.71458333333333335</v>
      </c>
      <c r="H313" s="76">
        <f t="shared" si="16"/>
        <v>9.1833333333333336</v>
      </c>
      <c r="I313" s="68">
        <f t="shared" si="17"/>
        <v>0</v>
      </c>
      <c r="J313" s="76">
        <f t="shared" si="18"/>
        <v>1.1833333333333336</v>
      </c>
      <c r="K313" s="53"/>
      <c r="L313" s="51" t="str">
        <f t="shared" si="19"/>
        <v>2026-04</v>
      </c>
    </row>
    <row r="314" spans="1:12" ht="22.15" customHeight="1" x14ac:dyDescent="0.2">
      <c r="A314" s="57">
        <v>310</v>
      </c>
      <c r="B314" s="57" t="s">
        <v>251</v>
      </c>
      <c r="C314" s="57" t="str">
        <f>IFERROR(VLOOKUP(B314,'👥 بيانات الموظفين'!B:C,2,0),"")</f>
        <v>ريان محمد العسيري</v>
      </c>
      <c r="D314" s="59">
        <f>DATEVALUE("2026-04-23")</f>
        <v>46135</v>
      </c>
      <c r="E314" s="57" t="s">
        <v>179</v>
      </c>
      <c r="F314" s="77"/>
      <c r="G314" s="77"/>
      <c r="H314" s="78" t="str">
        <f t="shared" si="16"/>
        <v/>
      </c>
      <c r="I314" s="69">
        <f t="shared" si="17"/>
        <v>0</v>
      </c>
      <c r="J314" s="78">
        <f t="shared" si="18"/>
        <v>0</v>
      </c>
      <c r="K314" s="57" t="s">
        <v>398</v>
      </c>
      <c r="L314" s="52" t="str">
        <f t="shared" si="19"/>
        <v>2026-04</v>
      </c>
    </row>
    <row r="315" spans="1:12" ht="22.15" customHeight="1" x14ac:dyDescent="0.2">
      <c r="A315" s="53">
        <v>311</v>
      </c>
      <c r="B315" s="53" t="s">
        <v>251</v>
      </c>
      <c r="C315" s="53" t="str">
        <f>IFERROR(VLOOKUP(B315,'👥 بيانات الموظفين'!B:C,2,0),"")</f>
        <v>ريان محمد العسيري</v>
      </c>
      <c r="D315" s="55">
        <f>DATEVALUE("2026-04-26")</f>
        <v>46138</v>
      </c>
      <c r="E315" s="53" t="s">
        <v>86</v>
      </c>
      <c r="F315" s="75">
        <f>TIMEVALUE("08:00")</f>
        <v>0.33333333333333331</v>
      </c>
      <c r="G315" s="75">
        <f>TIMEVALUE("17:17")</f>
        <v>0.72013888888888888</v>
      </c>
      <c r="H315" s="76">
        <f t="shared" si="16"/>
        <v>9.2833333333333332</v>
      </c>
      <c r="I315" s="68">
        <f t="shared" si="17"/>
        <v>0</v>
      </c>
      <c r="J315" s="76">
        <f t="shared" si="18"/>
        <v>1.2833333333333332</v>
      </c>
      <c r="K315" s="53"/>
      <c r="L315" s="51" t="str">
        <f t="shared" si="19"/>
        <v>2026-04</v>
      </c>
    </row>
    <row r="316" spans="1:12" ht="22.15" customHeight="1" x14ac:dyDescent="0.2">
      <c r="A316" s="57">
        <v>312</v>
      </c>
      <c r="B316" s="57" t="s">
        <v>251</v>
      </c>
      <c r="C316" s="57" t="str">
        <f>IFERROR(VLOOKUP(B316,'👥 بيانات الموظفين'!B:C,2,0),"")</f>
        <v>ريان محمد العسيري</v>
      </c>
      <c r="D316" s="59">
        <f>DATEVALUE("2026-04-27")</f>
        <v>46139</v>
      </c>
      <c r="E316" s="57" t="s">
        <v>86</v>
      </c>
      <c r="F316" s="77">
        <f>TIMEVALUE("08:06")</f>
        <v>0.33750000000000002</v>
      </c>
      <c r="G316" s="77">
        <f>TIMEVALUE("17:13")</f>
        <v>0.71736111111111112</v>
      </c>
      <c r="H316" s="78">
        <f t="shared" si="16"/>
        <v>9.1166666666666671</v>
      </c>
      <c r="I316" s="69">
        <f t="shared" si="17"/>
        <v>0</v>
      </c>
      <c r="J316" s="78">
        <f t="shared" si="18"/>
        <v>1.1166666666666671</v>
      </c>
      <c r="K316" s="57"/>
      <c r="L316" s="52" t="str">
        <f t="shared" si="19"/>
        <v>2026-04</v>
      </c>
    </row>
    <row r="317" spans="1:12" ht="22.15" customHeight="1" x14ac:dyDescent="0.2">
      <c r="A317" s="53">
        <v>313</v>
      </c>
      <c r="B317" s="53" t="s">
        <v>251</v>
      </c>
      <c r="C317" s="53" t="str">
        <f>IFERROR(VLOOKUP(B317,'👥 بيانات الموظفين'!B:C,2,0),"")</f>
        <v>ريان محمد العسيري</v>
      </c>
      <c r="D317" s="55">
        <f>DATEVALUE("2026-04-28")</f>
        <v>46140</v>
      </c>
      <c r="E317" s="53" t="s">
        <v>86</v>
      </c>
      <c r="F317" s="75">
        <f>TIMEVALUE("08:02")</f>
        <v>0.3347222222222222</v>
      </c>
      <c r="G317" s="75">
        <f>TIMEVALUE("17:06")</f>
        <v>0.71250000000000002</v>
      </c>
      <c r="H317" s="76">
        <f t="shared" si="16"/>
        <v>9.0666666666666682</v>
      </c>
      <c r="I317" s="68">
        <f t="shared" si="17"/>
        <v>0</v>
      </c>
      <c r="J317" s="76">
        <f t="shared" si="18"/>
        <v>1.0666666666666682</v>
      </c>
      <c r="K317" s="53"/>
      <c r="L317" s="51" t="str">
        <f t="shared" si="19"/>
        <v>2026-04</v>
      </c>
    </row>
    <row r="318" spans="1:12" ht="22.15" customHeight="1" x14ac:dyDescent="0.2">
      <c r="A318" s="57">
        <v>314</v>
      </c>
      <c r="B318" s="57" t="s">
        <v>251</v>
      </c>
      <c r="C318" s="57" t="str">
        <f>IFERROR(VLOOKUP(B318,'👥 بيانات الموظفين'!B:C,2,0),"")</f>
        <v>ريان محمد العسيري</v>
      </c>
      <c r="D318" s="59">
        <f>DATEVALUE("2026-04-29")</f>
        <v>46141</v>
      </c>
      <c r="E318" s="57" t="s">
        <v>87</v>
      </c>
      <c r="F318" s="77">
        <f>TIMEVALUE("08:11")</f>
        <v>0.34097222222222223</v>
      </c>
      <c r="G318" s="77">
        <f>TIMEVALUE("17:00")</f>
        <v>0.70833333333333337</v>
      </c>
      <c r="H318" s="78">
        <f t="shared" si="16"/>
        <v>8.8166666666666664</v>
      </c>
      <c r="I318" s="69">
        <f t="shared" si="17"/>
        <v>11.000000000000041</v>
      </c>
      <c r="J318" s="78">
        <f t="shared" si="18"/>
        <v>0.81666666666666643</v>
      </c>
      <c r="K318" s="57"/>
      <c r="L318" s="52" t="str">
        <f t="shared" si="19"/>
        <v>2026-04</v>
      </c>
    </row>
    <row r="319" spans="1:12" ht="22.15" customHeight="1" x14ac:dyDescent="0.2">
      <c r="A319" s="53">
        <v>315</v>
      </c>
      <c r="B319" s="53" t="s">
        <v>251</v>
      </c>
      <c r="C319" s="53" t="str">
        <f>IFERROR(VLOOKUP(B319,'👥 بيانات الموظفين'!B:C,2,0),"")</f>
        <v>ريان محمد العسيري</v>
      </c>
      <c r="D319" s="55">
        <f>DATEVALUE("2026-04-30")</f>
        <v>46142</v>
      </c>
      <c r="E319" s="53" t="s">
        <v>86</v>
      </c>
      <c r="F319" s="75">
        <f>TIMEVALUE("08:01")</f>
        <v>0.33402777777777776</v>
      </c>
      <c r="G319" s="75">
        <f>TIMEVALUE("17:10")</f>
        <v>0.71527777777777779</v>
      </c>
      <c r="H319" s="76">
        <f t="shared" si="16"/>
        <v>9.15</v>
      </c>
      <c r="I319" s="68">
        <f t="shared" si="17"/>
        <v>0</v>
      </c>
      <c r="J319" s="76">
        <f t="shared" si="18"/>
        <v>1.1500000000000004</v>
      </c>
      <c r="K319" s="53"/>
      <c r="L319" s="51" t="str">
        <f t="shared" si="19"/>
        <v>2026-04</v>
      </c>
    </row>
    <row r="320" spans="1:12" ht="22.15" customHeight="1" x14ac:dyDescent="0.2">
      <c r="A320" s="57">
        <v>316</v>
      </c>
      <c r="B320" s="57" t="s">
        <v>252</v>
      </c>
      <c r="C320" s="57" t="str">
        <f>IFERROR(VLOOKUP(B320,'👥 بيانات الموظفين'!B:C,2,0),"")</f>
        <v>عبدالله صالح الراشد</v>
      </c>
      <c r="D320" s="59">
        <f>DATEVALUE("2026-04-12")</f>
        <v>46124</v>
      </c>
      <c r="E320" s="57" t="s">
        <v>86</v>
      </c>
      <c r="F320" s="77">
        <f>TIMEVALUE("07:60")</f>
        <v>0.33333333333333331</v>
      </c>
      <c r="G320" s="77">
        <f>TIMEVALUE("17:15")</f>
        <v>0.71875</v>
      </c>
      <c r="H320" s="78">
        <f t="shared" si="16"/>
        <v>9.25</v>
      </c>
      <c r="I320" s="69">
        <f t="shared" si="17"/>
        <v>0</v>
      </c>
      <c r="J320" s="78">
        <f t="shared" si="18"/>
        <v>1.25</v>
      </c>
      <c r="K320" s="57"/>
      <c r="L320" s="52" t="str">
        <f t="shared" si="19"/>
        <v>2026-04</v>
      </c>
    </row>
    <row r="321" spans="1:12" ht="22.15" customHeight="1" x14ac:dyDescent="0.2">
      <c r="A321" s="53">
        <v>317</v>
      </c>
      <c r="B321" s="53" t="s">
        <v>252</v>
      </c>
      <c r="C321" s="53" t="str">
        <f>IFERROR(VLOOKUP(B321,'👥 بيانات الموظفين'!B:C,2,0),"")</f>
        <v>عبدالله صالح الراشد</v>
      </c>
      <c r="D321" s="55">
        <f>DATEVALUE("2026-04-13")</f>
        <v>46125</v>
      </c>
      <c r="E321" s="53" t="s">
        <v>86</v>
      </c>
      <c r="F321" s="75">
        <f>TIMEVALUE("08:06")</f>
        <v>0.33750000000000002</v>
      </c>
      <c r="G321" s="75">
        <f>TIMEVALUE("17:19")</f>
        <v>0.72152777777777777</v>
      </c>
      <c r="H321" s="76">
        <f t="shared" si="16"/>
        <v>9.216666666666665</v>
      </c>
      <c r="I321" s="68">
        <f t="shared" si="17"/>
        <v>0</v>
      </c>
      <c r="J321" s="76">
        <f t="shared" si="18"/>
        <v>1.216666666666665</v>
      </c>
      <c r="K321" s="53"/>
      <c r="L321" s="51" t="str">
        <f t="shared" si="19"/>
        <v>2026-04</v>
      </c>
    </row>
    <row r="322" spans="1:12" ht="22.15" customHeight="1" x14ac:dyDescent="0.2">
      <c r="A322" s="57">
        <v>318</v>
      </c>
      <c r="B322" s="57" t="s">
        <v>252</v>
      </c>
      <c r="C322" s="57" t="str">
        <f>IFERROR(VLOOKUP(B322,'👥 بيانات الموظفين'!B:C,2,0),"")</f>
        <v>عبدالله صالح الراشد</v>
      </c>
      <c r="D322" s="59">
        <f>DATEVALUE("2026-04-14")</f>
        <v>46126</v>
      </c>
      <c r="E322" s="57" t="s">
        <v>87</v>
      </c>
      <c r="F322" s="77">
        <f>TIMEVALUE("08:22")</f>
        <v>0.34861111111111109</v>
      </c>
      <c r="G322" s="77">
        <f>TIMEVALUE("17:00")</f>
        <v>0.70833333333333337</v>
      </c>
      <c r="H322" s="78">
        <f t="shared" si="16"/>
        <v>8.6333333333333346</v>
      </c>
      <c r="I322" s="69">
        <f t="shared" si="17"/>
        <v>22</v>
      </c>
      <c r="J322" s="78">
        <f t="shared" si="18"/>
        <v>0.63333333333333464</v>
      </c>
      <c r="K322" s="57"/>
      <c r="L322" s="52" t="str">
        <f t="shared" si="19"/>
        <v>2026-04</v>
      </c>
    </row>
    <row r="323" spans="1:12" ht="22.15" customHeight="1" x14ac:dyDescent="0.2">
      <c r="A323" s="53">
        <v>319</v>
      </c>
      <c r="B323" s="53" t="s">
        <v>252</v>
      </c>
      <c r="C323" s="53" t="str">
        <f>IFERROR(VLOOKUP(B323,'👥 بيانات الموظفين'!B:C,2,0),"")</f>
        <v>عبدالله صالح الراشد</v>
      </c>
      <c r="D323" s="55">
        <f>DATEVALUE("2026-04-15")</f>
        <v>46127</v>
      </c>
      <c r="E323" s="53" t="s">
        <v>86</v>
      </c>
      <c r="F323" s="75">
        <f>TIMEVALUE("07:56")</f>
        <v>0.33055555555555555</v>
      </c>
      <c r="G323" s="75">
        <f>TIMEVALUE("17:05")</f>
        <v>0.71180555555555558</v>
      </c>
      <c r="H323" s="76">
        <f t="shared" si="16"/>
        <v>9.15</v>
      </c>
      <c r="I323" s="68">
        <f t="shared" si="17"/>
        <v>0</v>
      </c>
      <c r="J323" s="76">
        <f t="shared" si="18"/>
        <v>1.1500000000000004</v>
      </c>
      <c r="K323" s="53"/>
      <c r="L323" s="51" t="str">
        <f t="shared" si="19"/>
        <v>2026-04</v>
      </c>
    </row>
    <row r="324" spans="1:12" ht="22.15" customHeight="1" x14ac:dyDescent="0.2">
      <c r="A324" s="57">
        <v>320</v>
      </c>
      <c r="B324" s="57" t="s">
        <v>252</v>
      </c>
      <c r="C324" s="57" t="str">
        <f>IFERROR(VLOOKUP(B324,'👥 بيانات الموظفين'!B:C,2,0),"")</f>
        <v>عبدالله صالح الراشد</v>
      </c>
      <c r="D324" s="59">
        <f>DATEVALUE("2026-04-16")</f>
        <v>46128</v>
      </c>
      <c r="E324" s="57" t="s">
        <v>86</v>
      </c>
      <c r="F324" s="77">
        <f>TIMEVALUE("07:56")</f>
        <v>0.33055555555555555</v>
      </c>
      <c r="G324" s="77">
        <f>TIMEVALUE("17:06")</f>
        <v>0.71250000000000002</v>
      </c>
      <c r="H324" s="78">
        <f t="shared" si="16"/>
        <v>9.1666666666666679</v>
      </c>
      <c r="I324" s="69">
        <f t="shared" si="17"/>
        <v>0</v>
      </c>
      <c r="J324" s="78">
        <f t="shared" si="18"/>
        <v>1.1666666666666679</v>
      </c>
      <c r="K324" s="57"/>
      <c r="L324" s="52" t="str">
        <f t="shared" si="19"/>
        <v>2026-04</v>
      </c>
    </row>
    <row r="325" spans="1:12" ht="22.15" customHeight="1" x14ac:dyDescent="0.2">
      <c r="A325" s="53">
        <v>321</v>
      </c>
      <c r="B325" s="53" t="s">
        <v>252</v>
      </c>
      <c r="C325" s="53" t="str">
        <f>IFERROR(VLOOKUP(B325,'👥 بيانات الموظفين'!B:C,2,0),"")</f>
        <v>عبدالله صالح الراشد</v>
      </c>
      <c r="D325" s="55">
        <f>DATEVALUE("2026-04-19")</f>
        <v>46131</v>
      </c>
      <c r="E325" s="53" t="s">
        <v>86</v>
      </c>
      <c r="F325" s="75">
        <f>TIMEVALUE("07:61")</f>
        <v>0.33402777777777776</v>
      </c>
      <c r="G325" s="75">
        <f>TIMEVALUE("17:09")</f>
        <v>0.71458333333333335</v>
      </c>
      <c r="H325" s="76">
        <f t="shared" ref="H325:H388" si="20">IFERROR(IF(AND(F325&lt;&gt;"",G325&lt;&gt;""),(G325-F325)*24,""),"")</f>
        <v>9.1333333333333346</v>
      </c>
      <c r="I325" s="68">
        <f t="shared" ref="I325:I388" si="21">IFERROR(IF(E325="متأخر",MAX(0,(F325-TIME(8,0,0))*1440),0),0)</f>
        <v>0</v>
      </c>
      <c r="J325" s="76">
        <f t="shared" ref="J325:J388" si="22">IFERROR(IF(AND(ISNUMBER(H325),H325&gt;WorkHoursDay),H325-WorkHoursDay,0),0)</f>
        <v>1.1333333333333346</v>
      </c>
      <c r="K325" s="53"/>
      <c r="L325" s="51" t="str">
        <f t="shared" ref="L325:L388" si="23">IF(D325&lt;&gt;"",TEXT(D325,"yyyy-mm"),"")</f>
        <v>2026-04</v>
      </c>
    </row>
    <row r="326" spans="1:12" ht="22.15" customHeight="1" x14ac:dyDescent="0.2">
      <c r="A326" s="57">
        <v>322</v>
      </c>
      <c r="B326" s="57" t="s">
        <v>252</v>
      </c>
      <c r="C326" s="57" t="str">
        <f>IFERROR(VLOOKUP(B326,'👥 بيانات الموظفين'!B:C,2,0),"")</f>
        <v>عبدالله صالح الراشد</v>
      </c>
      <c r="D326" s="59">
        <f>DATEVALUE("2026-04-20")</f>
        <v>46132</v>
      </c>
      <c r="E326" s="57" t="s">
        <v>86</v>
      </c>
      <c r="F326" s="77">
        <f>TIMEVALUE("07:57")</f>
        <v>0.33124999999999999</v>
      </c>
      <c r="G326" s="77">
        <f>TIMEVALUE("17:00")</f>
        <v>0.70833333333333337</v>
      </c>
      <c r="H326" s="78">
        <f t="shared" si="20"/>
        <v>9.0500000000000007</v>
      </c>
      <c r="I326" s="69">
        <f t="shared" si="21"/>
        <v>0</v>
      </c>
      <c r="J326" s="78">
        <f t="shared" si="22"/>
        <v>1.0500000000000007</v>
      </c>
      <c r="K326" s="57"/>
      <c r="L326" s="52" t="str">
        <f t="shared" si="23"/>
        <v>2026-04</v>
      </c>
    </row>
    <row r="327" spans="1:12" ht="22.15" customHeight="1" x14ac:dyDescent="0.2">
      <c r="A327" s="53">
        <v>323</v>
      </c>
      <c r="B327" s="53" t="s">
        <v>252</v>
      </c>
      <c r="C327" s="53" t="str">
        <f>IFERROR(VLOOKUP(B327,'👥 بيانات الموظفين'!B:C,2,0),"")</f>
        <v>عبدالله صالح الراشد</v>
      </c>
      <c r="D327" s="55">
        <f>DATEVALUE("2026-04-21")</f>
        <v>46133</v>
      </c>
      <c r="E327" s="53" t="s">
        <v>87</v>
      </c>
      <c r="F327" s="75">
        <f>TIMEVALUE("08:18")</f>
        <v>0.34583333333333333</v>
      </c>
      <c r="G327" s="75">
        <f>TIMEVALUE("17:00")</f>
        <v>0.70833333333333337</v>
      </c>
      <c r="H327" s="76">
        <f t="shared" si="20"/>
        <v>8.7000000000000011</v>
      </c>
      <c r="I327" s="68">
        <f t="shared" si="21"/>
        <v>18.000000000000014</v>
      </c>
      <c r="J327" s="76">
        <f t="shared" si="22"/>
        <v>0.70000000000000107</v>
      </c>
      <c r="K327" s="53"/>
      <c r="L327" s="51" t="str">
        <f t="shared" si="23"/>
        <v>2026-04</v>
      </c>
    </row>
    <row r="328" spans="1:12" ht="22.15" customHeight="1" x14ac:dyDescent="0.2">
      <c r="A328" s="57">
        <v>324</v>
      </c>
      <c r="B328" s="57" t="s">
        <v>252</v>
      </c>
      <c r="C328" s="57" t="str">
        <f>IFERROR(VLOOKUP(B328,'👥 بيانات الموظفين'!B:C,2,0),"")</f>
        <v>عبدالله صالح الراشد</v>
      </c>
      <c r="D328" s="59">
        <f>DATEVALUE("2026-04-22")</f>
        <v>46134</v>
      </c>
      <c r="E328" s="57" t="s">
        <v>86</v>
      </c>
      <c r="F328" s="77">
        <f>TIMEVALUE("08:07")</f>
        <v>0.33819444444444446</v>
      </c>
      <c r="G328" s="77">
        <f>TIMEVALUE("17:05")</f>
        <v>0.71180555555555558</v>
      </c>
      <c r="H328" s="78">
        <f t="shared" si="20"/>
        <v>8.9666666666666668</v>
      </c>
      <c r="I328" s="69">
        <f t="shared" si="21"/>
        <v>0</v>
      </c>
      <c r="J328" s="78">
        <f t="shared" si="22"/>
        <v>0.96666666666666679</v>
      </c>
      <c r="K328" s="57"/>
      <c r="L328" s="52" t="str">
        <f t="shared" si="23"/>
        <v>2026-04</v>
      </c>
    </row>
    <row r="329" spans="1:12" ht="22.15" customHeight="1" x14ac:dyDescent="0.2">
      <c r="A329" s="53">
        <v>325</v>
      </c>
      <c r="B329" s="53" t="s">
        <v>252</v>
      </c>
      <c r="C329" s="53" t="str">
        <f>IFERROR(VLOOKUP(B329,'👥 بيانات الموظفين'!B:C,2,0),"")</f>
        <v>عبدالله صالح الراشد</v>
      </c>
      <c r="D329" s="55">
        <f>DATEVALUE("2026-04-23")</f>
        <v>46135</v>
      </c>
      <c r="E329" s="53" t="s">
        <v>86</v>
      </c>
      <c r="F329" s="75">
        <f>TIMEVALUE("07:59")</f>
        <v>0.33263888888888887</v>
      </c>
      <c r="G329" s="75">
        <f>TIMEVALUE("17:12")</f>
        <v>0.71666666666666667</v>
      </c>
      <c r="H329" s="76">
        <f t="shared" si="20"/>
        <v>9.2166666666666668</v>
      </c>
      <c r="I329" s="68">
        <f t="shared" si="21"/>
        <v>0</v>
      </c>
      <c r="J329" s="76">
        <f t="shared" si="22"/>
        <v>1.2166666666666668</v>
      </c>
      <c r="K329" s="53"/>
      <c r="L329" s="51" t="str">
        <f t="shared" si="23"/>
        <v>2026-04</v>
      </c>
    </row>
    <row r="330" spans="1:12" ht="22.15" customHeight="1" x14ac:dyDescent="0.2">
      <c r="A330" s="57">
        <v>326</v>
      </c>
      <c r="B330" s="57" t="s">
        <v>252</v>
      </c>
      <c r="C330" s="57" t="str">
        <f>IFERROR(VLOOKUP(B330,'👥 بيانات الموظفين'!B:C,2,0),"")</f>
        <v>عبدالله صالح الراشد</v>
      </c>
      <c r="D330" s="59">
        <f>DATEVALUE("2026-04-26")</f>
        <v>46138</v>
      </c>
      <c r="E330" s="57" t="s">
        <v>86</v>
      </c>
      <c r="F330" s="77">
        <f>TIMEVALUE("08:01")</f>
        <v>0.33402777777777776</v>
      </c>
      <c r="G330" s="77">
        <f>TIMEVALUE("17:04")</f>
        <v>0.71111111111111114</v>
      </c>
      <c r="H330" s="78">
        <f t="shared" si="20"/>
        <v>9.0500000000000007</v>
      </c>
      <c r="I330" s="69">
        <f t="shared" si="21"/>
        <v>0</v>
      </c>
      <c r="J330" s="78">
        <f t="shared" si="22"/>
        <v>1.0500000000000007</v>
      </c>
      <c r="K330" s="57"/>
      <c r="L330" s="52" t="str">
        <f t="shared" si="23"/>
        <v>2026-04</v>
      </c>
    </row>
    <row r="331" spans="1:12" ht="22.15" customHeight="1" x14ac:dyDescent="0.2">
      <c r="A331" s="53">
        <v>327</v>
      </c>
      <c r="B331" s="53" t="s">
        <v>252</v>
      </c>
      <c r="C331" s="53" t="str">
        <f>IFERROR(VLOOKUP(B331,'👥 بيانات الموظفين'!B:C,2,0),"")</f>
        <v>عبدالله صالح الراشد</v>
      </c>
      <c r="D331" s="55">
        <f>DATEVALUE("2026-04-27")</f>
        <v>46139</v>
      </c>
      <c r="E331" s="53" t="s">
        <v>86</v>
      </c>
      <c r="F331" s="75">
        <f>TIMEVALUE("08:04")</f>
        <v>0.33611111111111114</v>
      </c>
      <c r="G331" s="75">
        <f>TIMEVALUE("17:11")</f>
        <v>0.71597222222222223</v>
      </c>
      <c r="H331" s="76">
        <f t="shared" si="20"/>
        <v>9.1166666666666671</v>
      </c>
      <c r="I331" s="68">
        <f t="shared" si="21"/>
        <v>0</v>
      </c>
      <c r="J331" s="76">
        <f t="shared" si="22"/>
        <v>1.1166666666666671</v>
      </c>
      <c r="K331" s="53"/>
      <c r="L331" s="51" t="str">
        <f t="shared" si="23"/>
        <v>2026-04</v>
      </c>
    </row>
    <row r="332" spans="1:12" ht="22.15" customHeight="1" x14ac:dyDescent="0.2">
      <c r="A332" s="57">
        <v>328</v>
      </c>
      <c r="B332" s="57" t="s">
        <v>252</v>
      </c>
      <c r="C332" s="57" t="str">
        <f>IFERROR(VLOOKUP(B332,'👥 بيانات الموظفين'!B:C,2,0),"")</f>
        <v>عبدالله صالح الراشد</v>
      </c>
      <c r="D332" s="59">
        <f>DATEVALUE("2026-04-28")</f>
        <v>46140</v>
      </c>
      <c r="E332" s="57" t="s">
        <v>86</v>
      </c>
      <c r="F332" s="77">
        <f>TIMEVALUE("08:04")</f>
        <v>0.33611111111111114</v>
      </c>
      <c r="G332" s="77">
        <f>TIMEVALUE("17:19")</f>
        <v>0.72152777777777777</v>
      </c>
      <c r="H332" s="78">
        <f t="shared" si="20"/>
        <v>9.25</v>
      </c>
      <c r="I332" s="69">
        <f t="shared" si="21"/>
        <v>0</v>
      </c>
      <c r="J332" s="78">
        <f t="shared" si="22"/>
        <v>1.25</v>
      </c>
      <c r="K332" s="57"/>
      <c r="L332" s="52" t="str">
        <f t="shared" si="23"/>
        <v>2026-04</v>
      </c>
    </row>
    <row r="333" spans="1:12" ht="22.15" customHeight="1" x14ac:dyDescent="0.2">
      <c r="A333" s="53">
        <v>329</v>
      </c>
      <c r="B333" s="53" t="s">
        <v>252</v>
      </c>
      <c r="C333" s="53" t="str">
        <f>IFERROR(VLOOKUP(B333,'👥 بيانات الموظفين'!B:C,2,0),"")</f>
        <v>عبدالله صالح الراشد</v>
      </c>
      <c r="D333" s="55">
        <f>DATEVALUE("2026-04-29")</f>
        <v>46141</v>
      </c>
      <c r="E333" s="53" t="s">
        <v>86</v>
      </c>
      <c r="F333" s="75">
        <f>TIMEVALUE("08:02")</f>
        <v>0.3347222222222222</v>
      </c>
      <c r="G333" s="75">
        <f>TIMEVALUE("17:09")</f>
        <v>0.71458333333333335</v>
      </c>
      <c r="H333" s="76">
        <f t="shared" si="20"/>
        <v>9.1166666666666671</v>
      </c>
      <c r="I333" s="68">
        <f t="shared" si="21"/>
        <v>0</v>
      </c>
      <c r="J333" s="76">
        <f t="shared" si="22"/>
        <v>1.1166666666666671</v>
      </c>
      <c r="K333" s="53"/>
      <c r="L333" s="51" t="str">
        <f t="shared" si="23"/>
        <v>2026-04</v>
      </c>
    </row>
    <row r="334" spans="1:12" ht="22.15" customHeight="1" x14ac:dyDescent="0.2">
      <c r="A334" s="57">
        <v>330</v>
      </c>
      <c r="B334" s="57" t="s">
        <v>252</v>
      </c>
      <c r="C334" s="57" t="str">
        <f>IFERROR(VLOOKUP(B334,'👥 بيانات الموظفين'!B:C,2,0),"")</f>
        <v>عبدالله صالح الراشد</v>
      </c>
      <c r="D334" s="59">
        <f>DATEVALUE("2026-04-30")</f>
        <v>46142</v>
      </c>
      <c r="E334" s="57" t="s">
        <v>86</v>
      </c>
      <c r="F334" s="77">
        <f>TIMEVALUE("08:01")</f>
        <v>0.33402777777777776</v>
      </c>
      <c r="G334" s="77">
        <f>TIMEVALUE("17:01")</f>
        <v>0.70902777777777781</v>
      </c>
      <c r="H334" s="78">
        <f t="shared" si="20"/>
        <v>9.0000000000000018</v>
      </c>
      <c r="I334" s="69">
        <f t="shared" si="21"/>
        <v>0</v>
      </c>
      <c r="J334" s="78">
        <f t="shared" si="22"/>
        <v>1.0000000000000018</v>
      </c>
      <c r="K334" s="57"/>
      <c r="L334" s="52" t="str">
        <f t="shared" si="23"/>
        <v>2026-04</v>
      </c>
    </row>
    <row r="335" spans="1:12" ht="22.15" customHeight="1" x14ac:dyDescent="0.2">
      <c r="A335" s="53">
        <v>331</v>
      </c>
      <c r="B335" s="53" t="s">
        <v>253</v>
      </c>
      <c r="C335" s="53" t="str">
        <f>IFERROR(VLOOKUP(B335,'👥 بيانات الموظفين'!B:C,2,0),"")</f>
        <v>منى عبدالله الجهني</v>
      </c>
      <c r="D335" s="55">
        <f>DATEVALUE("2026-04-12")</f>
        <v>46124</v>
      </c>
      <c r="E335" s="53" t="s">
        <v>86</v>
      </c>
      <c r="F335" s="75">
        <f>TIMEVALUE("07:60")</f>
        <v>0.33333333333333331</v>
      </c>
      <c r="G335" s="75">
        <f>TIMEVALUE("17:03")</f>
        <v>0.7104166666666667</v>
      </c>
      <c r="H335" s="76">
        <f t="shared" si="20"/>
        <v>9.0500000000000007</v>
      </c>
      <c r="I335" s="68">
        <f t="shared" si="21"/>
        <v>0</v>
      </c>
      <c r="J335" s="76">
        <f t="shared" si="22"/>
        <v>1.0500000000000007</v>
      </c>
      <c r="K335" s="53"/>
      <c r="L335" s="51" t="str">
        <f t="shared" si="23"/>
        <v>2026-04</v>
      </c>
    </row>
    <row r="336" spans="1:12" ht="22.15" customHeight="1" x14ac:dyDescent="0.2">
      <c r="A336" s="57">
        <v>332</v>
      </c>
      <c r="B336" s="57" t="s">
        <v>253</v>
      </c>
      <c r="C336" s="57" t="str">
        <f>IFERROR(VLOOKUP(B336,'👥 بيانات الموظفين'!B:C,2,0),"")</f>
        <v>منى عبدالله الجهني</v>
      </c>
      <c r="D336" s="59">
        <f>DATEVALUE("2026-04-13")</f>
        <v>46125</v>
      </c>
      <c r="E336" s="57" t="s">
        <v>86</v>
      </c>
      <c r="F336" s="77">
        <f>TIMEVALUE("07:52")</f>
        <v>0.32777777777777778</v>
      </c>
      <c r="G336" s="77">
        <f>TIMEVALUE("17:02")</f>
        <v>0.70972222222222225</v>
      </c>
      <c r="H336" s="78">
        <f t="shared" si="20"/>
        <v>9.1666666666666679</v>
      </c>
      <c r="I336" s="69">
        <f t="shared" si="21"/>
        <v>0</v>
      </c>
      <c r="J336" s="78">
        <f t="shared" si="22"/>
        <v>1.1666666666666679</v>
      </c>
      <c r="K336" s="57"/>
      <c r="L336" s="52" t="str">
        <f t="shared" si="23"/>
        <v>2026-04</v>
      </c>
    </row>
    <row r="337" spans="1:12" ht="22.15" customHeight="1" x14ac:dyDescent="0.2">
      <c r="A337" s="53">
        <v>333</v>
      </c>
      <c r="B337" s="53" t="s">
        <v>253</v>
      </c>
      <c r="C337" s="53" t="str">
        <f>IFERROR(VLOOKUP(B337,'👥 بيانات الموظفين'!B:C,2,0),"")</f>
        <v>منى عبدالله الجهني</v>
      </c>
      <c r="D337" s="55">
        <f>DATEVALUE("2026-04-14")</f>
        <v>46126</v>
      </c>
      <c r="E337" s="53" t="s">
        <v>86</v>
      </c>
      <c r="F337" s="75">
        <f>TIMEVALUE("08:00")</f>
        <v>0.33333333333333331</v>
      </c>
      <c r="G337" s="75">
        <f>TIMEVALUE("17:00")</f>
        <v>0.70833333333333337</v>
      </c>
      <c r="H337" s="76">
        <f t="shared" si="20"/>
        <v>9.0000000000000018</v>
      </c>
      <c r="I337" s="68">
        <f t="shared" si="21"/>
        <v>0</v>
      </c>
      <c r="J337" s="76">
        <f t="shared" si="22"/>
        <v>1.0000000000000018</v>
      </c>
      <c r="K337" s="53"/>
      <c r="L337" s="51" t="str">
        <f t="shared" si="23"/>
        <v>2026-04</v>
      </c>
    </row>
    <row r="338" spans="1:12" ht="22.15" customHeight="1" x14ac:dyDescent="0.2">
      <c r="A338" s="57">
        <v>334</v>
      </c>
      <c r="B338" s="57" t="s">
        <v>253</v>
      </c>
      <c r="C338" s="57" t="str">
        <f>IFERROR(VLOOKUP(B338,'👥 بيانات الموظفين'!B:C,2,0),"")</f>
        <v>منى عبدالله الجهني</v>
      </c>
      <c r="D338" s="59">
        <f>DATEVALUE("2026-04-15")</f>
        <v>46127</v>
      </c>
      <c r="E338" s="57" t="s">
        <v>87</v>
      </c>
      <c r="F338" s="77">
        <f>TIMEVALUE("08:21")</f>
        <v>0.34791666666666665</v>
      </c>
      <c r="G338" s="77">
        <f>TIMEVALUE("17:00")</f>
        <v>0.70833333333333337</v>
      </c>
      <c r="H338" s="78">
        <f t="shared" si="20"/>
        <v>8.6500000000000021</v>
      </c>
      <c r="I338" s="69">
        <f t="shared" si="21"/>
        <v>21.000000000000007</v>
      </c>
      <c r="J338" s="78">
        <f t="shared" si="22"/>
        <v>0.65000000000000213</v>
      </c>
      <c r="K338" s="57"/>
      <c r="L338" s="52" t="str">
        <f t="shared" si="23"/>
        <v>2026-04</v>
      </c>
    </row>
    <row r="339" spans="1:12" ht="22.15" customHeight="1" x14ac:dyDescent="0.2">
      <c r="A339" s="53">
        <v>335</v>
      </c>
      <c r="B339" s="53" t="s">
        <v>253</v>
      </c>
      <c r="C339" s="53" t="str">
        <f>IFERROR(VLOOKUP(B339,'👥 بيانات الموظفين'!B:C,2,0),"")</f>
        <v>منى عبدالله الجهني</v>
      </c>
      <c r="D339" s="55">
        <f>DATEVALUE("2026-04-16")</f>
        <v>46128</v>
      </c>
      <c r="E339" s="53" t="s">
        <v>86</v>
      </c>
      <c r="F339" s="75">
        <f>TIMEVALUE("08:02")</f>
        <v>0.3347222222222222</v>
      </c>
      <c r="G339" s="75">
        <f>TIMEVALUE("17:16")</f>
        <v>0.71944444444444444</v>
      </c>
      <c r="H339" s="76">
        <f t="shared" si="20"/>
        <v>9.2333333333333343</v>
      </c>
      <c r="I339" s="68">
        <f t="shared" si="21"/>
        <v>0</v>
      </c>
      <c r="J339" s="76">
        <f t="shared" si="22"/>
        <v>1.2333333333333343</v>
      </c>
      <c r="K339" s="53"/>
      <c r="L339" s="51" t="str">
        <f t="shared" si="23"/>
        <v>2026-04</v>
      </c>
    </row>
    <row r="340" spans="1:12" ht="22.15" customHeight="1" x14ac:dyDescent="0.2">
      <c r="A340" s="57">
        <v>336</v>
      </c>
      <c r="B340" s="57" t="s">
        <v>253</v>
      </c>
      <c r="C340" s="57" t="str">
        <f>IFERROR(VLOOKUP(B340,'👥 بيانات الموظفين'!B:C,2,0),"")</f>
        <v>منى عبدالله الجهني</v>
      </c>
      <c r="D340" s="59">
        <f>DATEVALUE("2026-04-19")</f>
        <v>46131</v>
      </c>
      <c r="E340" s="57" t="s">
        <v>86</v>
      </c>
      <c r="F340" s="77">
        <f>TIMEVALUE("07:57")</f>
        <v>0.33124999999999999</v>
      </c>
      <c r="G340" s="77">
        <f>TIMEVALUE("17:19")</f>
        <v>0.72152777777777777</v>
      </c>
      <c r="H340" s="78">
        <f t="shared" si="20"/>
        <v>9.3666666666666671</v>
      </c>
      <c r="I340" s="69">
        <f t="shared" si="21"/>
        <v>0</v>
      </c>
      <c r="J340" s="78">
        <f t="shared" si="22"/>
        <v>1.3666666666666671</v>
      </c>
      <c r="K340" s="57"/>
      <c r="L340" s="52" t="str">
        <f t="shared" si="23"/>
        <v>2026-04</v>
      </c>
    </row>
    <row r="341" spans="1:12" ht="22.15" customHeight="1" x14ac:dyDescent="0.2">
      <c r="A341" s="53">
        <v>337</v>
      </c>
      <c r="B341" s="53" t="s">
        <v>253</v>
      </c>
      <c r="C341" s="53" t="str">
        <f>IFERROR(VLOOKUP(B341,'👥 بيانات الموظفين'!B:C,2,0),"")</f>
        <v>منى عبدالله الجهني</v>
      </c>
      <c r="D341" s="55">
        <f>DATEVALUE("2026-04-20")</f>
        <v>46132</v>
      </c>
      <c r="E341" s="53" t="s">
        <v>86</v>
      </c>
      <c r="F341" s="75">
        <f>TIMEVALUE("07:57")</f>
        <v>0.33124999999999999</v>
      </c>
      <c r="G341" s="75">
        <f>TIMEVALUE("17:18")</f>
        <v>0.72083333333333333</v>
      </c>
      <c r="H341" s="76">
        <f t="shared" si="20"/>
        <v>9.35</v>
      </c>
      <c r="I341" s="68">
        <f t="shared" si="21"/>
        <v>0</v>
      </c>
      <c r="J341" s="76">
        <f t="shared" si="22"/>
        <v>1.3499999999999996</v>
      </c>
      <c r="K341" s="53"/>
      <c r="L341" s="51" t="str">
        <f t="shared" si="23"/>
        <v>2026-04</v>
      </c>
    </row>
    <row r="342" spans="1:12" ht="22.15" customHeight="1" x14ac:dyDescent="0.2">
      <c r="A342" s="57">
        <v>338</v>
      </c>
      <c r="B342" s="57" t="s">
        <v>253</v>
      </c>
      <c r="C342" s="57" t="str">
        <f>IFERROR(VLOOKUP(B342,'👥 بيانات الموظفين'!B:C,2,0),"")</f>
        <v>منى عبدالله الجهني</v>
      </c>
      <c r="D342" s="59">
        <f>DATEVALUE("2026-04-21")</f>
        <v>46133</v>
      </c>
      <c r="E342" s="57" t="s">
        <v>86</v>
      </c>
      <c r="F342" s="77">
        <f>TIMEVALUE("08:02")</f>
        <v>0.3347222222222222</v>
      </c>
      <c r="G342" s="77">
        <f>TIMEVALUE("17:01")</f>
        <v>0.70902777777777781</v>
      </c>
      <c r="H342" s="78">
        <f t="shared" si="20"/>
        <v>8.9833333333333343</v>
      </c>
      <c r="I342" s="69">
        <f t="shared" si="21"/>
        <v>0</v>
      </c>
      <c r="J342" s="78">
        <f t="shared" si="22"/>
        <v>0.98333333333333428</v>
      </c>
      <c r="K342" s="57"/>
      <c r="L342" s="52" t="str">
        <f t="shared" si="23"/>
        <v>2026-04</v>
      </c>
    </row>
    <row r="343" spans="1:12" ht="22.15" customHeight="1" x14ac:dyDescent="0.2">
      <c r="A343" s="53">
        <v>339</v>
      </c>
      <c r="B343" s="53" t="s">
        <v>253</v>
      </c>
      <c r="C343" s="53" t="str">
        <f>IFERROR(VLOOKUP(B343,'👥 بيانات الموظفين'!B:C,2,0),"")</f>
        <v>منى عبدالله الجهني</v>
      </c>
      <c r="D343" s="55">
        <f>DATEVALUE("2026-04-22")</f>
        <v>46134</v>
      </c>
      <c r="E343" s="53" t="s">
        <v>86</v>
      </c>
      <c r="F343" s="75">
        <f>TIMEVALUE("08:06")</f>
        <v>0.33750000000000002</v>
      </c>
      <c r="G343" s="75">
        <f>TIMEVALUE("17:18")</f>
        <v>0.72083333333333333</v>
      </c>
      <c r="H343" s="76">
        <f t="shared" si="20"/>
        <v>9.1999999999999993</v>
      </c>
      <c r="I343" s="68">
        <f t="shared" si="21"/>
        <v>0</v>
      </c>
      <c r="J343" s="76">
        <f t="shared" si="22"/>
        <v>1.1999999999999993</v>
      </c>
      <c r="K343" s="53"/>
      <c r="L343" s="51" t="str">
        <f t="shared" si="23"/>
        <v>2026-04</v>
      </c>
    </row>
    <row r="344" spans="1:12" ht="22.15" customHeight="1" x14ac:dyDescent="0.2">
      <c r="A344" s="57">
        <v>340</v>
      </c>
      <c r="B344" s="57" t="s">
        <v>253</v>
      </c>
      <c r="C344" s="57" t="str">
        <f>IFERROR(VLOOKUP(B344,'👥 بيانات الموظفين'!B:C,2,0),"")</f>
        <v>منى عبدالله الجهني</v>
      </c>
      <c r="D344" s="59">
        <f>DATEVALUE("2026-04-23")</f>
        <v>46135</v>
      </c>
      <c r="E344" s="57" t="s">
        <v>86</v>
      </c>
      <c r="F344" s="77">
        <f>TIMEVALUE("08:02")</f>
        <v>0.3347222222222222</v>
      </c>
      <c r="G344" s="77">
        <f>TIMEVALUE("17:03")</f>
        <v>0.7104166666666667</v>
      </c>
      <c r="H344" s="78">
        <f t="shared" si="20"/>
        <v>9.0166666666666675</v>
      </c>
      <c r="I344" s="69">
        <f t="shared" si="21"/>
        <v>0</v>
      </c>
      <c r="J344" s="78">
        <f t="shared" si="22"/>
        <v>1.0166666666666675</v>
      </c>
      <c r="K344" s="57"/>
      <c r="L344" s="52" t="str">
        <f t="shared" si="23"/>
        <v>2026-04</v>
      </c>
    </row>
    <row r="345" spans="1:12" ht="22.15" customHeight="1" x14ac:dyDescent="0.2">
      <c r="A345" s="53">
        <v>341</v>
      </c>
      <c r="B345" s="53" t="s">
        <v>253</v>
      </c>
      <c r="C345" s="53" t="str">
        <f>IFERROR(VLOOKUP(B345,'👥 بيانات الموظفين'!B:C,2,0),"")</f>
        <v>منى عبدالله الجهني</v>
      </c>
      <c r="D345" s="55">
        <f>DATEVALUE("2026-04-26")</f>
        <v>46138</v>
      </c>
      <c r="E345" s="53" t="s">
        <v>86</v>
      </c>
      <c r="F345" s="75">
        <f>TIMEVALUE("07:53")</f>
        <v>0.32847222222222222</v>
      </c>
      <c r="G345" s="75">
        <f>TIMEVALUE("17:12")</f>
        <v>0.71666666666666667</v>
      </c>
      <c r="H345" s="76">
        <f t="shared" si="20"/>
        <v>9.3166666666666664</v>
      </c>
      <c r="I345" s="68">
        <f t="shared" si="21"/>
        <v>0</v>
      </c>
      <c r="J345" s="76">
        <f t="shared" si="22"/>
        <v>1.3166666666666664</v>
      </c>
      <c r="K345" s="53"/>
      <c r="L345" s="51" t="str">
        <f t="shared" si="23"/>
        <v>2026-04</v>
      </c>
    </row>
    <row r="346" spans="1:12" ht="22.15" customHeight="1" x14ac:dyDescent="0.2">
      <c r="A346" s="57">
        <v>342</v>
      </c>
      <c r="B346" s="57" t="s">
        <v>253</v>
      </c>
      <c r="C346" s="57" t="str">
        <f>IFERROR(VLOOKUP(B346,'👥 بيانات الموظفين'!B:C,2,0),"")</f>
        <v>منى عبدالله الجهني</v>
      </c>
      <c r="D346" s="59">
        <f>DATEVALUE("2026-04-27")</f>
        <v>46139</v>
      </c>
      <c r="E346" s="57" t="s">
        <v>86</v>
      </c>
      <c r="F346" s="77">
        <f>TIMEVALUE("08:02")</f>
        <v>0.3347222222222222</v>
      </c>
      <c r="G346" s="77">
        <f>TIMEVALUE("17:10")</f>
        <v>0.71527777777777779</v>
      </c>
      <c r="H346" s="78">
        <f t="shared" si="20"/>
        <v>9.1333333333333346</v>
      </c>
      <c r="I346" s="69">
        <f t="shared" si="21"/>
        <v>0</v>
      </c>
      <c r="J346" s="78">
        <f t="shared" si="22"/>
        <v>1.1333333333333346</v>
      </c>
      <c r="K346" s="57"/>
      <c r="L346" s="52" t="str">
        <f t="shared" si="23"/>
        <v>2026-04</v>
      </c>
    </row>
    <row r="347" spans="1:12" ht="22.15" customHeight="1" x14ac:dyDescent="0.2">
      <c r="A347" s="53">
        <v>343</v>
      </c>
      <c r="B347" s="53" t="s">
        <v>253</v>
      </c>
      <c r="C347" s="53" t="str">
        <f>IFERROR(VLOOKUP(B347,'👥 بيانات الموظفين'!B:C,2,0),"")</f>
        <v>منى عبدالله الجهني</v>
      </c>
      <c r="D347" s="55">
        <f>DATEVALUE("2026-04-28")</f>
        <v>46140</v>
      </c>
      <c r="E347" s="53" t="s">
        <v>86</v>
      </c>
      <c r="F347" s="75">
        <f>TIMEVALUE("07:60")</f>
        <v>0.33333333333333331</v>
      </c>
      <c r="G347" s="75">
        <f>TIMEVALUE("17:15")</f>
        <v>0.71875</v>
      </c>
      <c r="H347" s="76">
        <f t="shared" si="20"/>
        <v>9.25</v>
      </c>
      <c r="I347" s="68">
        <f t="shared" si="21"/>
        <v>0</v>
      </c>
      <c r="J347" s="76">
        <f t="shared" si="22"/>
        <v>1.25</v>
      </c>
      <c r="K347" s="53"/>
      <c r="L347" s="51" t="str">
        <f t="shared" si="23"/>
        <v>2026-04</v>
      </c>
    </row>
    <row r="348" spans="1:12" ht="22.15" customHeight="1" x14ac:dyDescent="0.2">
      <c r="A348" s="57">
        <v>344</v>
      </c>
      <c r="B348" s="57" t="s">
        <v>253</v>
      </c>
      <c r="C348" s="57" t="str">
        <f>IFERROR(VLOOKUP(B348,'👥 بيانات الموظفين'!B:C,2,0),"")</f>
        <v>منى عبدالله الجهني</v>
      </c>
      <c r="D348" s="59">
        <f>DATEVALUE("2026-04-29")</f>
        <v>46141</v>
      </c>
      <c r="E348" s="57" t="s">
        <v>86</v>
      </c>
      <c r="F348" s="77">
        <f>TIMEVALUE("08:01")</f>
        <v>0.33402777777777776</v>
      </c>
      <c r="G348" s="77">
        <f>TIMEVALUE("17:04")</f>
        <v>0.71111111111111114</v>
      </c>
      <c r="H348" s="78">
        <f t="shared" si="20"/>
        <v>9.0500000000000007</v>
      </c>
      <c r="I348" s="69">
        <f t="shared" si="21"/>
        <v>0</v>
      </c>
      <c r="J348" s="78">
        <f t="shared" si="22"/>
        <v>1.0500000000000007</v>
      </c>
      <c r="K348" s="57"/>
      <c r="L348" s="52" t="str">
        <f t="shared" si="23"/>
        <v>2026-04</v>
      </c>
    </row>
    <row r="349" spans="1:12" ht="22.15" customHeight="1" x14ac:dyDescent="0.2">
      <c r="A349" s="53">
        <v>345</v>
      </c>
      <c r="B349" s="53" t="s">
        <v>253</v>
      </c>
      <c r="C349" s="53" t="str">
        <f>IFERROR(VLOOKUP(B349,'👥 بيانات الموظفين'!B:C,2,0),"")</f>
        <v>منى عبدالله الجهني</v>
      </c>
      <c r="D349" s="55">
        <f>DATEVALUE("2026-04-30")</f>
        <v>46142</v>
      </c>
      <c r="E349" s="53" t="s">
        <v>86</v>
      </c>
      <c r="F349" s="75">
        <f>TIMEVALUE("08:05")</f>
        <v>0.33680555555555558</v>
      </c>
      <c r="G349" s="75">
        <f>TIMEVALUE("17:15")</f>
        <v>0.71875</v>
      </c>
      <c r="H349" s="76">
        <f t="shared" si="20"/>
        <v>9.1666666666666661</v>
      </c>
      <c r="I349" s="68">
        <f t="shared" si="21"/>
        <v>0</v>
      </c>
      <c r="J349" s="76">
        <f t="shared" si="22"/>
        <v>1.1666666666666661</v>
      </c>
      <c r="K349" s="53"/>
      <c r="L349" s="51" t="str">
        <f t="shared" si="23"/>
        <v>2026-04</v>
      </c>
    </row>
    <row r="350" spans="1:12" ht="22.15" customHeight="1" x14ac:dyDescent="0.2">
      <c r="A350" s="57">
        <v>346</v>
      </c>
      <c r="B350" s="57" t="s">
        <v>254</v>
      </c>
      <c r="C350" s="57" t="str">
        <f>IFERROR(VLOOKUP(B350,'👥 بيانات الموظفين'!B:C,2,0),"")</f>
        <v>Hassan Ali Khoury</v>
      </c>
      <c r="D350" s="59">
        <f>DATEVALUE("2026-04-12")</f>
        <v>46124</v>
      </c>
      <c r="E350" s="57" t="s">
        <v>86</v>
      </c>
      <c r="F350" s="77">
        <f>TIMEVALUE("07:52")</f>
        <v>0.32777777777777778</v>
      </c>
      <c r="G350" s="77">
        <f>TIMEVALUE("17:03")</f>
        <v>0.7104166666666667</v>
      </c>
      <c r="H350" s="78">
        <f t="shared" si="20"/>
        <v>9.1833333333333336</v>
      </c>
      <c r="I350" s="69">
        <f t="shared" si="21"/>
        <v>0</v>
      </c>
      <c r="J350" s="78">
        <f t="shared" si="22"/>
        <v>1.1833333333333336</v>
      </c>
      <c r="K350" s="57"/>
      <c r="L350" s="52" t="str">
        <f t="shared" si="23"/>
        <v>2026-04</v>
      </c>
    </row>
    <row r="351" spans="1:12" ht="22.15" customHeight="1" x14ac:dyDescent="0.2">
      <c r="A351" s="53">
        <v>347</v>
      </c>
      <c r="B351" s="53" t="s">
        <v>254</v>
      </c>
      <c r="C351" s="53" t="str">
        <f>IFERROR(VLOOKUP(B351,'👥 بيانات الموظفين'!B:C,2,0),"")</f>
        <v>Hassan Ali Khoury</v>
      </c>
      <c r="D351" s="55">
        <f>DATEVALUE("2026-04-13")</f>
        <v>46125</v>
      </c>
      <c r="E351" s="53" t="s">
        <v>86</v>
      </c>
      <c r="F351" s="75">
        <f>TIMEVALUE("08:03")</f>
        <v>0.33541666666666664</v>
      </c>
      <c r="G351" s="75">
        <f>TIMEVALUE("17:10")</f>
        <v>0.71527777777777779</v>
      </c>
      <c r="H351" s="76">
        <f t="shared" si="20"/>
        <v>9.1166666666666671</v>
      </c>
      <c r="I351" s="68">
        <f t="shared" si="21"/>
        <v>0</v>
      </c>
      <c r="J351" s="76">
        <f t="shared" si="22"/>
        <v>1.1166666666666671</v>
      </c>
      <c r="K351" s="53"/>
      <c r="L351" s="51" t="str">
        <f t="shared" si="23"/>
        <v>2026-04</v>
      </c>
    </row>
    <row r="352" spans="1:12" ht="22.15" customHeight="1" x14ac:dyDescent="0.2">
      <c r="A352" s="57">
        <v>348</v>
      </c>
      <c r="B352" s="57" t="s">
        <v>254</v>
      </c>
      <c r="C352" s="57" t="str">
        <f>IFERROR(VLOOKUP(B352,'👥 بيانات الموظفين'!B:C,2,0),"")</f>
        <v>Hassan Ali Khoury</v>
      </c>
      <c r="D352" s="59">
        <f>DATEVALUE("2026-04-14")</f>
        <v>46126</v>
      </c>
      <c r="E352" s="57" t="s">
        <v>86</v>
      </c>
      <c r="F352" s="77">
        <f>TIMEVALUE("08:04")</f>
        <v>0.33611111111111114</v>
      </c>
      <c r="G352" s="77">
        <f>TIMEVALUE("17:15")</f>
        <v>0.71875</v>
      </c>
      <c r="H352" s="78">
        <f t="shared" si="20"/>
        <v>9.1833333333333336</v>
      </c>
      <c r="I352" s="69">
        <f t="shared" si="21"/>
        <v>0</v>
      </c>
      <c r="J352" s="78">
        <f t="shared" si="22"/>
        <v>1.1833333333333336</v>
      </c>
      <c r="K352" s="57"/>
      <c r="L352" s="52" t="str">
        <f t="shared" si="23"/>
        <v>2026-04</v>
      </c>
    </row>
    <row r="353" spans="1:12" ht="22.15" customHeight="1" x14ac:dyDescent="0.2">
      <c r="A353" s="53">
        <v>349</v>
      </c>
      <c r="B353" s="53" t="s">
        <v>254</v>
      </c>
      <c r="C353" s="53" t="str">
        <f>IFERROR(VLOOKUP(B353,'👥 بيانات الموظفين'!B:C,2,0),"")</f>
        <v>Hassan Ali Khoury</v>
      </c>
      <c r="D353" s="55">
        <f>DATEVALUE("2026-04-15")</f>
        <v>46127</v>
      </c>
      <c r="E353" s="53" t="s">
        <v>86</v>
      </c>
      <c r="F353" s="75">
        <f>TIMEVALUE("07:52")</f>
        <v>0.32777777777777778</v>
      </c>
      <c r="G353" s="75">
        <f>TIMEVALUE("17:08")</f>
        <v>0.71388888888888891</v>
      </c>
      <c r="H353" s="76">
        <f t="shared" si="20"/>
        <v>9.2666666666666675</v>
      </c>
      <c r="I353" s="68">
        <f t="shared" si="21"/>
        <v>0</v>
      </c>
      <c r="J353" s="76">
        <f t="shared" si="22"/>
        <v>1.2666666666666675</v>
      </c>
      <c r="K353" s="53"/>
      <c r="L353" s="51" t="str">
        <f t="shared" si="23"/>
        <v>2026-04</v>
      </c>
    </row>
    <row r="354" spans="1:12" ht="22.15" customHeight="1" x14ac:dyDescent="0.2">
      <c r="A354" s="57">
        <v>350</v>
      </c>
      <c r="B354" s="57" t="s">
        <v>254</v>
      </c>
      <c r="C354" s="57" t="str">
        <f>IFERROR(VLOOKUP(B354,'👥 بيانات الموظفين'!B:C,2,0),"")</f>
        <v>Hassan Ali Khoury</v>
      </c>
      <c r="D354" s="59">
        <f>DATEVALUE("2026-04-16")</f>
        <v>46128</v>
      </c>
      <c r="E354" s="57" t="s">
        <v>86</v>
      </c>
      <c r="F354" s="77">
        <f>TIMEVALUE("07:56")</f>
        <v>0.33055555555555555</v>
      </c>
      <c r="G354" s="77">
        <f>TIMEVALUE("17:09")</f>
        <v>0.71458333333333335</v>
      </c>
      <c r="H354" s="78">
        <f t="shared" si="20"/>
        <v>9.2166666666666668</v>
      </c>
      <c r="I354" s="69">
        <f t="shared" si="21"/>
        <v>0</v>
      </c>
      <c r="J354" s="78">
        <f t="shared" si="22"/>
        <v>1.2166666666666668</v>
      </c>
      <c r="K354" s="57"/>
      <c r="L354" s="52" t="str">
        <f t="shared" si="23"/>
        <v>2026-04</v>
      </c>
    </row>
    <row r="355" spans="1:12" ht="22.15" customHeight="1" x14ac:dyDescent="0.2">
      <c r="A355" s="53">
        <v>351</v>
      </c>
      <c r="B355" s="53" t="s">
        <v>254</v>
      </c>
      <c r="C355" s="53" t="str">
        <f>IFERROR(VLOOKUP(B355,'👥 بيانات الموظفين'!B:C,2,0),"")</f>
        <v>Hassan Ali Khoury</v>
      </c>
      <c r="D355" s="55">
        <f>DATEVALUE("2026-04-19")</f>
        <v>46131</v>
      </c>
      <c r="E355" s="53" t="s">
        <v>86</v>
      </c>
      <c r="F355" s="75">
        <f>TIMEVALUE("08:00")</f>
        <v>0.33333333333333331</v>
      </c>
      <c r="G355" s="75">
        <f>TIMEVALUE("17:17")</f>
        <v>0.72013888888888888</v>
      </c>
      <c r="H355" s="76">
        <f t="shared" si="20"/>
        <v>9.2833333333333332</v>
      </c>
      <c r="I355" s="68">
        <f t="shared" si="21"/>
        <v>0</v>
      </c>
      <c r="J355" s="76">
        <f t="shared" si="22"/>
        <v>1.2833333333333332</v>
      </c>
      <c r="K355" s="53"/>
      <c r="L355" s="51" t="str">
        <f t="shared" si="23"/>
        <v>2026-04</v>
      </c>
    </row>
    <row r="356" spans="1:12" ht="22.15" customHeight="1" x14ac:dyDescent="0.2">
      <c r="A356" s="57">
        <v>352</v>
      </c>
      <c r="B356" s="57" t="s">
        <v>254</v>
      </c>
      <c r="C356" s="57" t="str">
        <f>IFERROR(VLOOKUP(B356,'👥 بيانات الموظفين'!B:C,2,0),"")</f>
        <v>Hassan Ali Khoury</v>
      </c>
      <c r="D356" s="59">
        <f>DATEVALUE("2026-04-20")</f>
        <v>46132</v>
      </c>
      <c r="E356" s="57" t="s">
        <v>86</v>
      </c>
      <c r="F356" s="77">
        <f>TIMEVALUE("07:55")</f>
        <v>0.3298611111111111</v>
      </c>
      <c r="G356" s="77">
        <f>TIMEVALUE("17:01")</f>
        <v>0.70902777777777781</v>
      </c>
      <c r="H356" s="78">
        <f t="shared" si="20"/>
        <v>9.1000000000000014</v>
      </c>
      <c r="I356" s="69">
        <f t="shared" si="21"/>
        <v>0</v>
      </c>
      <c r="J356" s="78">
        <f t="shared" si="22"/>
        <v>1.1000000000000014</v>
      </c>
      <c r="K356" s="57"/>
      <c r="L356" s="52" t="str">
        <f t="shared" si="23"/>
        <v>2026-04</v>
      </c>
    </row>
    <row r="357" spans="1:12" ht="22.15" customHeight="1" x14ac:dyDescent="0.2">
      <c r="A357" s="53">
        <v>353</v>
      </c>
      <c r="B357" s="53" t="s">
        <v>254</v>
      </c>
      <c r="C357" s="53" t="str">
        <f>IFERROR(VLOOKUP(B357,'👥 بيانات الموظفين'!B:C,2,0),"")</f>
        <v>Hassan Ali Khoury</v>
      </c>
      <c r="D357" s="55">
        <f>DATEVALUE("2026-04-21")</f>
        <v>46133</v>
      </c>
      <c r="E357" s="53" t="s">
        <v>86</v>
      </c>
      <c r="F357" s="75">
        <f>TIMEVALUE("07:56")</f>
        <v>0.33055555555555555</v>
      </c>
      <c r="G357" s="75">
        <f>TIMEVALUE("17:07")</f>
        <v>0.71319444444444446</v>
      </c>
      <c r="H357" s="76">
        <f t="shared" si="20"/>
        <v>9.1833333333333336</v>
      </c>
      <c r="I357" s="68">
        <f t="shared" si="21"/>
        <v>0</v>
      </c>
      <c r="J357" s="76">
        <f t="shared" si="22"/>
        <v>1.1833333333333336</v>
      </c>
      <c r="K357" s="53"/>
      <c r="L357" s="51" t="str">
        <f t="shared" si="23"/>
        <v>2026-04</v>
      </c>
    </row>
    <row r="358" spans="1:12" ht="22.15" customHeight="1" x14ac:dyDescent="0.2">
      <c r="A358" s="57">
        <v>354</v>
      </c>
      <c r="B358" s="57" t="s">
        <v>254</v>
      </c>
      <c r="C358" s="57" t="str">
        <f>IFERROR(VLOOKUP(B358,'👥 بيانات الموظفين'!B:C,2,0),"")</f>
        <v>Hassan Ali Khoury</v>
      </c>
      <c r="D358" s="59">
        <f>DATEVALUE("2026-04-22")</f>
        <v>46134</v>
      </c>
      <c r="E358" s="57" t="s">
        <v>87</v>
      </c>
      <c r="F358" s="77">
        <f>TIMEVALUE("08:23")</f>
        <v>0.34930555555555554</v>
      </c>
      <c r="G358" s="77">
        <f>TIMEVALUE("17:00")</f>
        <v>0.70833333333333337</v>
      </c>
      <c r="H358" s="78">
        <f t="shared" si="20"/>
        <v>8.6166666666666671</v>
      </c>
      <c r="I358" s="69">
        <f t="shared" si="21"/>
        <v>23</v>
      </c>
      <c r="J358" s="78">
        <f t="shared" si="22"/>
        <v>0.61666666666666714</v>
      </c>
      <c r="K358" s="57"/>
      <c r="L358" s="52" t="str">
        <f t="shared" si="23"/>
        <v>2026-04</v>
      </c>
    </row>
    <row r="359" spans="1:12" ht="22.15" customHeight="1" x14ac:dyDescent="0.2">
      <c r="A359" s="53">
        <v>355</v>
      </c>
      <c r="B359" s="53" t="s">
        <v>254</v>
      </c>
      <c r="C359" s="53" t="str">
        <f>IFERROR(VLOOKUP(B359,'👥 بيانات الموظفين'!B:C,2,0),"")</f>
        <v>Hassan Ali Khoury</v>
      </c>
      <c r="D359" s="55">
        <f>DATEVALUE("2026-04-23")</f>
        <v>46135</v>
      </c>
      <c r="E359" s="53" t="s">
        <v>86</v>
      </c>
      <c r="F359" s="75">
        <f>TIMEVALUE("07:55")</f>
        <v>0.3298611111111111</v>
      </c>
      <c r="G359" s="75">
        <f>TIMEVALUE("17:12")</f>
        <v>0.71666666666666667</v>
      </c>
      <c r="H359" s="76">
        <f t="shared" si="20"/>
        <v>9.2833333333333332</v>
      </c>
      <c r="I359" s="68">
        <f t="shared" si="21"/>
        <v>0</v>
      </c>
      <c r="J359" s="76">
        <f t="shared" si="22"/>
        <v>1.2833333333333332</v>
      </c>
      <c r="K359" s="53"/>
      <c r="L359" s="51" t="str">
        <f t="shared" si="23"/>
        <v>2026-04</v>
      </c>
    </row>
    <row r="360" spans="1:12" ht="22.15" customHeight="1" x14ac:dyDescent="0.2">
      <c r="A360" s="57">
        <v>356</v>
      </c>
      <c r="B360" s="57" t="s">
        <v>254</v>
      </c>
      <c r="C360" s="57" t="str">
        <f>IFERROR(VLOOKUP(B360,'👥 بيانات الموظفين'!B:C,2,0),"")</f>
        <v>Hassan Ali Khoury</v>
      </c>
      <c r="D360" s="59">
        <f>DATEVALUE("2026-04-26")</f>
        <v>46138</v>
      </c>
      <c r="E360" s="57" t="s">
        <v>86</v>
      </c>
      <c r="F360" s="77">
        <f>TIMEVALUE("07:57")</f>
        <v>0.33124999999999999</v>
      </c>
      <c r="G360" s="77">
        <f>TIMEVALUE("17:17")</f>
        <v>0.72013888888888888</v>
      </c>
      <c r="H360" s="78">
        <f t="shared" si="20"/>
        <v>9.3333333333333339</v>
      </c>
      <c r="I360" s="69">
        <f t="shared" si="21"/>
        <v>0</v>
      </c>
      <c r="J360" s="78">
        <f t="shared" si="22"/>
        <v>1.3333333333333339</v>
      </c>
      <c r="K360" s="57"/>
      <c r="L360" s="52" t="str">
        <f t="shared" si="23"/>
        <v>2026-04</v>
      </c>
    </row>
    <row r="361" spans="1:12" ht="22.15" customHeight="1" x14ac:dyDescent="0.2">
      <c r="A361" s="53">
        <v>357</v>
      </c>
      <c r="B361" s="53" t="s">
        <v>254</v>
      </c>
      <c r="C361" s="53" t="str">
        <f>IFERROR(VLOOKUP(B361,'👥 بيانات الموظفين'!B:C,2,0),"")</f>
        <v>Hassan Ali Khoury</v>
      </c>
      <c r="D361" s="55">
        <f>DATEVALUE("2026-04-27")</f>
        <v>46139</v>
      </c>
      <c r="E361" s="53" t="s">
        <v>86</v>
      </c>
      <c r="F361" s="75">
        <f>TIMEVALUE("07:54")</f>
        <v>0.32916666666666666</v>
      </c>
      <c r="G361" s="75">
        <f>TIMEVALUE("17:10")</f>
        <v>0.71527777777777779</v>
      </c>
      <c r="H361" s="76">
        <f t="shared" si="20"/>
        <v>9.2666666666666675</v>
      </c>
      <c r="I361" s="68">
        <f t="shared" si="21"/>
        <v>0</v>
      </c>
      <c r="J361" s="76">
        <f t="shared" si="22"/>
        <v>1.2666666666666675</v>
      </c>
      <c r="K361" s="53"/>
      <c r="L361" s="51" t="str">
        <f t="shared" si="23"/>
        <v>2026-04</v>
      </c>
    </row>
    <row r="362" spans="1:12" ht="22.15" customHeight="1" x14ac:dyDescent="0.2">
      <c r="A362" s="57">
        <v>358</v>
      </c>
      <c r="B362" s="57" t="s">
        <v>254</v>
      </c>
      <c r="C362" s="57" t="str">
        <f>IFERROR(VLOOKUP(B362,'👥 بيانات الموظفين'!B:C,2,0),"")</f>
        <v>Hassan Ali Khoury</v>
      </c>
      <c r="D362" s="59">
        <f>DATEVALUE("2026-04-28")</f>
        <v>46140</v>
      </c>
      <c r="E362" s="57" t="s">
        <v>86</v>
      </c>
      <c r="F362" s="77">
        <f>TIMEVALUE("07:59")</f>
        <v>0.33263888888888887</v>
      </c>
      <c r="G362" s="77">
        <f>TIMEVALUE("17:13")</f>
        <v>0.71736111111111112</v>
      </c>
      <c r="H362" s="78">
        <f t="shared" si="20"/>
        <v>9.2333333333333343</v>
      </c>
      <c r="I362" s="69">
        <f t="shared" si="21"/>
        <v>0</v>
      </c>
      <c r="J362" s="78">
        <f t="shared" si="22"/>
        <v>1.2333333333333343</v>
      </c>
      <c r="K362" s="57"/>
      <c r="L362" s="52" t="str">
        <f t="shared" si="23"/>
        <v>2026-04</v>
      </c>
    </row>
    <row r="363" spans="1:12" ht="22.15" customHeight="1" x14ac:dyDescent="0.2">
      <c r="A363" s="53">
        <v>359</v>
      </c>
      <c r="B363" s="53" t="s">
        <v>254</v>
      </c>
      <c r="C363" s="53" t="str">
        <f>IFERROR(VLOOKUP(B363,'👥 بيانات الموظفين'!B:C,2,0),"")</f>
        <v>Hassan Ali Khoury</v>
      </c>
      <c r="D363" s="55">
        <f>DATEVALUE("2026-04-29")</f>
        <v>46141</v>
      </c>
      <c r="E363" s="53" t="s">
        <v>86</v>
      </c>
      <c r="F363" s="75">
        <f>TIMEVALUE("07:56")</f>
        <v>0.33055555555555555</v>
      </c>
      <c r="G363" s="75">
        <f>TIMEVALUE("17:06")</f>
        <v>0.71250000000000002</v>
      </c>
      <c r="H363" s="76">
        <f t="shared" si="20"/>
        <v>9.1666666666666679</v>
      </c>
      <c r="I363" s="68">
        <f t="shared" si="21"/>
        <v>0</v>
      </c>
      <c r="J363" s="76">
        <f t="shared" si="22"/>
        <v>1.1666666666666679</v>
      </c>
      <c r="K363" s="53"/>
      <c r="L363" s="51" t="str">
        <f t="shared" si="23"/>
        <v>2026-04</v>
      </c>
    </row>
    <row r="364" spans="1:12" ht="22.15" customHeight="1" x14ac:dyDescent="0.2">
      <c r="A364" s="57">
        <v>360</v>
      </c>
      <c r="B364" s="57" t="s">
        <v>254</v>
      </c>
      <c r="C364" s="57" t="str">
        <f>IFERROR(VLOOKUP(B364,'👥 بيانات الموظفين'!B:C,2,0),"")</f>
        <v>Hassan Ali Khoury</v>
      </c>
      <c r="D364" s="59">
        <f>DATEVALUE("2026-04-30")</f>
        <v>46142</v>
      </c>
      <c r="E364" s="57" t="s">
        <v>86</v>
      </c>
      <c r="F364" s="77">
        <f>TIMEVALUE("07:52")</f>
        <v>0.32777777777777778</v>
      </c>
      <c r="G364" s="77">
        <f>TIMEVALUE("17:17")</f>
        <v>0.72013888888888888</v>
      </c>
      <c r="H364" s="78">
        <f t="shared" si="20"/>
        <v>9.4166666666666661</v>
      </c>
      <c r="I364" s="69">
        <f t="shared" si="21"/>
        <v>0</v>
      </c>
      <c r="J364" s="78">
        <f t="shared" si="22"/>
        <v>1.4166666666666661</v>
      </c>
      <c r="K364" s="57"/>
      <c r="L364" s="52" t="str">
        <f t="shared" si="23"/>
        <v>2026-04</v>
      </c>
    </row>
    <row r="365" spans="1:12" ht="22.15" customHeight="1" x14ac:dyDescent="0.2">
      <c r="A365" s="53">
        <v>361</v>
      </c>
      <c r="B365" s="53" t="s">
        <v>255</v>
      </c>
      <c r="C365" s="53" t="str">
        <f>IFERROR(VLOOKUP(B365,'👥 بيانات الموظفين'!B:C,2,0),"")</f>
        <v>ناصر علي الشمراني</v>
      </c>
      <c r="D365" s="55">
        <f>DATEVALUE("2026-04-12")</f>
        <v>46124</v>
      </c>
      <c r="E365" s="53" t="s">
        <v>86</v>
      </c>
      <c r="F365" s="75">
        <f>TIMEVALUE("07:56")</f>
        <v>0.33055555555555555</v>
      </c>
      <c r="G365" s="75">
        <f>TIMEVALUE("17:07")</f>
        <v>0.71319444444444446</v>
      </c>
      <c r="H365" s="76">
        <f t="shared" si="20"/>
        <v>9.1833333333333336</v>
      </c>
      <c r="I365" s="68">
        <f t="shared" si="21"/>
        <v>0</v>
      </c>
      <c r="J365" s="76">
        <f t="shared" si="22"/>
        <v>1.1833333333333336</v>
      </c>
      <c r="K365" s="53"/>
      <c r="L365" s="51" t="str">
        <f t="shared" si="23"/>
        <v>2026-04</v>
      </c>
    </row>
    <row r="366" spans="1:12" ht="22.15" customHeight="1" x14ac:dyDescent="0.2">
      <c r="A366" s="57">
        <v>362</v>
      </c>
      <c r="B366" s="57" t="s">
        <v>255</v>
      </c>
      <c r="C366" s="57" t="str">
        <f>IFERROR(VLOOKUP(B366,'👥 بيانات الموظفين'!B:C,2,0),"")</f>
        <v>ناصر علي الشمراني</v>
      </c>
      <c r="D366" s="59">
        <f>DATEVALUE("2026-04-13")</f>
        <v>46125</v>
      </c>
      <c r="E366" s="57" t="s">
        <v>86</v>
      </c>
      <c r="F366" s="77">
        <f>TIMEVALUE("07:54")</f>
        <v>0.32916666666666666</v>
      </c>
      <c r="G366" s="77">
        <f>TIMEVALUE("17:15")</f>
        <v>0.71875</v>
      </c>
      <c r="H366" s="78">
        <f t="shared" si="20"/>
        <v>9.35</v>
      </c>
      <c r="I366" s="69">
        <f t="shared" si="21"/>
        <v>0</v>
      </c>
      <c r="J366" s="78">
        <f t="shared" si="22"/>
        <v>1.3499999999999996</v>
      </c>
      <c r="K366" s="57"/>
      <c r="L366" s="52" t="str">
        <f t="shared" si="23"/>
        <v>2026-04</v>
      </c>
    </row>
    <row r="367" spans="1:12" ht="22.15" customHeight="1" x14ac:dyDescent="0.2">
      <c r="A367" s="53">
        <v>363</v>
      </c>
      <c r="B367" s="53" t="s">
        <v>255</v>
      </c>
      <c r="C367" s="53" t="str">
        <f>IFERROR(VLOOKUP(B367,'👥 بيانات الموظفين'!B:C,2,0),"")</f>
        <v>ناصر علي الشمراني</v>
      </c>
      <c r="D367" s="55">
        <f>DATEVALUE("2026-04-14")</f>
        <v>46126</v>
      </c>
      <c r="E367" s="53" t="s">
        <v>86</v>
      </c>
      <c r="F367" s="75">
        <f>TIMEVALUE("07:59")</f>
        <v>0.33263888888888887</v>
      </c>
      <c r="G367" s="75">
        <f>TIMEVALUE("17:19")</f>
        <v>0.72152777777777777</v>
      </c>
      <c r="H367" s="76">
        <f t="shared" si="20"/>
        <v>9.3333333333333339</v>
      </c>
      <c r="I367" s="68">
        <f t="shared" si="21"/>
        <v>0</v>
      </c>
      <c r="J367" s="76">
        <f t="shared" si="22"/>
        <v>1.3333333333333339</v>
      </c>
      <c r="K367" s="53"/>
      <c r="L367" s="51" t="str">
        <f t="shared" si="23"/>
        <v>2026-04</v>
      </c>
    </row>
    <row r="368" spans="1:12" ht="22.15" customHeight="1" x14ac:dyDescent="0.2">
      <c r="A368" s="57">
        <v>364</v>
      </c>
      <c r="B368" s="57" t="s">
        <v>255</v>
      </c>
      <c r="C368" s="57" t="str">
        <f>IFERROR(VLOOKUP(B368,'👥 بيانات الموظفين'!B:C,2,0),"")</f>
        <v>ناصر علي الشمراني</v>
      </c>
      <c r="D368" s="59">
        <f>DATEVALUE("2026-04-15")</f>
        <v>46127</v>
      </c>
      <c r="E368" s="57" t="s">
        <v>86</v>
      </c>
      <c r="F368" s="77">
        <f>TIMEVALUE("07:60")</f>
        <v>0.33333333333333331</v>
      </c>
      <c r="G368" s="77">
        <f>TIMEVALUE("17:16")</f>
        <v>0.71944444444444444</v>
      </c>
      <c r="H368" s="78">
        <f t="shared" si="20"/>
        <v>9.2666666666666675</v>
      </c>
      <c r="I368" s="69">
        <f t="shared" si="21"/>
        <v>0</v>
      </c>
      <c r="J368" s="78">
        <f t="shared" si="22"/>
        <v>1.2666666666666675</v>
      </c>
      <c r="K368" s="57"/>
      <c r="L368" s="52" t="str">
        <f t="shared" si="23"/>
        <v>2026-04</v>
      </c>
    </row>
    <row r="369" spans="1:12" ht="22.15" customHeight="1" x14ac:dyDescent="0.2">
      <c r="A369" s="53">
        <v>365</v>
      </c>
      <c r="B369" s="53" t="s">
        <v>255</v>
      </c>
      <c r="C369" s="53" t="str">
        <f>IFERROR(VLOOKUP(B369,'👥 بيانات الموظفين'!B:C,2,0),"")</f>
        <v>ناصر علي الشمراني</v>
      </c>
      <c r="D369" s="55">
        <f>DATEVALUE("2026-04-16")</f>
        <v>46128</v>
      </c>
      <c r="E369" s="53" t="s">
        <v>86</v>
      </c>
      <c r="F369" s="75">
        <f>TIMEVALUE("07:56")</f>
        <v>0.33055555555555555</v>
      </c>
      <c r="G369" s="75">
        <f>TIMEVALUE("17:14")</f>
        <v>0.71805555555555556</v>
      </c>
      <c r="H369" s="76">
        <f t="shared" si="20"/>
        <v>9.3000000000000007</v>
      </c>
      <c r="I369" s="68">
        <f t="shared" si="21"/>
        <v>0</v>
      </c>
      <c r="J369" s="76">
        <f t="shared" si="22"/>
        <v>1.3000000000000007</v>
      </c>
      <c r="K369" s="53"/>
      <c r="L369" s="51" t="str">
        <f t="shared" si="23"/>
        <v>2026-04</v>
      </c>
    </row>
    <row r="370" spans="1:12" ht="22.15" customHeight="1" x14ac:dyDescent="0.2">
      <c r="A370" s="57">
        <v>366</v>
      </c>
      <c r="B370" s="57" t="s">
        <v>255</v>
      </c>
      <c r="C370" s="57" t="str">
        <f>IFERROR(VLOOKUP(B370,'👥 بيانات الموظفين'!B:C,2,0),"")</f>
        <v>ناصر علي الشمراني</v>
      </c>
      <c r="D370" s="59">
        <f>DATEVALUE("2026-04-19")</f>
        <v>46131</v>
      </c>
      <c r="E370" s="57" t="s">
        <v>86</v>
      </c>
      <c r="F370" s="77">
        <f>TIMEVALUE("07:60")</f>
        <v>0.33333333333333331</v>
      </c>
      <c r="G370" s="77">
        <f>TIMEVALUE("17:06")</f>
        <v>0.71250000000000002</v>
      </c>
      <c r="H370" s="78">
        <f t="shared" si="20"/>
        <v>9.1000000000000014</v>
      </c>
      <c r="I370" s="69">
        <f t="shared" si="21"/>
        <v>0</v>
      </c>
      <c r="J370" s="78">
        <f t="shared" si="22"/>
        <v>1.1000000000000014</v>
      </c>
      <c r="K370" s="57"/>
      <c r="L370" s="52" t="str">
        <f t="shared" si="23"/>
        <v>2026-04</v>
      </c>
    </row>
    <row r="371" spans="1:12" ht="22.15" customHeight="1" x14ac:dyDescent="0.2">
      <c r="A371" s="53">
        <v>367</v>
      </c>
      <c r="B371" s="53" t="s">
        <v>255</v>
      </c>
      <c r="C371" s="53" t="str">
        <f>IFERROR(VLOOKUP(B371,'👥 بيانات الموظفين'!B:C,2,0),"")</f>
        <v>ناصر علي الشمراني</v>
      </c>
      <c r="D371" s="55">
        <f>DATEVALUE("2026-04-20")</f>
        <v>46132</v>
      </c>
      <c r="E371" s="53" t="s">
        <v>87</v>
      </c>
      <c r="F371" s="75">
        <f>TIMEVALUE("08:22")</f>
        <v>0.34861111111111109</v>
      </c>
      <c r="G371" s="75">
        <f>TIMEVALUE("17:00")</f>
        <v>0.70833333333333337</v>
      </c>
      <c r="H371" s="76">
        <f t="shared" si="20"/>
        <v>8.6333333333333346</v>
      </c>
      <c r="I371" s="68">
        <f t="shared" si="21"/>
        <v>22</v>
      </c>
      <c r="J371" s="76">
        <f t="shared" si="22"/>
        <v>0.63333333333333464</v>
      </c>
      <c r="K371" s="53"/>
      <c r="L371" s="51" t="str">
        <f t="shared" si="23"/>
        <v>2026-04</v>
      </c>
    </row>
    <row r="372" spans="1:12" ht="22.15" customHeight="1" x14ac:dyDescent="0.2">
      <c r="A372" s="57">
        <v>368</v>
      </c>
      <c r="B372" s="57" t="s">
        <v>255</v>
      </c>
      <c r="C372" s="57" t="str">
        <f>IFERROR(VLOOKUP(B372,'👥 بيانات الموظفين'!B:C,2,0),"")</f>
        <v>ناصر علي الشمراني</v>
      </c>
      <c r="D372" s="59">
        <f>DATEVALUE("2026-04-21")</f>
        <v>46133</v>
      </c>
      <c r="E372" s="57" t="s">
        <v>86</v>
      </c>
      <c r="F372" s="77">
        <f>TIMEVALUE("08:00")</f>
        <v>0.33333333333333331</v>
      </c>
      <c r="G372" s="77">
        <f>TIMEVALUE("17:13")</f>
        <v>0.71736111111111112</v>
      </c>
      <c r="H372" s="78">
        <f t="shared" si="20"/>
        <v>9.2166666666666668</v>
      </c>
      <c r="I372" s="69">
        <f t="shared" si="21"/>
        <v>0</v>
      </c>
      <c r="J372" s="78">
        <f t="shared" si="22"/>
        <v>1.2166666666666668</v>
      </c>
      <c r="K372" s="57"/>
      <c r="L372" s="52" t="str">
        <f t="shared" si="23"/>
        <v>2026-04</v>
      </c>
    </row>
    <row r="373" spans="1:12" ht="22.15" customHeight="1" x14ac:dyDescent="0.2">
      <c r="A373" s="53">
        <v>369</v>
      </c>
      <c r="B373" s="53" t="s">
        <v>255</v>
      </c>
      <c r="C373" s="53" t="str">
        <f>IFERROR(VLOOKUP(B373,'👥 بيانات الموظفين'!B:C,2,0),"")</f>
        <v>ناصر علي الشمراني</v>
      </c>
      <c r="D373" s="55">
        <f>DATEVALUE("2026-04-22")</f>
        <v>46134</v>
      </c>
      <c r="E373" s="53" t="s">
        <v>86</v>
      </c>
      <c r="F373" s="75">
        <f>TIMEVALUE("07:53")</f>
        <v>0.32847222222222222</v>
      </c>
      <c r="G373" s="75">
        <f>TIMEVALUE("17:03")</f>
        <v>0.7104166666666667</v>
      </c>
      <c r="H373" s="76">
        <f t="shared" si="20"/>
        <v>9.1666666666666679</v>
      </c>
      <c r="I373" s="68">
        <f t="shared" si="21"/>
        <v>0</v>
      </c>
      <c r="J373" s="76">
        <f t="shared" si="22"/>
        <v>1.1666666666666679</v>
      </c>
      <c r="K373" s="53"/>
      <c r="L373" s="51" t="str">
        <f t="shared" si="23"/>
        <v>2026-04</v>
      </c>
    </row>
    <row r="374" spans="1:12" ht="22.15" customHeight="1" x14ac:dyDescent="0.2">
      <c r="A374" s="57">
        <v>370</v>
      </c>
      <c r="B374" s="57" t="s">
        <v>255</v>
      </c>
      <c r="C374" s="57" t="str">
        <f>IFERROR(VLOOKUP(B374,'👥 بيانات الموظفين'!B:C,2,0),"")</f>
        <v>ناصر علي الشمراني</v>
      </c>
      <c r="D374" s="59">
        <f>DATEVALUE("2026-04-23")</f>
        <v>46135</v>
      </c>
      <c r="E374" s="57" t="s">
        <v>86</v>
      </c>
      <c r="F374" s="77">
        <f>TIMEVALUE("07:57")</f>
        <v>0.33124999999999999</v>
      </c>
      <c r="G374" s="77">
        <f>TIMEVALUE("17:19")</f>
        <v>0.72152777777777777</v>
      </c>
      <c r="H374" s="78">
        <f t="shared" si="20"/>
        <v>9.3666666666666671</v>
      </c>
      <c r="I374" s="69">
        <f t="shared" si="21"/>
        <v>0</v>
      </c>
      <c r="J374" s="78">
        <f t="shared" si="22"/>
        <v>1.3666666666666671</v>
      </c>
      <c r="K374" s="57"/>
      <c r="L374" s="52" t="str">
        <f t="shared" si="23"/>
        <v>2026-04</v>
      </c>
    </row>
    <row r="375" spans="1:12" ht="22.15" customHeight="1" x14ac:dyDescent="0.2">
      <c r="A375" s="53">
        <v>371</v>
      </c>
      <c r="B375" s="53" t="s">
        <v>255</v>
      </c>
      <c r="C375" s="53" t="str">
        <f>IFERROR(VLOOKUP(B375,'👥 بيانات الموظفين'!B:C,2,0),"")</f>
        <v>ناصر علي الشمراني</v>
      </c>
      <c r="D375" s="55">
        <f>DATEVALUE("2026-04-26")</f>
        <v>46138</v>
      </c>
      <c r="E375" s="53" t="s">
        <v>86</v>
      </c>
      <c r="F375" s="75">
        <f>TIMEVALUE("07:59")</f>
        <v>0.33263888888888887</v>
      </c>
      <c r="G375" s="75">
        <f>TIMEVALUE("17:18")</f>
        <v>0.72083333333333333</v>
      </c>
      <c r="H375" s="76">
        <f t="shared" si="20"/>
        <v>9.3166666666666664</v>
      </c>
      <c r="I375" s="68">
        <f t="shared" si="21"/>
        <v>0</v>
      </c>
      <c r="J375" s="76">
        <f t="shared" si="22"/>
        <v>1.3166666666666664</v>
      </c>
      <c r="K375" s="53"/>
      <c r="L375" s="51" t="str">
        <f t="shared" si="23"/>
        <v>2026-04</v>
      </c>
    </row>
    <row r="376" spans="1:12" ht="22.15" customHeight="1" x14ac:dyDescent="0.2">
      <c r="A376" s="57">
        <v>372</v>
      </c>
      <c r="B376" s="57" t="s">
        <v>255</v>
      </c>
      <c r="C376" s="57" t="str">
        <f>IFERROR(VLOOKUP(B376,'👥 بيانات الموظفين'!B:C,2,0),"")</f>
        <v>ناصر علي الشمراني</v>
      </c>
      <c r="D376" s="59">
        <f>DATEVALUE("2026-04-27")</f>
        <v>46139</v>
      </c>
      <c r="E376" s="57" t="s">
        <v>86</v>
      </c>
      <c r="F376" s="77">
        <f>TIMEVALUE("08:07")</f>
        <v>0.33819444444444446</v>
      </c>
      <c r="G376" s="77">
        <f>TIMEVALUE("17:14")</f>
        <v>0.71805555555555556</v>
      </c>
      <c r="H376" s="78">
        <f t="shared" si="20"/>
        <v>9.1166666666666671</v>
      </c>
      <c r="I376" s="69">
        <f t="shared" si="21"/>
        <v>0</v>
      </c>
      <c r="J376" s="78">
        <f t="shared" si="22"/>
        <v>1.1166666666666671</v>
      </c>
      <c r="K376" s="57"/>
      <c r="L376" s="52" t="str">
        <f t="shared" si="23"/>
        <v>2026-04</v>
      </c>
    </row>
    <row r="377" spans="1:12" ht="22.15" customHeight="1" x14ac:dyDescent="0.2">
      <c r="A377" s="53">
        <v>373</v>
      </c>
      <c r="B377" s="53" t="s">
        <v>255</v>
      </c>
      <c r="C377" s="53" t="str">
        <f>IFERROR(VLOOKUP(B377,'👥 بيانات الموظفين'!B:C,2,0),"")</f>
        <v>ناصر علي الشمراني</v>
      </c>
      <c r="D377" s="55">
        <f>DATEVALUE("2026-04-28")</f>
        <v>46140</v>
      </c>
      <c r="E377" s="53" t="s">
        <v>86</v>
      </c>
      <c r="F377" s="75">
        <f>TIMEVALUE("08:04")</f>
        <v>0.33611111111111114</v>
      </c>
      <c r="G377" s="75">
        <f>TIMEVALUE("17:08")</f>
        <v>0.71388888888888891</v>
      </c>
      <c r="H377" s="76">
        <f t="shared" si="20"/>
        <v>9.0666666666666664</v>
      </c>
      <c r="I377" s="68">
        <f t="shared" si="21"/>
        <v>0</v>
      </c>
      <c r="J377" s="76">
        <f t="shared" si="22"/>
        <v>1.0666666666666664</v>
      </c>
      <c r="K377" s="53"/>
      <c r="L377" s="51" t="str">
        <f t="shared" si="23"/>
        <v>2026-04</v>
      </c>
    </row>
    <row r="378" spans="1:12" ht="22.15" customHeight="1" x14ac:dyDescent="0.2">
      <c r="A378" s="57">
        <v>374</v>
      </c>
      <c r="B378" s="57" t="s">
        <v>255</v>
      </c>
      <c r="C378" s="57" t="str">
        <f>IFERROR(VLOOKUP(B378,'👥 بيانات الموظفين'!B:C,2,0),"")</f>
        <v>ناصر علي الشمراني</v>
      </c>
      <c r="D378" s="59">
        <f>DATEVALUE("2026-04-29")</f>
        <v>46141</v>
      </c>
      <c r="E378" s="57" t="s">
        <v>86</v>
      </c>
      <c r="F378" s="77">
        <f>TIMEVALUE("08:04")</f>
        <v>0.33611111111111114</v>
      </c>
      <c r="G378" s="77">
        <f>TIMEVALUE("17:03")</f>
        <v>0.7104166666666667</v>
      </c>
      <c r="H378" s="78">
        <f t="shared" si="20"/>
        <v>8.9833333333333343</v>
      </c>
      <c r="I378" s="69">
        <f t="shared" si="21"/>
        <v>0</v>
      </c>
      <c r="J378" s="78">
        <f t="shared" si="22"/>
        <v>0.98333333333333428</v>
      </c>
      <c r="K378" s="57"/>
      <c r="L378" s="52" t="str">
        <f t="shared" si="23"/>
        <v>2026-04</v>
      </c>
    </row>
    <row r="379" spans="1:12" ht="22.15" customHeight="1" x14ac:dyDescent="0.2">
      <c r="A379" s="53">
        <v>375</v>
      </c>
      <c r="B379" s="53" t="s">
        <v>255</v>
      </c>
      <c r="C379" s="53" t="str">
        <f>IFERROR(VLOOKUP(B379,'👥 بيانات الموظفين'!B:C,2,0),"")</f>
        <v>ناصر علي الشمراني</v>
      </c>
      <c r="D379" s="55">
        <f>DATEVALUE("2026-04-30")</f>
        <v>46142</v>
      </c>
      <c r="E379" s="53" t="s">
        <v>86</v>
      </c>
      <c r="F379" s="75">
        <f>TIMEVALUE("08:07")</f>
        <v>0.33819444444444446</v>
      </c>
      <c r="G379" s="75">
        <f>TIMEVALUE("17:14")</f>
        <v>0.71805555555555556</v>
      </c>
      <c r="H379" s="76">
        <f t="shared" si="20"/>
        <v>9.1166666666666671</v>
      </c>
      <c r="I379" s="68">
        <f t="shared" si="21"/>
        <v>0</v>
      </c>
      <c r="J379" s="76">
        <f t="shared" si="22"/>
        <v>1.1166666666666671</v>
      </c>
      <c r="K379" s="53"/>
      <c r="L379" s="51" t="str">
        <f t="shared" si="23"/>
        <v>2026-04</v>
      </c>
    </row>
    <row r="380" spans="1:12" ht="22.15" customHeight="1" x14ac:dyDescent="0.2">
      <c r="A380" s="57">
        <v>376</v>
      </c>
      <c r="B380" s="57" t="s">
        <v>256</v>
      </c>
      <c r="C380" s="57" t="str">
        <f>IFERROR(VLOOKUP(B380,'👥 بيانات الموظفين'!B:C,2,0),"")</f>
        <v>عبير ماجد الصاعدي</v>
      </c>
      <c r="D380" s="59">
        <f>DATEVALUE("2026-04-12")</f>
        <v>46124</v>
      </c>
      <c r="E380" s="57" t="s">
        <v>86</v>
      </c>
      <c r="F380" s="77">
        <f>TIMEVALUE("07:57")</f>
        <v>0.33124999999999999</v>
      </c>
      <c r="G380" s="77">
        <f>TIMEVALUE("17:05")</f>
        <v>0.71180555555555558</v>
      </c>
      <c r="H380" s="78">
        <f t="shared" si="20"/>
        <v>9.1333333333333346</v>
      </c>
      <c r="I380" s="69">
        <f t="shared" si="21"/>
        <v>0</v>
      </c>
      <c r="J380" s="78">
        <f t="shared" si="22"/>
        <v>1.1333333333333346</v>
      </c>
      <c r="K380" s="57"/>
      <c r="L380" s="52" t="str">
        <f t="shared" si="23"/>
        <v>2026-04</v>
      </c>
    </row>
    <row r="381" spans="1:12" ht="22.15" customHeight="1" x14ac:dyDescent="0.2">
      <c r="A381" s="53">
        <v>377</v>
      </c>
      <c r="B381" s="53" t="s">
        <v>256</v>
      </c>
      <c r="C381" s="53" t="str">
        <f>IFERROR(VLOOKUP(B381,'👥 بيانات الموظفين'!B:C,2,0),"")</f>
        <v>عبير ماجد الصاعدي</v>
      </c>
      <c r="D381" s="55">
        <f>DATEVALUE("2026-04-13")</f>
        <v>46125</v>
      </c>
      <c r="E381" s="53" t="s">
        <v>86</v>
      </c>
      <c r="F381" s="75">
        <f>TIMEVALUE("08:06")</f>
        <v>0.33750000000000002</v>
      </c>
      <c r="G381" s="75">
        <f>TIMEVALUE("17:10")</f>
        <v>0.71527777777777779</v>
      </c>
      <c r="H381" s="76">
        <f t="shared" si="20"/>
        <v>9.0666666666666664</v>
      </c>
      <c r="I381" s="68">
        <f t="shared" si="21"/>
        <v>0</v>
      </c>
      <c r="J381" s="76">
        <f t="shared" si="22"/>
        <v>1.0666666666666664</v>
      </c>
      <c r="K381" s="53"/>
      <c r="L381" s="51" t="str">
        <f t="shared" si="23"/>
        <v>2026-04</v>
      </c>
    </row>
    <row r="382" spans="1:12" ht="22.15" customHeight="1" x14ac:dyDescent="0.2">
      <c r="A382" s="57">
        <v>378</v>
      </c>
      <c r="B382" s="57" t="s">
        <v>256</v>
      </c>
      <c r="C382" s="57" t="str">
        <f>IFERROR(VLOOKUP(B382,'👥 بيانات الموظفين'!B:C,2,0),"")</f>
        <v>عبير ماجد الصاعدي</v>
      </c>
      <c r="D382" s="59">
        <f>DATEVALUE("2026-04-14")</f>
        <v>46126</v>
      </c>
      <c r="E382" s="57" t="s">
        <v>87</v>
      </c>
      <c r="F382" s="77">
        <f>TIMEVALUE("08:10")</f>
        <v>0.34027777777777779</v>
      </c>
      <c r="G382" s="77">
        <f>TIMEVALUE("17:00")</f>
        <v>0.70833333333333337</v>
      </c>
      <c r="H382" s="78">
        <f t="shared" si="20"/>
        <v>8.8333333333333339</v>
      </c>
      <c r="I382" s="69">
        <f t="shared" si="21"/>
        <v>10.000000000000044</v>
      </c>
      <c r="J382" s="78">
        <f t="shared" si="22"/>
        <v>0.83333333333333393</v>
      </c>
      <c r="K382" s="57"/>
      <c r="L382" s="52" t="str">
        <f t="shared" si="23"/>
        <v>2026-04</v>
      </c>
    </row>
    <row r="383" spans="1:12" ht="22.15" customHeight="1" x14ac:dyDescent="0.2">
      <c r="A383" s="53">
        <v>379</v>
      </c>
      <c r="B383" s="53" t="s">
        <v>257</v>
      </c>
      <c r="C383" s="53" t="str">
        <f>IFERROR(VLOOKUP(B383,'👥 بيانات الموظفين'!B:C,2,0),"")</f>
        <v>Anwar Singh Rana</v>
      </c>
      <c r="D383" s="55">
        <f>DATEVALUE("2026-04-12")</f>
        <v>46124</v>
      </c>
      <c r="E383" s="53" t="s">
        <v>86</v>
      </c>
      <c r="F383" s="75">
        <f>TIMEVALUE("07:57")</f>
        <v>0.33124999999999999</v>
      </c>
      <c r="G383" s="75">
        <f>TIMEVALUE("17:18")</f>
        <v>0.72083333333333333</v>
      </c>
      <c r="H383" s="76">
        <f t="shared" si="20"/>
        <v>9.35</v>
      </c>
      <c r="I383" s="68">
        <f t="shared" si="21"/>
        <v>0</v>
      </c>
      <c r="J383" s="76">
        <f t="shared" si="22"/>
        <v>1.3499999999999996</v>
      </c>
      <c r="K383" s="53"/>
      <c r="L383" s="51" t="str">
        <f t="shared" si="23"/>
        <v>2026-04</v>
      </c>
    </row>
    <row r="384" spans="1:12" ht="22.15" customHeight="1" x14ac:dyDescent="0.2">
      <c r="A384" s="57">
        <v>380</v>
      </c>
      <c r="B384" s="57" t="s">
        <v>257</v>
      </c>
      <c r="C384" s="57" t="str">
        <f>IFERROR(VLOOKUP(B384,'👥 بيانات الموظفين'!B:C,2,0),"")</f>
        <v>Anwar Singh Rana</v>
      </c>
      <c r="D384" s="59">
        <f>DATEVALUE("2026-04-13")</f>
        <v>46125</v>
      </c>
      <c r="E384" s="57" t="s">
        <v>86</v>
      </c>
      <c r="F384" s="77">
        <f>TIMEVALUE("08:07")</f>
        <v>0.33819444444444446</v>
      </c>
      <c r="G384" s="77">
        <f>TIMEVALUE("17:13")</f>
        <v>0.71736111111111112</v>
      </c>
      <c r="H384" s="78">
        <f t="shared" si="20"/>
        <v>9.1</v>
      </c>
      <c r="I384" s="69">
        <f t="shared" si="21"/>
        <v>0</v>
      </c>
      <c r="J384" s="78">
        <f t="shared" si="22"/>
        <v>1.0999999999999996</v>
      </c>
      <c r="K384" s="57"/>
      <c r="L384" s="52" t="str">
        <f t="shared" si="23"/>
        <v>2026-04</v>
      </c>
    </row>
    <row r="385" spans="1:12" ht="22.15" customHeight="1" x14ac:dyDescent="0.2">
      <c r="A385" s="53">
        <v>381</v>
      </c>
      <c r="B385" s="53" t="s">
        <v>257</v>
      </c>
      <c r="C385" s="53" t="str">
        <f>IFERROR(VLOOKUP(B385,'👥 بيانات الموظفين'!B:C,2,0),"")</f>
        <v>Anwar Singh Rana</v>
      </c>
      <c r="D385" s="55">
        <f>DATEVALUE("2026-04-14")</f>
        <v>46126</v>
      </c>
      <c r="E385" s="53" t="s">
        <v>86</v>
      </c>
      <c r="F385" s="75">
        <f>TIMEVALUE("07:58")</f>
        <v>0.33194444444444443</v>
      </c>
      <c r="G385" s="75">
        <f>TIMEVALUE("17:03")</f>
        <v>0.7104166666666667</v>
      </c>
      <c r="H385" s="76">
        <f t="shared" si="20"/>
        <v>9.0833333333333339</v>
      </c>
      <c r="I385" s="68">
        <f t="shared" si="21"/>
        <v>0</v>
      </c>
      <c r="J385" s="76">
        <f t="shared" si="22"/>
        <v>1.0833333333333339</v>
      </c>
      <c r="K385" s="53"/>
      <c r="L385" s="51" t="str">
        <f t="shared" si="23"/>
        <v>2026-04</v>
      </c>
    </row>
    <row r="386" spans="1:12" ht="22.15" customHeight="1" x14ac:dyDescent="0.2">
      <c r="A386" s="57">
        <v>382</v>
      </c>
      <c r="B386" s="57" t="s">
        <v>257</v>
      </c>
      <c r="C386" s="57" t="str">
        <f>IFERROR(VLOOKUP(B386,'👥 بيانات الموظفين'!B:C,2,0),"")</f>
        <v>Anwar Singh Rana</v>
      </c>
      <c r="D386" s="59">
        <f>DATEVALUE("2026-04-15")</f>
        <v>46127</v>
      </c>
      <c r="E386" s="57" t="s">
        <v>86</v>
      </c>
      <c r="F386" s="77">
        <f>TIMEVALUE("07:60")</f>
        <v>0.33333333333333331</v>
      </c>
      <c r="G386" s="77">
        <f>TIMEVALUE("17:12")</f>
        <v>0.71666666666666667</v>
      </c>
      <c r="H386" s="78">
        <f t="shared" si="20"/>
        <v>9.2000000000000011</v>
      </c>
      <c r="I386" s="69">
        <f t="shared" si="21"/>
        <v>0</v>
      </c>
      <c r="J386" s="78">
        <f t="shared" si="22"/>
        <v>1.2000000000000011</v>
      </c>
      <c r="K386" s="57"/>
      <c r="L386" s="52" t="str">
        <f t="shared" si="23"/>
        <v>2026-04</v>
      </c>
    </row>
    <row r="387" spans="1:12" ht="22.15" customHeight="1" x14ac:dyDescent="0.2">
      <c r="A387" s="53">
        <v>383</v>
      </c>
      <c r="B387" s="53" t="s">
        <v>257</v>
      </c>
      <c r="C387" s="53" t="str">
        <f>IFERROR(VLOOKUP(B387,'👥 بيانات الموظفين'!B:C,2,0),"")</f>
        <v>Anwar Singh Rana</v>
      </c>
      <c r="D387" s="55">
        <f>DATEVALUE("2026-04-16")</f>
        <v>46128</v>
      </c>
      <c r="E387" s="53" t="s">
        <v>86</v>
      </c>
      <c r="F387" s="75">
        <f>TIMEVALUE("07:56")</f>
        <v>0.33055555555555555</v>
      </c>
      <c r="G387" s="75">
        <f>TIMEVALUE("17:19")</f>
        <v>0.72152777777777777</v>
      </c>
      <c r="H387" s="76">
        <f t="shared" si="20"/>
        <v>9.3833333333333329</v>
      </c>
      <c r="I387" s="68">
        <f t="shared" si="21"/>
        <v>0</v>
      </c>
      <c r="J387" s="76">
        <f t="shared" si="22"/>
        <v>1.3833333333333329</v>
      </c>
      <c r="K387" s="53"/>
      <c r="L387" s="51" t="str">
        <f t="shared" si="23"/>
        <v>2026-04</v>
      </c>
    </row>
    <row r="388" spans="1:12" ht="22.15" customHeight="1" x14ac:dyDescent="0.2">
      <c r="A388" s="57">
        <v>384</v>
      </c>
      <c r="B388" s="57" t="s">
        <v>257</v>
      </c>
      <c r="C388" s="57" t="str">
        <f>IFERROR(VLOOKUP(B388,'👥 بيانات الموظفين'!B:C,2,0),"")</f>
        <v>Anwar Singh Rana</v>
      </c>
      <c r="D388" s="59">
        <f>DATEVALUE("2026-04-19")</f>
        <v>46131</v>
      </c>
      <c r="E388" s="57" t="s">
        <v>86</v>
      </c>
      <c r="F388" s="77">
        <f>TIMEVALUE("08:02")</f>
        <v>0.3347222222222222</v>
      </c>
      <c r="G388" s="77">
        <f>TIMEVALUE("17:00")</f>
        <v>0.70833333333333337</v>
      </c>
      <c r="H388" s="78">
        <f t="shared" si="20"/>
        <v>8.9666666666666686</v>
      </c>
      <c r="I388" s="69">
        <f t="shared" si="21"/>
        <v>0</v>
      </c>
      <c r="J388" s="78">
        <f t="shared" si="22"/>
        <v>0.96666666666666856</v>
      </c>
      <c r="K388" s="57"/>
      <c r="L388" s="52" t="str">
        <f t="shared" si="23"/>
        <v>2026-04</v>
      </c>
    </row>
    <row r="389" spans="1:12" ht="22.15" customHeight="1" x14ac:dyDescent="0.2">
      <c r="A389" s="53">
        <v>385</v>
      </c>
      <c r="B389" s="53" t="s">
        <v>257</v>
      </c>
      <c r="C389" s="53" t="str">
        <f>IFERROR(VLOOKUP(B389,'👥 بيانات الموظفين'!B:C,2,0),"")</f>
        <v>Anwar Singh Rana</v>
      </c>
      <c r="D389" s="55">
        <f>DATEVALUE("2026-04-20")</f>
        <v>46132</v>
      </c>
      <c r="E389" s="53" t="s">
        <v>86</v>
      </c>
      <c r="F389" s="75">
        <f>TIMEVALUE("08:07")</f>
        <v>0.33819444444444446</v>
      </c>
      <c r="G389" s="75">
        <f>TIMEVALUE("17:01")</f>
        <v>0.70902777777777781</v>
      </c>
      <c r="H389" s="76">
        <f t="shared" ref="H389:H452" si="24">IFERROR(IF(AND(F389&lt;&gt;"",G389&lt;&gt;""),(G389-F389)*24,""),"")</f>
        <v>8.9</v>
      </c>
      <c r="I389" s="68">
        <f t="shared" ref="I389:I452" si="25">IFERROR(IF(E389="متأخر",MAX(0,(F389-TIME(8,0,0))*1440),0),0)</f>
        <v>0</v>
      </c>
      <c r="J389" s="76">
        <f t="shared" ref="J389:J452" si="26">IFERROR(IF(AND(ISNUMBER(H389),H389&gt;WorkHoursDay),H389-WorkHoursDay,0),0)</f>
        <v>0.90000000000000036</v>
      </c>
      <c r="K389" s="53"/>
      <c r="L389" s="51" t="str">
        <f t="shared" ref="L389:L452" si="27">IF(D389&lt;&gt;"",TEXT(D389,"yyyy-mm"),"")</f>
        <v>2026-04</v>
      </c>
    </row>
    <row r="390" spans="1:12" ht="22.15" customHeight="1" x14ac:dyDescent="0.2">
      <c r="A390" s="57">
        <v>386</v>
      </c>
      <c r="B390" s="57" t="s">
        <v>257</v>
      </c>
      <c r="C390" s="57" t="str">
        <f>IFERROR(VLOOKUP(B390,'👥 بيانات الموظفين'!B:C,2,0),"")</f>
        <v>Anwar Singh Rana</v>
      </c>
      <c r="D390" s="59">
        <f>DATEVALUE("2026-04-21")</f>
        <v>46133</v>
      </c>
      <c r="E390" s="57" t="s">
        <v>86</v>
      </c>
      <c r="F390" s="77">
        <f>TIMEVALUE("08:06")</f>
        <v>0.33750000000000002</v>
      </c>
      <c r="G390" s="77">
        <f>TIMEVALUE("17:02")</f>
        <v>0.70972222222222225</v>
      </c>
      <c r="H390" s="78">
        <f t="shared" si="24"/>
        <v>8.9333333333333336</v>
      </c>
      <c r="I390" s="69">
        <f t="shared" si="25"/>
        <v>0</v>
      </c>
      <c r="J390" s="78">
        <f t="shared" si="26"/>
        <v>0.93333333333333357</v>
      </c>
      <c r="K390" s="57"/>
      <c r="L390" s="52" t="str">
        <f t="shared" si="27"/>
        <v>2026-04</v>
      </c>
    </row>
    <row r="391" spans="1:12" ht="22.15" customHeight="1" x14ac:dyDescent="0.2">
      <c r="A391" s="53">
        <v>387</v>
      </c>
      <c r="B391" s="53" t="s">
        <v>257</v>
      </c>
      <c r="C391" s="53" t="str">
        <f>IFERROR(VLOOKUP(B391,'👥 بيانات الموظفين'!B:C,2,0),"")</f>
        <v>Anwar Singh Rana</v>
      </c>
      <c r="D391" s="55">
        <f>DATEVALUE("2026-04-22")</f>
        <v>46134</v>
      </c>
      <c r="E391" s="53" t="s">
        <v>87</v>
      </c>
      <c r="F391" s="75">
        <f>TIMEVALUE("08:20")</f>
        <v>0.34722222222222221</v>
      </c>
      <c r="G391" s="75">
        <f>TIMEVALUE("17:00")</f>
        <v>0.70833333333333337</v>
      </c>
      <c r="H391" s="76">
        <f t="shared" si="24"/>
        <v>8.6666666666666679</v>
      </c>
      <c r="I391" s="68">
        <f t="shared" si="25"/>
        <v>20.000000000000007</v>
      </c>
      <c r="J391" s="76">
        <f t="shared" si="26"/>
        <v>0.66666666666666785</v>
      </c>
      <c r="K391" s="53"/>
      <c r="L391" s="51" t="str">
        <f t="shared" si="27"/>
        <v>2026-04</v>
      </c>
    </row>
    <row r="392" spans="1:12" ht="22.15" customHeight="1" x14ac:dyDescent="0.2">
      <c r="A392" s="57">
        <v>388</v>
      </c>
      <c r="B392" s="57" t="s">
        <v>257</v>
      </c>
      <c r="C392" s="57" t="str">
        <f>IFERROR(VLOOKUP(B392,'👥 بيانات الموظفين'!B:C,2,0),"")</f>
        <v>Anwar Singh Rana</v>
      </c>
      <c r="D392" s="59">
        <f>DATEVALUE("2026-04-23")</f>
        <v>46135</v>
      </c>
      <c r="E392" s="57" t="s">
        <v>86</v>
      </c>
      <c r="F392" s="77">
        <f>TIMEVALUE("07:61")</f>
        <v>0.33402777777777776</v>
      </c>
      <c r="G392" s="77">
        <f>TIMEVALUE("17:15")</f>
        <v>0.71875</v>
      </c>
      <c r="H392" s="78">
        <f t="shared" si="24"/>
        <v>9.2333333333333343</v>
      </c>
      <c r="I392" s="69">
        <f t="shared" si="25"/>
        <v>0</v>
      </c>
      <c r="J392" s="78">
        <f t="shared" si="26"/>
        <v>1.2333333333333343</v>
      </c>
      <c r="K392" s="57"/>
      <c r="L392" s="52" t="str">
        <f t="shared" si="27"/>
        <v>2026-04</v>
      </c>
    </row>
    <row r="393" spans="1:12" ht="22.15" customHeight="1" x14ac:dyDescent="0.2">
      <c r="A393" s="53">
        <v>389</v>
      </c>
      <c r="B393" s="53" t="s">
        <v>257</v>
      </c>
      <c r="C393" s="53" t="str">
        <f>IFERROR(VLOOKUP(B393,'👥 بيانات الموظفين'!B:C,2,0),"")</f>
        <v>Anwar Singh Rana</v>
      </c>
      <c r="D393" s="55">
        <f>DATEVALUE("2026-04-26")</f>
        <v>46138</v>
      </c>
      <c r="E393" s="53" t="s">
        <v>86</v>
      </c>
      <c r="F393" s="75">
        <f>TIMEVALUE("08:05")</f>
        <v>0.33680555555555558</v>
      </c>
      <c r="G393" s="75">
        <f>TIMEVALUE("17:00")</f>
        <v>0.70833333333333337</v>
      </c>
      <c r="H393" s="76">
        <f t="shared" si="24"/>
        <v>8.9166666666666679</v>
      </c>
      <c r="I393" s="68">
        <f t="shared" si="25"/>
        <v>0</v>
      </c>
      <c r="J393" s="76">
        <f t="shared" si="26"/>
        <v>0.91666666666666785</v>
      </c>
      <c r="K393" s="53"/>
      <c r="L393" s="51" t="str">
        <f t="shared" si="27"/>
        <v>2026-04</v>
      </c>
    </row>
    <row r="394" spans="1:12" ht="22.15" customHeight="1" x14ac:dyDescent="0.2">
      <c r="A394" s="57">
        <v>390</v>
      </c>
      <c r="B394" s="57" t="s">
        <v>257</v>
      </c>
      <c r="C394" s="57" t="str">
        <f>IFERROR(VLOOKUP(B394,'👥 بيانات الموظفين'!B:C,2,0),"")</f>
        <v>Anwar Singh Rana</v>
      </c>
      <c r="D394" s="59">
        <f>DATEVALUE("2026-04-27")</f>
        <v>46139</v>
      </c>
      <c r="E394" s="57" t="s">
        <v>86</v>
      </c>
      <c r="F394" s="77">
        <f>TIMEVALUE("08:07")</f>
        <v>0.33819444444444446</v>
      </c>
      <c r="G394" s="77">
        <f>TIMEVALUE("17:01")</f>
        <v>0.70902777777777781</v>
      </c>
      <c r="H394" s="78">
        <f t="shared" si="24"/>
        <v>8.9</v>
      </c>
      <c r="I394" s="69">
        <f t="shared" si="25"/>
        <v>0</v>
      </c>
      <c r="J394" s="78">
        <f t="shared" si="26"/>
        <v>0.90000000000000036</v>
      </c>
      <c r="K394" s="57"/>
      <c r="L394" s="52" t="str">
        <f t="shared" si="27"/>
        <v>2026-04</v>
      </c>
    </row>
    <row r="395" spans="1:12" ht="22.15" customHeight="1" x14ac:dyDescent="0.2">
      <c r="A395" s="53">
        <v>391</v>
      </c>
      <c r="B395" s="53" t="s">
        <v>257</v>
      </c>
      <c r="C395" s="53" t="str">
        <f>IFERROR(VLOOKUP(B395,'👥 بيانات الموظفين'!B:C,2,0),"")</f>
        <v>Anwar Singh Rana</v>
      </c>
      <c r="D395" s="55">
        <f>DATEVALUE("2026-04-28")</f>
        <v>46140</v>
      </c>
      <c r="E395" s="53" t="s">
        <v>86</v>
      </c>
      <c r="F395" s="75">
        <f>TIMEVALUE("08:06")</f>
        <v>0.33750000000000002</v>
      </c>
      <c r="G395" s="75">
        <f>TIMEVALUE("17:06")</f>
        <v>0.71250000000000002</v>
      </c>
      <c r="H395" s="76">
        <f t="shared" si="24"/>
        <v>9</v>
      </c>
      <c r="I395" s="68">
        <f t="shared" si="25"/>
        <v>0</v>
      </c>
      <c r="J395" s="76">
        <f t="shared" si="26"/>
        <v>1</v>
      </c>
      <c r="K395" s="53"/>
      <c r="L395" s="51" t="str">
        <f t="shared" si="27"/>
        <v>2026-04</v>
      </c>
    </row>
    <row r="396" spans="1:12" ht="22.15" customHeight="1" x14ac:dyDescent="0.2">
      <c r="A396" s="57">
        <v>392</v>
      </c>
      <c r="B396" s="57" t="s">
        <v>257</v>
      </c>
      <c r="C396" s="57" t="str">
        <f>IFERROR(VLOOKUP(B396,'👥 بيانات الموظفين'!B:C,2,0),"")</f>
        <v>Anwar Singh Rana</v>
      </c>
      <c r="D396" s="59">
        <f>DATEVALUE("2026-04-29")</f>
        <v>46141</v>
      </c>
      <c r="E396" s="57" t="s">
        <v>86</v>
      </c>
      <c r="F396" s="77">
        <f>TIMEVALUE("07:57")</f>
        <v>0.33124999999999999</v>
      </c>
      <c r="G396" s="77">
        <f>TIMEVALUE("17:02")</f>
        <v>0.70972222222222225</v>
      </c>
      <c r="H396" s="78">
        <f t="shared" si="24"/>
        <v>9.0833333333333339</v>
      </c>
      <c r="I396" s="69">
        <f t="shared" si="25"/>
        <v>0</v>
      </c>
      <c r="J396" s="78">
        <f t="shared" si="26"/>
        <v>1.0833333333333339</v>
      </c>
      <c r="K396" s="57"/>
      <c r="L396" s="52" t="str">
        <f t="shared" si="27"/>
        <v>2026-04</v>
      </c>
    </row>
    <row r="397" spans="1:12" ht="22.15" customHeight="1" x14ac:dyDescent="0.2">
      <c r="A397" s="53">
        <v>393</v>
      </c>
      <c r="B397" s="53" t="s">
        <v>257</v>
      </c>
      <c r="C397" s="53" t="str">
        <f>IFERROR(VLOOKUP(B397,'👥 بيانات الموظفين'!B:C,2,0),"")</f>
        <v>Anwar Singh Rana</v>
      </c>
      <c r="D397" s="55">
        <f>DATEVALUE("2026-04-30")</f>
        <v>46142</v>
      </c>
      <c r="E397" s="53" t="s">
        <v>86</v>
      </c>
      <c r="F397" s="75">
        <f>TIMEVALUE("08:01")</f>
        <v>0.33402777777777776</v>
      </c>
      <c r="G397" s="75">
        <f>TIMEVALUE("17:10")</f>
        <v>0.71527777777777779</v>
      </c>
      <c r="H397" s="76">
        <f t="shared" si="24"/>
        <v>9.15</v>
      </c>
      <c r="I397" s="68">
        <f t="shared" si="25"/>
        <v>0</v>
      </c>
      <c r="J397" s="76">
        <f t="shared" si="26"/>
        <v>1.1500000000000004</v>
      </c>
      <c r="K397" s="53"/>
      <c r="L397" s="51" t="str">
        <f t="shared" si="27"/>
        <v>2026-04</v>
      </c>
    </row>
    <row r="398" spans="1:12" ht="22.15" customHeight="1" x14ac:dyDescent="0.2">
      <c r="A398" s="57">
        <v>394</v>
      </c>
      <c r="B398" s="57" t="s">
        <v>258</v>
      </c>
      <c r="C398" s="57" t="str">
        <f>IFERROR(VLOOKUP(B398,'👥 بيانات الموظفين'!B:C,2,0),"")</f>
        <v>Sara Mahmoud Ibrahim</v>
      </c>
      <c r="D398" s="59">
        <f>DATEVALUE("2026-04-12")</f>
        <v>46124</v>
      </c>
      <c r="E398" s="57" t="s">
        <v>86</v>
      </c>
      <c r="F398" s="77">
        <f>TIMEVALUE("07:60")</f>
        <v>0.33333333333333331</v>
      </c>
      <c r="G398" s="77">
        <f>TIMEVALUE("17:12")</f>
        <v>0.71666666666666667</v>
      </c>
      <c r="H398" s="78">
        <f t="shared" si="24"/>
        <v>9.2000000000000011</v>
      </c>
      <c r="I398" s="69">
        <f t="shared" si="25"/>
        <v>0</v>
      </c>
      <c r="J398" s="78">
        <f t="shared" si="26"/>
        <v>1.2000000000000011</v>
      </c>
      <c r="K398" s="57"/>
      <c r="L398" s="52" t="str">
        <f t="shared" si="27"/>
        <v>2026-04</v>
      </c>
    </row>
    <row r="399" spans="1:12" ht="22.15" customHeight="1" x14ac:dyDescent="0.2">
      <c r="A399" s="53">
        <v>395</v>
      </c>
      <c r="B399" s="53" t="s">
        <v>258</v>
      </c>
      <c r="C399" s="53" t="str">
        <f>IFERROR(VLOOKUP(B399,'👥 بيانات الموظفين'!B:C,2,0),"")</f>
        <v>Sara Mahmoud Ibrahim</v>
      </c>
      <c r="D399" s="55">
        <f>DATEVALUE("2026-04-13")</f>
        <v>46125</v>
      </c>
      <c r="E399" s="53" t="s">
        <v>87</v>
      </c>
      <c r="F399" s="75">
        <f>TIMEVALUE("08:21")</f>
        <v>0.34791666666666665</v>
      </c>
      <c r="G399" s="75">
        <f>TIMEVALUE("17:00")</f>
        <v>0.70833333333333337</v>
      </c>
      <c r="H399" s="76">
        <f t="shared" si="24"/>
        <v>8.6500000000000021</v>
      </c>
      <c r="I399" s="68">
        <f t="shared" si="25"/>
        <v>21.000000000000007</v>
      </c>
      <c r="J399" s="76">
        <f t="shared" si="26"/>
        <v>0.65000000000000213</v>
      </c>
      <c r="K399" s="53"/>
      <c r="L399" s="51" t="str">
        <f t="shared" si="27"/>
        <v>2026-04</v>
      </c>
    </row>
    <row r="400" spans="1:12" ht="22.15" customHeight="1" x14ac:dyDescent="0.2">
      <c r="A400" s="57">
        <v>396</v>
      </c>
      <c r="B400" s="57" t="s">
        <v>258</v>
      </c>
      <c r="C400" s="57" t="str">
        <f>IFERROR(VLOOKUP(B400,'👥 بيانات الموظفين'!B:C,2,0),"")</f>
        <v>Sara Mahmoud Ibrahim</v>
      </c>
      <c r="D400" s="59">
        <f>DATEVALUE("2026-04-14")</f>
        <v>46126</v>
      </c>
      <c r="E400" s="57" t="s">
        <v>86</v>
      </c>
      <c r="F400" s="77">
        <f>TIMEVALUE("08:04")</f>
        <v>0.33611111111111114</v>
      </c>
      <c r="G400" s="77">
        <f>TIMEVALUE("17:14")</f>
        <v>0.71805555555555556</v>
      </c>
      <c r="H400" s="78">
        <f t="shared" si="24"/>
        <v>9.1666666666666661</v>
      </c>
      <c r="I400" s="69">
        <f t="shared" si="25"/>
        <v>0</v>
      </c>
      <c r="J400" s="78">
        <f t="shared" si="26"/>
        <v>1.1666666666666661</v>
      </c>
      <c r="K400" s="57"/>
      <c r="L400" s="52" t="str">
        <f t="shared" si="27"/>
        <v>2026-04</v>
      </c>
    </row>
    <row r="401" spans="1:12" ht="22.15" customHeight="1" x14ac:dyDescent="0.2">
      <c r="A401" s="53">
        <v>397</v>
      </c>
      <c r="B401" s="53" t="s">
        <v>258</v>
      </c>
      <c r="C401" s="53" t="str">
        <f>IFERROR(VLOOKUP(B401,'👥 بيانات الموظفين'!B:C,2,0),"")</f>
        <v>Sara Mahmoud Ibrahim</v>
      </c>
      <c r="D401" s="55">
        <f>DATEVALUE("2026-04-15")</f>
        <v>46127</v>
      </c>
      <c r="E401" s="53" t="s">
        <v>86</v>
      </c>
      <c r="F401" s="75">
        <f>TIMEVALUE("08:03")</f>
        <v>0.33541666666666664</v>
      </c>
      <c r="G401" s="75">
        <f>TIMEVALUE("17:18")</f>
        <v>0.72083333333333333</v>
      </c>
      <c r="H401" s="76">
        <f t="shared" si="24"/>
        <v>9.25</v>
      </c>
      <c r="I401" s="68">
        <f t="shared" si="25"/>
        <v>0</v>
      </c>
      <c r="J401" s="76">
        <f t="shared" si="26"/>
        <v>1.25</v>
      </c>
      <c r="K401" s="53"/>
      <c r="L401" s="51" t="str">
        <f t="shared" si="27"/>
        <v>2026-04</v>
      </c>
    </row>
    <row r="402" spans="1:12" ht="22.15" customHeight="1" x14ac:dyDescent="0.2">
      <c r="A402" s="57">
        <v>398</v>
      </c>
      <c r="B402" s="57" t="s">
        <v>258</v>
      </c>
      <c r="C402" s="57" t="str">
        <f>IFERROR(VLOOKUP(B402,'👥 بيانات الموظفين'!B:C,2,0),"")</f>
        <v>Sara Mahmoud Ibrahim</v>
      </c>
      <c r="D402" s="59">
        <f>DATEVALUE("2026-04-16")</f>
        <v>46128</v>
      </c>
      <c r="E402" s="57" t="s">
        <v>86</v>
      </c>
      <c r="F402" s="77">
        <f>TIMEVALUE("07:54")</f>
        <v>0.32916666666666666</v>
      </c>
      <c r="G402" s="77">
        <f>TIMEVALUE("17:18")</f>
        <v>0.72083333333333333</v>
      </c>
      <c r="H402" s="78">
        <f t="shared" si="24"/>
        <v>9.4</v>
      </c>
      <c r="I402" s="69">
        <f t="shared" si="25"/>
        <v>0</v>
      </c>
      <c r="J402" s="78">
        <f t="shared" si="26"/>
        <v>1.4000000000000004</v>
      </c>
      <c r="K402" s="57"/>
      <c r="L402" s="52" t="str">
        <f t="shared" si="27"/>
        <v>2026-04</v>
      </c>
    </row>
    <row r="403" spans="1:12" ht="22.15" customHeight="1" x14ac:dyDescent="0.2">
      <c r="A403" s="53">
        <v>399</v>
      </c>
      <c r="B403" s="53" t="s">
        <v>258</v>
      </c>
      <c r="C403" s="53" t="str">
        <f>IFERROR(VLOOKUP(B403,'👥 بيانات الموظفين'!B:C,2,0),"")</f>
        <v>Sara Mahmoud Ibrahim</v>
      </c>
      <c r="D403" s="55">
        <f>DATEVALUE("2026-04-19")</f>
        <v>46131</v>
      </c>
      <c r="E403" s="53" t="s">
        <v>86</v>
      </c>
      <c r="F403" s="75">
        <f>TIMEVALUE("08:03")</f>
        <v>0.33541666666666664</v>
      </c>
      <c r="G403" s="75">
        <f>TIMEVALUE("17:18")</f>
        <v>0.72083333333333333</v>
      </c>
      <c r="H403" s="76">
        <f t="shared" si="24"/>
        <v>9.25</v>
      </c>
      <c r="I403" s="68">
        <f t="shared" si="25"/>
        <v>0</v>
      </c>
      <c r="J403" s="76">
        <f t="shared" si="26"/>
        <v>1.25</v>
      </c>
      <c r="K403" s="53"/>
      <c r="L403" s="51" t="str">
        <f t="shared" si="27"/>
        <v>2026-04</v>
      </c>
    </row>
    <row r="404" spans="1:12" ht="22.15" customHeight="1" x14ac:dyDescent="0.2">
      <c r="A404" s="57">
        <v>400</v>
      </c>
      <c r="B404" s="57" t="s">
        <v>258</v>
      </c>
      <c r="C404" s="57" t="str">
        <f>IFERROR(VLOOKUP(B404,'👥 بيانات الموظفين'!B:C,2,0),"")</f>
        <v>Sara Mahmoud Ibrahim</v>
      </c>
      <c r="D404" s="59">
        <f>DATEVALUE("2026-04-20")</f>
        <v>46132</v>
      </c>
      <c r="E404" s="57" t="s">
        <v>86</v>
      </c>
      <c r="F404" s="77">
        <f>TIMEVALUE("07:56")</f>
        <v>0.33055555555555555</v>
      </c>
      <c r="G404" s="77">
        <f>TIMEVALUE("17:19")</f>
        <v>0.72152777777777777</v>
      </c>
      <c r="H404" s="78">
        <f t="shared" si="24"/>
        <v>9.3833333333333329</v>
      </c>
      <c r="I404" s="69">
        <f t="shared" si="25"/>
        <v>0</v>
      </c>
      <c r="J404" s="78">
        <f t="shared" si="26"/>
        <v>1.3833333333333329</v>
      </c>
      <c r="K404" s="57"/>
      <c r="L404" s="52" t="str">
        <f t="shared" si="27"/>
        <v>2026-04</v>
      </c>
    </row>
    <row r="405" spans="1:12" ht="22.15" customHeight="1" x14ac:dyDescent="0.2">
      <c r="A405" s="53">
        <v>401</v>
      </c>
      <c r="B405" s="53" t="s">
        <v>258</v>
      </c>
      <c r="C405" s="53" t="str">
        <f>IFERROR(VLOOKUP(B405,'👥 بيانات الموظفين'!B:C,2,0),"")</f>
        <v>Sara Mahmoud Ibrahim</v>
      </c>
      <c r="D405" s="55">
        <f>DATEVALUE("2026-04-21")</f>
        <v>46133</v>
      </c>
      <c r="E405" s="53" t="s">
        <v>86</v>
      </c>
      <c r="F405" s="75">
        <f>TIMEVALUE("08:06")</f>
        <v>0.33750000000000002</v>
      </c>
      <c r="G405" s="75">
        <f>TIMEVALUE("17:16")</f>
        <v>0.71944444444444444</v>
      </c>
      <c r="H405" s="76">
        <f t="shared" si="24"/>
        <v>9.1666666666666661</v>
      </c>
      <c r="I405" s="68">
        <f t="shared" si="25"/>
        <v>0</v>
      </c>
      <c r="J405" s="76">
        <f t="shared" si="26"/>
        <v>1.1666666666666661</v>
      </c>
      <c r="K405" s="53"/>
      <c r="L405" s="51" t="str">
        <f t="shared" si="27"/>
        <v>2026-04</v>
      </c>
    </row>
    <row r="406" spans="1:12" ht="22.15" customHeight="1" x14ac:dyDescent="0.2">
      <c r="A406" s="57">
        <v>402</v>
      </c>
      <c r="B406" s="57" t="s">
        <v>258</v>
      </c>
      <c r="C406" s="57" t="str">
        <f>IFERROR(VLOOKUP(B406,'👥 بيانات الموظفين'!B:C,2,0),"")</f>
        <v>Sara Mahmoud Ibrahim</v>
      </c>
      <c r="D406" s="59">
        <f>DATEVALUE("2026-04-22")</f>
        <v>46134</v>
      </c>
      <c r="E406" s="57" t="s">
        <v>86</v>
      </c>
      <c r="F406" s="77">
        <f>TIMEVALUE("08:00")</f>
        <v>0.33333333333333331</v>
      </c>
      <c r="G406" s="77">
        <f>TIMEVALUE("17:09")</f>
        <v>0.71458333333333335</v>
      </c>
      <c r="H406" s="78">
        <f t="shared" si="24"/>
        <v>9.15</v>
      </c>
      <c r="I406" s="69">
        <f t="shared" si="25"/>
        <v>0</v>
      </c>
      <c r="J406" s="78">
        <f t="shared" si="26"/>
        <v>1.1500000000000004</v>
      </c>
      <c r="K406" s="57"/>
      <c r="L406" s="52" t="str">
        <f t="shared" si="27"/>
        <v>2026-04</v>
      </c>
    </row>
    <row r="407" spans="1:12" ht="22.15" customHeight="1" x14ac:dyDescent="0.2">
      <c r="A407" s="53">
        <v>403</v>
      </c>
      <c r="B407" s="53" t="s">
        <v>258</v>
      </c>
      <c r="C407" s="53" t="str">
        <f>IFERROR(VLOOKUP(B407,'👥 بيانات الموظفين'!B:C,2,0),"")</f>
        <v>Sara Mahmoud Ibrahim</v>
      </c>
      <c r="D407" s="55">
        <f>DATEVALUE("2026-04-23")</f>
        <v>46135</v>
      </c>
      <c r="E407" s="53" t="s">
        <v>86</v>
      </c>
      <c r="F407" s="75">
        <f>TIMEVALUE("07:56")</f>
        <v>0.33055555555555555</v>
      </c>
      <c r="G407" s="75">
        <f>TIMEVALUE("17:08")</f>
        <v>0.71388888888888891</v>
      </c>
      <c r="H407" s="76">
        <f t="shared" si="24"/>
        <v>9.2000000000000011</v>
      </c>
      <c r="I407" s="68">
        <f t="shared" si="25"/>
        <v>0</v>
      </c>
      <c r="J407" s="76">
        <f t="shared" si="26"/>
        <v>1.2000000000000011</v>
      </c>
      <c r="K407" s="53"/>
      <c r="L407" s="51" t="str">
        <f t="shared" si="27"/>
        <v>2026-04</v>
      </c>
    </row>
    <row r="408" spans="1:12" ht="22.15" customHeight="1" x14ac:dyDescent="0.2">
      <c r="A408" s="57">
        <v>404</v>
      </c>
      <c r="B408" s="57" t="s">
        <v>258</v>
      </c>
      <c r="C408" s="57" t="str">
        <f>IFERROR(VLOOKUP(B408,'👥 بيانات الموظفين'!B:C,2,0),"")</f>
        <v>Sara Mahmoud Ibrahim</v>
      </c>
      <c r="D408" s="59">
        <f>DATEVALUE("2026-04-26")</f>
        <v>46138</v>
      </c>
      <c r="E408" s="57" t="s">
        <v>86</v>
      </c>
      <c r="F408" s="77">
        <f>TIMEVALUE("07:53")</f>
        <v>0.32847222222222222</v>
      </c>
      <c r="G408" s="77">
        <f>TIMEVALUE("17:10")</f>
        <v>0.71527777777777779</v>
      </c>
      <c r="H408" s="78">
        <f t="shared" si="24"/>
        <v>9.2833333333333332</v>
      </c>
      <c r="I408" s="69">
        <f t="shared" si="25"/>
        <v>0</v>
      </c>
      <c r="J408" s="78">
        <f t="shared" si="26"/>
        <v>1.2833333333333332</v>
      </c>
      <c r="K408" s="57"/>
      <c r="L408" s="52" t="str">
        <f t="shared" si="27"/>
        <v>2026-04</v>
      </c>
    </row>
    <row r="409" spans="1:12" ht="22.15" customHeight="1" x14ac:dyDescent="0.2">
      <c r="A409" s="53">
        <v>405</v>
      </c>
      <c r="B409" s="53" t="s">
        <v>258</v>
      </c>
      <c r="C409" s="53" t="str">
        <f>IFERROR(VLOOKUP(B409,'👥 بيانات الموظفين'!B:C,2,0),"")</f>
        <v>Sara Mahmoud Ibrahim</v>
      </c>
      <c r="D409" s="55">
        <f>DATEVALUE("2026-04-27")</f>
        <v>46139</v>
      </c>
      <c r="E409" s="53" t="s">
        <v>86</v>
      </c>
      <c r="F409" s="75">
        <f>TIMEVALUE("07:60")</f>
        <v>0.33333333333333331</v>
      </c>
      <c r="G409" s="75">
        <f>TIMEVALUE("17:08")</f>
        <v>0.71388888888888891</v>
      </c>
      <c r="H409" s="76">
        <f t="shared" si="24"/>
        <v>9.1333333333333346</v>
      </c>
      <c r="I409" s="68">
        <f t="shared" si="25"/>
        <v>0</v>
      </c>
      <c r="J409" s="76">
        <f t="shared" si="26"/>
        <v>1.1333333333333346</v>
      </c>
      <c r="K409" s="53"/>
      <c r="L409" s="51" t="str">
        <f t="shared" si="27"/>
        <v>2026-04</v>
      </c>
    </row>
    <row r="410" spans="1:12" ht="22.15" customHeight="1" x14ac:dyDescent="0.2">
      <c r="A410" s="57">
        <v>406</v>
      </c>
      <c r="B410" s="57" t="s">
        <v>258</v>
      </c>
      <c r="C410" s="57" t="str">
        <f>IFERROR(VLOOKUP(B410,'👥 بيانات الموظفين'!B:C,2,0),"")</f>
        <v>Sara Mahmoud Ibrahim</v>
      </c>
      <c r="D410" s="59">
        <f>DATEVALUE("2026-04-28")</f>
        <v>46140</v>
      </c>
      <c r="E410" s="57" t="s">
        <v>86</v>
      </c>
      <c r="F410" s="77">
        <f>TIMEVALUE("07:56")</f>
        <v>0.33055555555555555</v>
      </c>
      <c r="G410" s="77">
        <f>TIMEVALUE("17:08")</f>
        <v>0.71388888888888891</v>
      </c>
      <c r="H410" s="78">
        <f t="shared" si="24"/>
        <v>9.2000000000000011</v>
      </c>
      <c r="I410" s="69">
        <f t="shared" si="25"/>
        <v>0</v>
      </c>
      <c r="J410" s="78">
        <f t="shared" si="26"/>
        <v>1.2000000000000011</v>
      </c>
      <c r="K410" s="57"/>
      <c r="L410" s="52" t="str">
        <f t="shared" si="27"/>
        <v>2026-04</v>
      </c>
    </row>
    <row r="411" spans="1:12" ht="22.15" customHeight="1" x14ac:dyDescent="0.2">
      <c r="A411" s="53">
        <v>407</v>
      </c>
      <c r="B411" s="53" t="s">
        <v>258</v>
      </c>
      <c r="C411" s="53" t="str">
        <f>IFERROR(VLOOKUP(B411,'👥 بيانات الموظفين'!B:C,2,0),"")</f>
        <v>Sara Mahmoud Ibrahim</v>
      </c>
      <c r="D411" s="55">
        <f>DATEVALUE("2026-04-29")</f>
        <v>46141</v>
      </c>
      <c r="E411" s="53" t="s">
        <v>86</v>
      </c>
      <c r="F411" s="75">
        <f>TIMEVALUE("07:54")</f>
        <v>0.32916666666666666</v>
      </c>
      <c r="G411" s="75">
        <f>TIMEVALUE("17:03")</f>
        <v>0.7104166666666667</v>
      </c>
      <c r="H411" s="76">
        <f t="shared" si="24"/>
        <v>9.15</v>
      </c>
      <c r="I411" s="68">
        <f t="shared" si="25"/>
        <v>0</v>
      </c>
      <c r="J411" s="76">
        <f t="shared" si="26"/>
        <v>1.1500000000000004</v>
      </c>
      <c r="K411" s="53"/>
      <c r="L411" s="51" t="str">
        <f t="shared" si="27"/>
        <v>2026-04</v>
      </c>
    </row>
    <row r="412" spans="1:12" ht="22.15" customHeight="1" x14ac:dyDescent="0.2">
      <c r="A412" s="57">
        <v>408</v>
      </c>
      <c r="B412" s="57" t="s">
        <v>258</v>
      </c>
      <c r="C412" s="57" t="str">
        <f>IFERROR(VLOOKUP(B412,'👥 بيانات الموظفين'!B:C,2,0),"")</f>
        <v>Sara Mahmoud Ibrahim</v>
      </c>
      <c r="D412" s="59">
        <f>DATEVALUE("2026-04-30")</f>
        <v>46142</v>
      </c>
      <c r="E412" s="57" t="s">
        <v>86</v>
      </c>
      <c r="F412" s="77">
        <f>TIMEVALUE("07:59")</f>
        <v>0.33263888888888887</v>
      </c>
      <c r="G412" s="77">
        <f>TIMEVALUE("17:03")</f>
        <v>0.7104166666666667</v>
      </c>
      <c r="H412" s="78">
        <f t="shared" si="24"/>
        <v>9.0666666666666682</v>
      </c>
      <c r="I412" s="69">
        <f t="shared" si="25"/>
        <v>0</v>
      </c>
      <c r="J412" s="78">
        <f t="shared" si="26"/>
        <v>1.0666666666666682</v>
      </c>
      <c r="K412" s="57"/>
      <c r="L412" s="52" t="str">
        <f t="shared" si="27"/>
        <v>2026-04</v>
      </c>
    </row>
    <row r="413" spans="1:12" ht="22.15" customHeight="1" x14ac:dyDescent="0.2">
      <c r="A413" s="53">
        <v>409</v>
      </c>
      <c r="B413" s="53" t="s">
        <v>259</v>
      </c>
      <c r="C413" s="53" t="str">
        <f>IFERROR(VLOOKUP(B413,'👥 بيانات الموظفين'!B:C,2,0),"")</f>
        <v>بندر مساعد الشهري</v>
      </c>
      <c r="D413" s="55">
        <f>DATEVALUE("2026-04-12")</f>
        <v>46124</v>
      </c>
      <c r="E413" s="53" t="s">
        <v>86</v>
      </c>
      <c r="F413" s="75">
        <f>TIMEVALUE("07:57")</f>
        <v>0.33124999999999999</v>
      </c>
      <c r="G413" s="75">
        <f>TIMEVALUE("17:06")</f>
        <v>0.71250000000000002</v>
      </c>
      <c r="H413" s="76">
        <f t="shared" si="24"/>
        <v>9.15</v>
      </c>
      <c r="I413" s="68">
        <f t="shared" si="25"/>
        <v>0</v>
      </c>
      <c r="J413" s="76">
        <f t="shared" si="26"/>
        <v>1.1500000000000004</v>
      </c>
      <c r="K413" s="53"/>
      <c r="L413" s="51" t="str">
        <f t="shared" si="27"/>
        <v>2026-04</v>
      </c>
    </row>
    <row r="414" spans="1:12" ht="22.15" customHeight="1" x14ac:dyDescent="0.2">
      <c r="A414" s="57">
        <v>410</v>
      </c>
      <c r="B414" s="57" t="s">
        <v>259</v>
      </c>
      <c r="C414" s="57" t="str">
        <f>IFERROR(VLOOKUP(B414,'👥 بيانات الموظفين'!B:C,2,0),"")</f>
        <v>بندر مساعد الشهري</v>
      </c>
      <c r="D414" s="59">
        <f>DATEVALUE("2026-04-13")</f>
        <v>46125</v>
      </c>
      <c r="E414" s="57" t="s">
        <v>86</v>
      </c>
      <c r="F414" s="77">
        <f>TIMEVALUE("07:58")</f>
        <v>0.33194444444444443</v>
      </c>
      <c r="G414" s="77">
        <f>TIMEVALUE("17:09")</f>
        <v>0.71458333333333335</v>
      </c>
      <c r="H414" s="78">
        <f t="shared" si="24"/>
        <v>9.1833333333333336</v>
      </c>
      <c r="I414" s="69">
        <f t="shared" si="25"/>
        <v>0</v>
      </c>
      <c r="J414" s="78">
        <f t="shared" si="26"/>
        <v>1.1833333333333336</v>
      </c>
      <c r="K414" s="57"/>
      <c r="L414" s="52" t="str">
        <f t="shared" si="27"/>
        <v>2026-04</v>
      </c>
    </row>
    <row r="415" spans="1:12" ht="22.15" customHeight="1" x14ac:dyDescent="0.2">
      <c r="A415" s="53">
        <v>411</v>
      </c>
      <c r="B415" s="53" t="s">
        <v>259</v>
      </c>
      <c r="C415" s="53" t="str">
        <f>IFERROR(VLOOKUP(B415,'👥 بيانات الموظفين'!B:C,2,0),"")</f>
        <v>بندر مساعد الشهري</v>
      </c>
      <c r="D415" s="55">
        <f>DATEVALUE("2026-04-14")</f>
        <v>46126</v>
      </c>
      <c r="E415" s="53" t="s">
        <v>86</v>
      </c>
      <c r="F415" s="75">
        <f>TIMEVALUE("08:06")</f>
        <v>0.33750000000000002</v>
      </c>
      <c r="G415" s="75">
        <f>TIMEVALUE("17:06")</f>
        <v>0.71250000000000002</v>
      </c>
      <c r="H415" s="76">
        <f t="shared" si="24"/>
        <v>9</v>
      </c>
      <c r="I415" s="68">
        <f t="shared" si="25"/>
        <v>0</v>
      </c>
      <c r="J415" s="76">
        <f t="shared" si="26"/>
        <v>1</v>
      </c>
      <c r="K415" s="53"/>
      <c r="L415" s="51" t="str">
        <f t="shared" si="27"/>
        <v>2026-04</v>
      </c>
    </row>
    <row r="416" spans="1:12" ht="22.15" customHeight="1" x14ac:dyDescent="0.2">
      <c r="A416" s="57">
        <v>412</v>
      </c>
      <c r="B416" s="57" t="s">
        <v>259</v>
      </c>
      <c r="C416" s="57" t="str">
        <f>IFERROR(VLOOKUP(B416,'👥 بيانات الموظفين'!B:C,2,0),"")</f>
        <v>بندر مساعد الشهري</v>
      </c>
      <c r="D416" s="59">
        <f>DATEVALUE("2026-04-15")</f>
        <v>46127</v>
      </c>
      <c r="E416" s="57" t="s">
        <v>86</v>
      </c>
      <c r="F416" s="77">
        <f>TIMEVALUE("08:00")</f>
        <v>0.33333333333333331</v>
      </c>
      <c r="G416" s="77">
        <f>TIMEVALUE("17:00")</f>
        <v>0.70833333333333337</v>
      </c>
      <c r="H416" s="78">
        <f t="shared" si="24"/>
        <v>9.0000000000000018</v>
      </c>
      <c r="I416" s="69">
        <f t="shared" si="25"/>
        <v>0</v>
      </c>
      <c r="J416" s="78">
        <f t="shared" si="26"/>
        <v>1.0000000000000018</v>
      </c>
      <c r="K416" s="57"/>
      <c r="L416" s="52" t="str">
        <f t="shared" si="27"/>
        <v>2026-04</v>
      </c>
    </row>
    <row r="417" spans="1:12" ht="22.15" customHeight="1" x14ac:dyDescent="0.2">
      <c r="A417" s="53">
        <v>413</v>
      </c>
      <c r="B417" s="53" t="s">
        <v>259</v>
      </c>
      <c r="C417" s="53" t="str">
        <f>IFERROR(VLOOKUP(B417,'👥 بيانات الموظفين'!B:C,2,0),"")</f>
        <v>بندر مساعد الشهري</v>
      </c>
      <c r="D417" s="55">
        <f>DATEVALUE("2026-04-16")</f>
        <v>46128</v>
      </c>
      <c r="E417" s="53" t="s">
        <v>86</v>
      </c>
      <c r="F417" s="75">
        <f>TIMEVALUE("08:03")</f>
        <v>0.33541666666666664</v>
      </c>
      <c r="G417" s="75">
        <f>TIMEVALUE("17:17")</f>
        <v>0.72013888888888888</v>
      </c>
      <c r="H417" s="76">
        <f t="shared" si="24"/>
        <v>9.2333333333333343</v>
      </c>
      <c r="I417" s="68">
        <f t="shared" si="25"/>
        <v>0</v>
      </c>
      <c r="J417" s="76">
        <f t="shared" si="26"/>
        <v>1.2333333333333343</v>
      </c>
      <c r="K417" s="53"/>
      <c r="L417" s="51" t="str">
        <f t="shared" si="27"/>
        <v>2026-04</v>
      </c>
    </row>
    <row r="418" spans="1:12" ht="22.15" customHeight="1" x14ac:dyDescent="0.2">
      <c r="A418" s="57">
        <v>414</v>
      </c>
      <c r="B418" s="57" t="s">
        <v>259</v>
      </c>
      <c r="C418" s="57" t="str">
        <f>IFERROR(VLOOKUP(B418,'👥 بيانات الموظفين'!B:C,2,0),"")</f>
        <v>بندر مساعد الشهري</v>
      </c>
      <c r="D418" s="59">
        <f>DATEVALUE("2026-04-19")</f>
        <v>46131</v>
      </c>
      <c r="E418" s="57" t="s">
        <v>86</v>
      </c>
      <c r="F418" s="77">
        <f>TIMEVALUE("08:04")</f>
        <v>0.33611111111111114</v>
      </c>
      <c r="G418" s="77">
        <f>TIMEVALUE("17:09")</f>
        <v>0.71458333333333335</v>
      </c>
      <c r="H418" s="78">
        <f t="shared" si="24"/>
        <v>9.0833333333333321</v>
      </c>
      <c r="I418" s="69">
        <f t="shared" si="25"/>
        <v>0</v>
      </c>
      <c r="J418" s="78">
        <f t="shared" si="26"/>
        <v>1.0833333333333321</v>
      </c>
      <c r="K418" s="57"/>
      <c r="L418" s="52" t="str">
        <f t="shared" si="27"/>
        <v>2026-04</v>
      </c>
    </row>
    <row r="419" spans="1:12" ht="22.15" customHeight="1" x14ac:dyDescent="0.2">
      <c r="A419" s="53">
        <v>415</v>
      </c>
      <c r="B419" s="53" t="s">
        <v>259</v>
      </c>
      <c r="C419" s="53" t="str">
        <f>IFERROR(VLOOKUP(B419,'👥 بيانات الموظفين'!B:C,2,0),"")</f>
        <v>بندر مساعد الشهري</v>
      </c>
      <c r="D419" s="55">
        <f>DATEVALUE("2026-04-20")</f>
        <v>46132</v>
      </c>
      <c r="E419" s="53" t="s">
        <v>86</v>
      </c>
      <c r="F419" s="75">
        <f>TIMEVALUE("08:05")</f>
        <v>0.33680555555555558</v>
      </c>
      <c r="G419" s="75">
        <f>TIMEVALUE("17:19")</f>
        <v>0.72152777777777777</v>
      </c>
      <c r="H419" s="76">
        <f t="shared" si="24"/>
        <v>9.2333333333333325</v>
      </c>
      <c r="I419" s="68">
        <f t="shared" si="25"/>
        <v>0</v>
      </c>
      <c r="J419" s="76">
        <f t="shared" si="26"/>
        <v>1.2333333333333325</v>
      </c>
      <c r="K419" s="53"/>
      <c r="L419" s="51" t="str">
        <f t="shared" si="27"/>
        <v>2026-04</v>
      </c>
    </row>
    <row r="420" spans="1:12" ht="22.15" customHeight="1" x14ac:dyDescent="0.2">
      <c r="A420" s="57">
        <v>416</v>
      </c>
      <c r="B420" s="57" t="s">
        <v>259</v>
      </c>
      <c r="C420" s="57" t="str">
        <f>IFERROR(VLOOKUP(B420,'👥 بيانات الموظفين'!B:C,2,0),"")</f>
        <v>بندر مساعد الشهري</v>
      </c>
      <c r="D420" s="59">
        <f>DATEVALUE("2026-04-21")</f>
        <v>46133</v>
      </c>
      <c r="E420" s="57" t="s">
        <v>86</v>
      </c>
      <c r="F420" s="77">
        <f>TIMEVALUE("08:05")</f>
        <v>0.33680555555555558</v>
      </c>
      <c r="G420" s="77">
        <f>TIMEVALUE("17:16")</f>
        <v>0.71944444444444444</v>
      </c>
      <c r="H420" s="78">
        <f t="shared" si="24"/>
        <v>9.1833333333333336</v>
      </c>
      <c r="I420" s="69">
        <f t="shared" si="25"/>
        <v>0</v>
      </c>
      <c r="J420" s="78">
        <f t="shared" si="26"/>
        <v>1.1833333333333336</v>
      </c>
      <c r="K420" s="57"/>
      <c r="L420" s="52" t="str">
        <f t="shared" si="27"/>
        <v>2026-04</v>
      </c>
    </row>
    <row r="421" spans="1:12" ht="22.15" customHeight="1" x14ac:dyDescent="0.2">
      <c r="A421" s="53">
        <v>417</v>
      </c>
      <c r="B421" s="53" t="s">
        <v>259</v>
      </c>
      <c r="C421" s="53" t="str">
        <f>IFERROR(VLOOKUP(B421,'👥 بيانات الموظفين'!B:C,2,0),"")</f>
        <v>بندر مساعد الشهري</v>
      </c>
      <c r="D421" s="55">
        <f>DATEVALUE("2026-04-22")</f>
        <v>46134</v>
      </c>
      <c r="E421" s="53" t="s">
        <v>86</v>
      </c>
      <c r="F421" s="75">
        <f>TIMEVALUE("08:04")</f>
        <v>0.33611111111111114</v>
      </c>
      <c r="G421" s="75">
        <f>TIMEVALUE("17:15")</f>
        <v>0.71875</v>
      </c>
      <c r="H421" s="76">
        <f t="shared" si="24"/>
        <v>9.1833333333333336</v>
      </c>
      <c r="I421" s="68">
        <f t="shared" si="25"/>
        <v>0</v>
      </c>
      <c r="J421" s="76">
        <f t="shared" si="26"/>
        <v>1.1833333333333336</v>
      </c>
      <c r="K421" s="53"/>
      <c r="L421" s="51" t="str">
        <f t="shared" si="27"/>
        <v>2026-04</v>
      </c>
    </row>
    <row r="422" spans="1:12" ht="22.15" customHeight="1" x14ac:dyDescent="0.2">
      <c r="A422" s="57">
        <v>418</v>
      </c>
      <c r="B422" s="57" t="s">
        <v>259</v>
      </c>
      <c r="C422" s="57" t="str">
        <f>IFERROR(VLOOKUP(B422,'👥 بيانات الموظفين'!B:C,2,0),"")</f>
        <v>بندر مساعد الشهري</v>
      </c>
      <c r="D422" s="59">
        <f>DATEVALUE("2026-04-23")</f>
        <v>46135</v>
      </c>
      <c r="E422" s="57" t="s">
        <v>87</v>
      </c>
      <c r="F422" s="77">
        <f>TIMEVALUE("08:15")</f>
        <v>0.34375</v>
      </c>
      <c r="G422" s="77">
        <f>TIMEVALUE("17:00")</f>
        <v>0.70833333333333337</v>
      </c>
      <c r="H422" s="78">
        <f t="shared" si="24"/>
        <v>8.75</v>
      </c>
      <c r="I422" s="69">
        <f t="shared" si="25"/>
        <v>15.000000000000027</v>
      </c>
      <c r="J422" s="78">
        <f t="shared" si="26"/>
        <v>0.75</v>
      </c>
      <c r="K422" s="57"/>
      <c r="L422" s="52" t="str">
        <f t="shared" si="27"/>
        <v>2026-04</v>
      </c>
    </row>
    <row r="423" spans="1:12" ht="22.15" customHeight="1" x14ac:dyDescent="0.2">
      <c r="A423" s="53">
        <v>419</v>
      </c>
      <c r="B423" s="53" t="s">
        <v>259</v>
      </c>
      <c r="C423" s="53" t="str">
        <f>IFERROR(VLOOKUP(B423,'👥 بيانات الموظفين'!B:C,2,0),"")</f>
        <v>بندر مساعد الشهري</v>
      </c>
      <c r="D423" s="55">
        <f>DATEVALUE("2026-04-26")</f>
        <v>46138</v>
      </c>
      <c r="E423" s="53" t="s">
        <v>86</v>
      </c>
      <c r="F423" s="75">
        <f>TIMEVALUE("08:02")</f>
        <v>0.3347222222222222</v>
      </c>
      <c r="G423" s="75">
        <f>TIMEVALUE("17:08")</f>
        <v>0.71388888888888891</v>
      </c>
      <c r="H423" s="76">
        <f t="shared" si="24"/>
        <v>9.1000000000000014</v>
      </c>
      <c r="I423" s="68">
        <f t="shared" si="25"/>
        <v>0</v>
      </c>
      <c r="J423" s="76">
        <f t="shared" si="26"/>
        <v>1.1000000000000014</v>
      </c>
      <c r="K423" s="53"/>
      <c r="L423" s="51" t="str">
        <f t="shared" si="27"/>
        <v>2026-04</v>
      </c>
    </row>
    <row r="424" spans="1:12" ht="22.15" customHeight="1" x14ac:dyDescent="0.2">
      <c r="A424" s="57">
        <v>420</v>
      </c>
      <c r="B424" s="57" t="s">
        <v>259</v>
      </c>
      <c r="C424" s="57" t="str">
        <f>IFERROR(VLOOKUP(B424,'👥 بيانات الموظفين'!B:C,2,0),"")</f>
        <v>بندر مساعد الشهري</v>
      </c>
      <c r="D424" s="59">
        <f>DATEVALUE("2026-04-27")</f>
        <v>46139</v>
      </c>
      <c r="E424" s="57" t="s">
        <v>86</v>
      </c>
      <c r="F424" s="77">
        <f>TIMEVALUE("08:03")</f>
        <v>0.33541666666666664</v>
      </c>
      <c r="G424" s="77">
        <f>TIMEVALUE("17:02")</f>
        <v>0.70972222222222225</v>
      </c>
      <c r="H424" s="78">
        <f t="shared" si="24"/>
        <v>8.9833333333333343</v>
      </c>
      <c r="I424" s="69">
        <f t="shared" si="25"/>
        <v>0</v>
      </c>
      <c r="J424" s="78">
        <f t="shared" si="26"/>
        <v>0.98333333333333428</v>
      </c>
      <c r="K424" s="57"/>
      <c r="L424" s="52" t="str">
        <f t="shared" si="27"/>
        <v>2026-04</v>
      </c>
    </row>
    <row r="425" spans="1:12" ht="22.15" customHeight="1" x14ac:dyDescent="0.2">
      <c r="A425" s="53">
        <v>421</v>
      </c>
      <c r="B425" s="53" t="s">
        <v>259</v>
      </c>
      <c r="C425" s="53" t="str">
        <f>IFERROR(VLOOKUP(B425,'👥 بيانات الموظفين'!B:C,2,0),"")</f>
        <v>بندر مساعد الشهري</v>
      </c>
      <c r="D425" s="55">
        <f>DATEVALUE("2026-04-28")</f>
        <v>46140</v>
      </c>
      <c r="E425" s="53" t="s">
        <v>86</v>
      </c>
      <c r="F425" s="75">
        <f>TIMEVALUE("08:02")</f>
        <v>0.3347222222222222</v>
      </c>
      <c r="G425" s="75">
        <f>TIMEVALUE("17:18")</f>
        <v>0.72083333333333333</v>
      </c>
      <c r="H425" s="76">
        <f t="shared" si="24"/>
        <v>9.2666666666666675</v>
      </c>
      <c r="I425" s="68">
        <f t="shared" si="25"/>
        <v>0</v>
      </c>
      <c r="J425" s="76">
        <f t="shared" si="26"/>
        <v>1.2666666666666675</v>
      </c>
      <c r="K425" s="53"/>
      <c r="L425" s="51" t="str">
        <f t="shared" si="27"/>
        <v>2026-04</v>
      </c>
    </row>
    <row r="426" spans="1:12" ht="22.15" customHeight="1" x14ac:dyDescent="0.2">
      <c r="A426" s="57">
        <v>422</v>
      </c>
      <c r="B426" s="57" t="s">
        <v>259</v>
      </c>
      <c r="C426" s="57" t="str">
        <f>IFERROR(VLOOKUP(B426,'👥 بيانات الموظفين'!B:C,2,0),"")</f>
        <v>بندر مساعد الشهري</v>
      </c>
      <c r="D426" s="59">
        <f>DATEVALUE("2026-04-29")</f>
        <v>46141</v>
      </c>
      <c r="E426" s="57" t="s">
        <v>86</v>
      </c>
      <c r="F426" s="77">
        <f>TIMEVALUE("08:03")</f>
        <v>0.33541666666666664</v>
      </c>
      <c r="G426" s="77">
        <f>TIMEVALUE("17:00")</f>
        <v>0.70833333333333337</v>
      </c>
      <c r="H426" s="78">
        <f t="shared" si="24"/>
        <v>8.9500000000000011</v>
      </c>
      <c r="I426" s="69">
        <f t="shared" si="25"/>
        <v>0</v>
      </c>
      <c r="J426" s="78">
        <f t="shared" si="26"/>
        <v>0.95000000000000107</v>
      </c>
      <c r="K426" s="57"/>
      <c r="L426" s="52" t="str">
        <f t="shared" si="27"/>
        <v>2026-04</v>
      </c>
    </row>
    <row r="427" spans="1:12" ht="22.15" customHeight="1" x14ac:dyDescent="0.2">
      <c r="A427" s="53">
        <v>423</v>
      </c>
      <c r="B427" s="53" t="s">
        <v>259</v>
      </c>
      <c r="C427" s="53" t="str">
        <f>IFERROR(VLOOKUP(B427,'👥 بيانات الموظفين'!B:C,2,0),"")</f>
        <v>بندر مساعد الشهري</v>
      </c>
      <c r="D427" s="55">
        <f>DATEVALUE("2026-04-30")</f>
        <v>46142</v>
      </c>
      <c r="E427" s="53" t="s">
        <v>86</v>
      </c>
      <c r="F427" s="75">
        <f>TIMEVALUE("07:57")</f>
        <v>0.33124999999999999</v>
      </c>
      <c r="G427" s="75">
        <f>TIMEVALUE("17:17")</f>
        <v>0.72013888888888888</v>
      </c>
      <c r="H427" s="76">
        <f t="shared" si="24"/>
        <v>9.3333333333333339</v>
      </c>
      <c r="I427" s="68">
        <f t="shared" si="25"/>
        <v>0</v>
      </c>
      <c r="J427" s="76">
        <f t="shared" si="26"/>
        <v>1.3333333333333339</v>
      </c>
      <c r="K427" s="53"/>
      <c r="L427" s="51" t="str">
        <f t="shared" si="27"/>
        <v>2026-04</v>
      </c>
    </row>
    <row r="428" spans="1:12" ht="22.15" customHeight="1" x14ac:dyDescent="0.2">
      <c r="A428" s="57">
        <v>424</v>
      </c>
      <c r="B428" s="57" t="s">
        <v>260</v>
      </c>
      <c r="C428" s="57" t="str">
        <f>IFERROR(VLOOKUP(B428,'👥 بيانات الموظفين'!B:C,2,0),"")</f>
        <v>ياسر سالم الزهراني</v>
      </c>
      <c r="D428" s="59">
        <f>DATEVALUE("2026-04-12")</f>
        <v>46124</v>
      </c>
      <c r="E428" s="57" t="s">
        <v>86</v>
      </c>
      <c r="F428" s="77">
        <f>TIMEVALUE("07:52")</f>
        <v>0.32777777777777778</v>
      </c>
      <c r="G428" s="77">
        <f>TIMEVALUE("17:01")</f>
        <v>0.70902777777777781</v>
      </c>
      <c r="H428" s="78">
        <f t="shared" si="24"/>
        <v>9.15</v>
      </c>
      <c r="I428" s="69">
        <f t="shared" si="25"/>
        <v>0</v>
      </c>
      <c r="J428" s="78">
        <f t="shared" si="26"/>
        <v>1.1500000000000004</v>
      </c>
      <c r="K428" s="57"/>
      <c r="L428" s="52" t="str">
        <f t="shared" si="27"/>
        <v>2026-04</v>
      </c>
    </row>
    <row r="429" spans="1:12" ht="22.15" customHeight="1" x14ac:dyDescent="0.2">
      <c r="A429" s="53">
        <v>425</v>
      </c>
      <c r="B429" s="53" t="s">
        <v>260</v>
      </c>
      <c r="C429" s="53" t="str">
        <f>IFERROR(VLOOKUP(B429,'👥 بيانات الموظفين'!B:C,2,0),"")</f>
        <v>ياسر سالم الزهراني</v>
      </c>
      <c r="D429" s="55">
        <f>DATEVALUE("2026-04-13")</f>
        <v>46125</v>
      </c>
      <c r="E429" s="53" t="s">
        <v>86</v>
      </c>
      <c r="F429" s="75">
        <f>TIMEVALUE("08:04")</f>
        <v>0.33611111111111114</v>
      </c>
      <c r="G429" s="75">
        <f>TIMEVALUE("17:00")</f>
        <v>0.70833333333333337</v>
      </c>
      <c r="H429" s="76">
        <f t="shared" si="24"/>
        <v>8.9333333333333336</v>
      </c>
      <c r="I429" s="68">
        <f t="shared" si="25"/>
        <v>0</v>
      </c>
      <c r="J429" s="76">
        <f t="shared" si="26"/>
        <v>0.93333333333333357</v>
      </c>
      <c r="K429" s="53"/>
      <c r="L429" s="51" t="str">
        <f t="shared" si="27"/>
        <v>2026-04</v>
      </c>
    </row>
    <row r="430" spans="1:12" ht="22.15" customHeight="1" x14ac:dyDescent="0.2">
      <c r="A430" s="57">
        <v>426</v>
      </c>
      <c r="B430" s="57" t="s">
        <v>260</v>
      </c>
      <c r="C430" s="57" t="str">
        <f>IFERROR(VLOOKUP(B430,'👥 بيانات الموظفين'!B:C,2,0),"")</f>
        <v>ياسر سالم الزهراني</v>
      </c>
      <c r="D430" s="59">
        <f>DATEVALUE("2026-04-14")</f>
        <v>46126</v>
      </c>
      <c r="E430" s="57" t="s">
        <v>86</v>
      </c>
      <c r="F430" s="77">
        <f>TIMEVALUE("08:04")</f>
        <v>0.33611111111111114</v>
      </c>
      <c r="G430" s="77">
        <f>TIMEVALUE("17:17")</f>
        <v>0.72013888888888888</v>
      </c>
      <c r="H430" s="78">
        <f t="shared" si="24"/>
        <v>9.216666666666665</v>
      </c>
      <c r="I430" s="69">
        <f t="shared" si="25"/>
        <v>0</v>
      </c>
      <c r="J430" s="78">
        <f t="shared" si="26"/>
        <v>1.216666666666665</v>
      </c>
      <c r="K430" s="57"/>
      <c r="L430" s="52" t="str">
        <f t="shared" si="27"/>
        <v>2026-04</v>
      </c>
    </row>
    <row r="431" spans="1:12" ht="22.15" customHeight="1" x14ac:dyDescent="0.2">
      <c r="A431" s="53">
        <v>427</v>
      </c>
      <c r="B431" s="53" t="s">
        <v>260</v>
      </c>
      <c r="C431" s="53" t="str">
        <f>IFERROR(VLOOKUP(B431,'👥 بيانات الموظفين'!B:C,2,0),"")</f>
        <v>ياسر سالم الزهراني</v>
      </c>
      <c r="D431" s="55">
        <f>DATEVALUE("2026-04-15")</f>
        <v>46127</v>
      </c>
      <c r="E431" s="53" t="s">
        <v>86</v>
      </c>
      <c r="F431" s="75">
        <f>TIMEVALUE("08:07")</f>
        <v>0.33819444444444446</v>
      </c>
      <c r="G431" s="75">
        <f>TIMEVALUE("17:12")</f>
        <v>0.71666666666666667</v>
      </c>
      <c r="H431" s="76">
        <f t="shared" si="24"/>
        <v>9.0833333333333321</v>
      </c>
      <c r="I431" s="68">
        <f t="shared" si="25"/>
        <v>0</v>
      </c>
      <c r="J431" s="76">
        <f t="shared" si="26"/>
        <v>1.0833333333333321</v>
      </c>
      <c r="K431" s="53"/>
      <c r="L431" s="51" t="str">
        <f t="shared" si="27"/>
        <v>2026-04</v>
      </c>
    </row>
    <row r="432" spans="1:12" ht="22.15" customHeight="1" x14ac:dyDescent="0.2">
      <c r="A432" s="57"/>
      <c r="B432" s="57"/>
      <c r="C432" s="57" t="str">
        <f>IFERROR(VLOOKUP(B432,'👥 بيانات الموظفين'!B:C,2,0),"")</f>
        <v/>
      </c>
      <c r="D432" s="59"/>
      <c r="E432" s="57"/>
      <c r="F432" s="77"/>
      <c r="G432" s="77"/>
      <c r="H432" s="78" t="str">
        <f t="shared" si="24"/>
        <v/>
      </c>
      <c r="I432" s="69">
        <f t="shared" si="25"/>
        <v>0</v>
      </c>
      <c r="J432" s="78">
        <f t="shared" si="26"/>
        <v>0</v>
      </c>
      <c r="K432" s="57"/>
      <c r="L432" s="52" t="str">
        <f t="shared" si="27"/>
        <v/>
      </c>
    </row>
    <row r="433" spans="1:12" ht="22.15" customHeight="1" x14ac:dyDescent="0.2">
      <c r="A433" s="53"/>
      <c r="B433" s="53"/>
      <c r="C433" s="53" t="str">
        <f>IFERROR(VLOOKUP(B433,'👥 بيانات الموظفين'!B:C,2,0),"")</f>
        <v/>
      </c>
      <c r="D433" s="55"/>
      <c r="E433" s="53"/>
      <c r="F433" s="75"/>
      <c r="G433" s="75"/>
      <c r="H433" s="76" t="str">
        <f t="shared" si="24"/>
        <v/>
      </c>
      <c r="I433" s="68">
        <f t="shared" si="25"/>
        <v>0</v>
      </c>
      <c r="J433" s="76">
        <f t="shared" si="26"/>
        <v>0</v>
      </c>
      <c r="K433" s="53"/>
      <c r="L433" s="51" t="str">
        <f t="shared" si="27"/>
        <v/>
      </c>
    </row>
    <row r="434" spans="1:12" ht="22.15" customHeight="1" x14ac:dyDescent="0.2">
      <c r="A434" s="57"/>
      <c r="B434" s="57"/>
      <c r="C434" s="57" t="str">
        <f>IFERROR(VLOOKUP(B434,'👥 بيانات الموظفين'!B:C,2,0),"")</f>
        <v/>
      </c>
      <c r="D434" s="59"/>
      <c r="E434" s="57"/>
      <c r="F434" s="77"/>
      <c r="G434" s="77"/>
      <c r="H434" s="78" t="str">
        <f t="shared" si="24"/>
        <v/>
      </c>
      <c r="I434" s="69">
        <f t="shared" si="25"/>
        <v>0</v>
      </c>
      <c r="J434" s="78">
        <f t="shared" si="26"/>
        <v>0</v>
      </c>
      <c r="K434" s="57"/>
      <c r="L434" s="52" t="str">
        <f t="shared" si="27"/>
        <v/>
      </c>
    </row>
    <row r="435" spans="1:12" ht="22.15" customHeight="1" x14ac:dyDescent="0.2">
      <c r="A435" s="53"/>
      <c r="B435" s="53"/>
      <c r="C435" s="53" t="str">
        <f>IFERROR(VLOOKUP(B435,'👥 بيانات الموظفين'!B:C,2,0),"")</f>
        <v/>
      </c>
      <c r="D435" s="55"/>
      <c r="E435" s="53"/>
      <c r="F435" s="75"/>
      <c r="G435" s="75"/>
      <c r="H435" s="76" t="str">
        <f t="shared" si="24"/>
        <v/>
      </c>
      <c r="I435" s="68">
        <f t="shared" si="25"/>
        <v>0</v>
      </c>
      <c r="J435" s="76">
        <f t="shared" si="26"/>
        <v>0</v>
      </c>
      <c r="K435" s="53"/>
      <c r="L435" s="51" t="str">
        <f t="shared" si="27"/>
        <v/>
      </c>
    </row>
    <row r="436" spans="1:12" ht="22.15" customHeight="1" x14ac:dyDescent="0.2">
      <c r="A436" s="57"/>
      <c r="B436" s="57"/>
      <c r="C436" s="57" t="str">
        <f>IFERROR(VLOOKUP(B436,'👥 بيانات الموظفين'!B:C,2,0),"")</f>
        <v/>
      </c>
      <c r="D436" s="59"/>
      <c r="E436" s="57"/>
      <c r="F436" s="77"/>
      <c r="G436" s="77"/>
      <c r="H436" s="78" t="str">
        <f t="shared" si="24"/>
        <v/>
      </c>
      <c r="I436" s="69">
        <f t="shared" si="25"/>
        <v>0</v>
      </c>
      <c r="J436" s="78">
        <f t="shared" si="26"/>
        <v>0</v>
      </c>
      <c r="K436" s="57"/>
      <c r="L436" s="52" t="str">
        <f t="shared" si="27"/>
        <v/>
      </c>
    </row>
    <row r="437" spans="1:12" ht="22.15" customHeight="1" x14ac:dyDescent="0.2">
      <c r="A437" s="53"/>
      <c r="B437" s="53"/>
      <c r="C437" s="53" t="str">
        <f>IFERROR(VLOOKUP(B437,'👥 بيانات الموظفين'!B:C,2,0),"")</f>
        <v/>
      </c>
      <c r="D437" s="55"/>
      <c r="E437" s="53"/>
      <c r="F437" s="75"/>
      <c r="G437" s="75"/>
      <c r="H437" s="76" t="str">
        <f t="shared" si="24"/>
        <v/>
      </c>
      <c r="I437" s="68">
        <f t="shared" si="25"/>
        <v>0</v>
      </c>
      <c r="J437" s="76">
        <f t="shared" si="26"/>
        <v>0</v>
      </c>
      <c r="K437" s="53"/>
      <c r="L437" s="51" t="str">
        <f t="shared" si="27"/>
        <v/>
      </c>
    </row>
    <row r="438" spans="1:12" ht="22.15" customHeight="1" x14ac:dyDescent="0.2">
      <c r="A438" s="57"/>
      <c r="B438" s="57"/>
      <c r="C438" s="57" t="str">
        <f>IFERROR(VLOOKUP(B438,'👥 بيانات الموظفين'!B:C,2,0),"")</f>
        <v/>
      </c>
      <c r="D438" s="59"/>
      <c r="E438" s="57"/>
      <c r="F438" s="77"/>
      <c r="G438" s="77"/>
      <c r="H438" s="78" t="str">
        <f t="shared" si="24"/>
        <v/>
      </c>
      <c r="I438" s="69">
        <f t="shared" si="25"/>
        <v>0</v>
      </c>
      <c r="J438" s="78">
        <f t="shared" si="26"/>
        <v>0</v>
      </c>
      <c r="K438" s="57"/>
      <c r="L438" s="52" t="str">
        <f t="shared" si="27"/>
        <v/>
      </c>
    </row>
    <row r="439" spans="1:12" ht="22.15" customHeight="1" x14ac:dyDescent="0.2">
      <c r="A439" s="53"/>
      <c r="B439" s="53"/>
      <c r="C439" s="53" t="str">
        <f>IFERROR(VLOOKUP(B439,'👥 بيانات الموظفين'!B:C,2,0),"")</f>
        <v/>
      </c>
      <c r="D439" s="55"/>
      <c r="E439" s="53"/>
      <c r="F439" s="75"/>
      <c r="G439" s="75"/>
      <c r="H439" s="76" t="str">
        <f t="shared" si="24"/>
        <v/>
      </c>
      <c r="I439" s="68">
        <f t="shared" si="25"/>
        <v>0</v>
      </c>
      <c r="J439" s="76">
        <f t="shared" si="26"/>
        <v>0</v>
      </c>
      <c r="K439" s="53"/>
      <c r="L439" s="51" t="str">
        <f t="shared" si="27"/>
        <v/>
      </c>
    </row>
    <row r="440" spans="1:12" ht="22.15" customHeight="1" x14ac:dyDescent="0.2">
      <c r="A440" s="57"/>
      <c r="B440" s="57"/>
      <c r="C440" s="57" t="str">
        <f>IFERROR(VLOOKUP(B440,'👥 بيانات الموظفين'!B:C,2,0),"")</f>
        <v/>
      </c>
      <c r="D440" s="59"/>
      <c r="E440" s="57"/>
      <c r="F440" s="77"/>
      <c r="G440" s="77"/>
      <c r="H440" s="78" t="str">
        <f t="shared" si="24"/>
        <v/>
      </c>
      <c r="I440" s="69">
        <f t="shared" si="25"/>
        <v>0</v>
      </c>
      <c r="J440" s="78">
        <f t="shared" si="26"/>
        <v>0</v>
      </c>
      <c r="K440" s="57"/>
      <c r="L440" s="52" t="str">
        <f t="shared" si="27"/>
        <v/>
      </c>
    </row>
    <row r="441" spans="1:12" ht="22.15" customHeight="1" x14ac:dyDescent="0.2">
      <c r="A441" s="53"/>
      <c r="B441" s="53"/>
      <c r="C441" s="53" t="str">
        <f>IFERROR(VLOOKUP(B441,'👥 بيانات الموظفين'!B:C,2,0),"")</f>
        <v/>
      </c>
      <c r="D441" s="55"/>
      <c r="E441" s="53"/>
      <c r="F441" s="75"/>
      <c r="G441" s="75"/>
      <c r="H441" s="76" t="str">
        <f t="shared" si="24"/>
        <v/>
      </c>
      <c r="I441" s="68">
        <f t="shared" si="25"/>
        <v>0</v>
      </c>
      <c r="J441" s="76">
        <f t="shared" si="26"/>
        <v>0</v>
      </c>
      <c r="K441" s="53"/>
      <c r="L441" s="51" t="str">
        <f t="shared" si="27"/>
        <v/>
      </c>
    </row>
    <row r="442" spans="1:12" ht="22.15" customHeight="1" x14ac:dyDescent="0.2">
      <c r="A442" s="57"/>
      <c r="B442" s="57"/>
      <c r="C442" s="57" t="str">
        <f>IFERROR(VLOOKUP(B442,'👥 بيانات الموظفين'!B:C,2,0),"")</f>
        <v/>
      </c>
      <c r="D442" s="59"/>
      <c r="E442" s="57"/>
      <c r="F442" s="77"/>
      <c r="G442" s="77"/>
      <c r="H442" s="78" t="str">
        <f t="shared" si="24"/>
        <v/>
      </c>
      <c r="I442" s="69">
        <f t="shared" si="25"/>
        <v>0</v>
      </c>
      <c r="J442" s="78">
        <f t="shared" si="26"/>
        <v>0</v>
      </c>
      <c r="K442" s="57"/>
      <c r="L442" s="52" t="str">
        <f t="shared" si="27"/>
        <v/>
      </c>
    </row>
    <row r="443" spans="1:12" ht="22.15" customHeight="1" x14ac:dyDescent="0.2">
      <c r="A443" s="53"/>
      <c r="B443" s="53"/>
      <c r="C443" s="53" t="str">
        <f>IFERROR(VLOOKUP(B443,'👥 بيانات الموظفين'!B:C,2,0),"")</f>
        <v/>
      </c>
      <c r="D443" s="55"/>
      <c r="E443" s="53"/>
      <c r="F443" s="75"/>
      <c r="G443" s="75"/>
      <c r="H443" s="76" t="str">
        <f t="shared" si="24"/>
        <v/>
      </c>
      <c r="I443" s="68">
        <f t="shared" si="25"/>
        <v>0</v>
      </c>
      <c r="J443" s="76">
        <f t="shared" si="26"/>
        <v>0</v>
      </c>
      <c r="K443" s="53"/>
      <c r="L443" s="51" t="str">
        <f t="shared" si="27"/>
        <v/>
      </c>
    </row>
    <row r="444" spans="1:12" ht="22.15" customHeight="1" x14ac:dyDescent="0.2">
      <c r="A444" s="57"/>
      <c r="B444" s="57"/>
      <c r="C444" s="57" t="str">
        <f>IFERROR(VLOOKUP(B444,'👥 بيانات الموظفين'!B:C,2,0),"")</f>
        <v/>
      </c>
      <c r="D444" s="59"/>
      <c r="E444" s="57"/>
      <c r="F444" s="77"/>
      <c r="G444" s="77"/>
      <c r="H444" s="78" t="str">
        <f t="shared" si="24"/>
        <v/>
      </c>
      <c r="I444" s="69">
        <f t="shared" si="25"/>
        <v>0</v>
      </c>
      <c r="J444" s="78">
        <f t="shared" si="26"/>
        <v>0</v>
      </c>
      <c r="K444" s="57"/>
      <c r="L444" s="52" t="str">
        <f t="shared" si="27"/>
        <v/>
      </c>
    </row>
    <row r="445" spans="1:12" ht="22.15" customHeight="1" x14ac:dyDescent="0.2">
      <c r="A445" s="53"/>
      <c r="B445" s="53"/>
      <c r="C445" s="53" t="str">
        <f>IFERROR(VLOOKUP(B445,'👥 بيانات الموظفين'!B:C,2,0),"")</f>
        <v/>
      </c>
      <c r="D445" s="55"/>
      <c r="E445" s="53"/>
      <c r="F445" s="75"/>
      <c r="G445" s="75"/>
      <c r="H445" s="76" t="str">
        <f t="shared" si="24"/>
        <v/>
      </c>
      <c r="I445" s="68">
        <f t="shared" si="25"/>
        <v>0</v>
      </c>
      <c r="J445" s="76">
        <f t="shared" si="26"/>
        <v>0</v>
      </c>
      <c r="K445" s="53"/>
      <c r="L445" s="51" t="str">
        <f t="shared" si="27"/>
        <v/>
      </c>
    </row>
    <row r="446" spans="1:12" ht="22.15" customHeight="1" x14ac:dyDescent="0.2">
      <c r="A446" s="57"/>
      <c r="B446" s="57"/>
      <c r="C446" s="57" t="str">
        <f>IFERROR(VLOOKUP(B446,'👥 بيانات الموظفين'!B:C,2,0),"")</f>
        <v/>
      </c>
      <c r="D446" s="59"/>
      <c r="E446" s="57"/>
      <c r="F446" s="77"/>
      <c r="G446" s="77"/>
      <c r="H446" s="78" t="str">
        <f t="shared" si="24"/>
        <v/>
      </c>
      <c r="I446" s="69">
        <f t="shared" si="25"/>
        <v>0</v>
      </c>
      <c r="J446" s="78">
        <f t="shared" si="26"/>
        <v>0</v>
      </c>
      <c r="K446" s="57"/>
      <c r="L446" s="52" t="str">
        <f t="shared" si="27"/>
        <v/>
      </c>
    </row>
    <row r="447" spans="1:12" ht="22.15" customHeight="1" x14ac:dyDescent="0.2">
      <c r="A447" s="53"/>
      <c r="B447" s="53"/>
      <c r="C447" s="53" t="str">
        <f>IFERROR(VLOOKUP(B447,'👥 بيانات الموظفين'!B:C,2,0),"")</f>
        <v/>
      </c>
      <c r="D447" s="55"/>
      <c r="E447" s="53"/>
      <c r="F447" s="75"/>
      <c r="G447" s="75"/>
      <c r="H447" s="76" t="str">
        <f t="shared" si="24"/>
        <v/>
      </c>
      <c r="I447" s="68">
        <f t="shared" si="25"/>
        <v>0</v>
      </c>
      <c r="J447" s="76">
        <f t="shared" si="26"/>
        <v>0</v>
      </c>
      <c r="K447" s="53"/>
      <c r="L447" s="51" t="str">
        <f t="shared" si="27"/>
        <v/>
      </c>
    </row>
    <row r="448" spans="1:12" ht="22.15" customHeight="1" x14ac:dyDescent="0.2">
      <c r="A448" s="57"/>
      <c r="B448" s="57"/>
      <c r="C448" s="57" t="str">
        <f>IFERROR(VLOOKUP(B448,'👥 بيانات الموظفين'!B:C,2,0),"")</f>
        <v/>
      </c>
      <c r="D448" s="59"/>
      <c r="E448" s="57"/>
      <c r="F448" s="77"/>
      <c r="G448" s="77"/>
      <c r="H448" s="78" t="str">
        <f t="shared" si="24"/>
        <v/>
      </c>
      <c r="I448" s="69">
        <f t="shared" si="25"/>
        <v>0</v>
      </c>
      <c r="J448" s="78">
        <f t="shared" si="26"/>
        <v>0</v>
      </c>
      <c r="K448" s="57"/>
      <c r="L448" s="52" t="str">
        <f t="shared" si="27"/>
        <v/>
      </c>
    </row>
    <row r="449" spans="1:12" ht="22.15" customHeight="1" x14ac:dyDescent="0.2">
      <c r="A449" s="53"/>
      <c r="B449" s="53"/>
      <c r="C449" s="53" t="str">
        <f>IFERROR(VLOOKUP(B449,'👥 بيانات الموظفين'!B:C,2,0),"")</f>
        <v/>
      </c>
      <c r="D449" s="55"/>
      <c r="E449" s="53"/>
      <c r="F449" s="75"/>
      <c r="G449" s="75"/>
      <c r="H449" s="76" t="str">
        <f t="shared" si="24"/>
        <v/>
      </c>
      <c r="I449" s="68">
        <f t="shared" si="25"/>
        <v>0</v>
      </c>
      <c r="J449" s="76">
        <f t="shared" si="26"/>
        <v>0</v>
      </c>
      <c r="K449" s="53"/>
      <c r="L449" s="51" t="str">
        <f t="shared" si="27"/>
        <v/>
      </c>
    </row>
    <row r="450" spans="1:12" ht="22.15" customHeight="1" x14ac:dyDescent="0.2">
      <c r="A450" s="57"/>
      <c r="B450" s="57"/>
      <c r="C450" s="57" t="str">
        <f>IFERROR(VLOOKUP(B450,'👥 بيانات الموظفين'!B:C,2,0),"")</f>
        <v/>
      </c>
      <c r="D450" s="59"/>
      <c r="E450" s="57"/>
      <c r="F450" s="77"/>
      <c r="G450" s="77"/>
      <c r="H450" s="78" t="str">
        <f t="shared" si="24"/>
        <v/>
      </c>
      <c r="I450" s="69">
        <f t="shared" si="25"/>
        <v>0</v>
      </c>
      <c r="J450" s="78">
        <f t="shared" si="26"/>
        <v>0</v>
      </c>
      <c r="K450" s="57"/>
      <c r="L450" s="52" t="str">
        <f t="shared" si="27"/>
        <v/>
      </c>
    </row>
    <row r="451" spans="1:12" ht="22.15" customHeight="1" x14ac:dyDescent="0.2">
      <c r="A451" s="53"/>
      <c r="B451" s="53"/>
      <c r="C451" s="53" t="str">
        <f>IFERROR(VLOOKUP(B451,'👥 بيانات الموظفين'!B:C,2,0),"")</f>
        <v/>
      </c>
      <c r="D451" s="55"/>
      <c r="E451" s="53"/>
      <c r="F451" s="75"/>
      <c r="G451" s="75"/>
      <c r="H451" s="76" t="str">
        <f t="shared" si="24"/>
        <v/>
      </c>
      <c r="I451" s="68">
        <f t="shared" si="25"/>
        <v>0</v>
      </c>
      <c r="J451" s="76">
        <f t="shared" si="26"/>
        <v>0</v>
      </c>
      <c r="K451" s="53"/>
      <c r="L451" s="51" t="str">
        <f t="shared" si="27"/>
        <v/>
      </c>
    </row>
    <row r="452" spans="1:12" ht="22.15" customHeight="1" x14ac:dyDescent="0.2">
      <c r="A452" s="57"/>
      <c r="B452" s="57"/>
      <c r="C452" s="57" t="str">
        <f>IFERROR(VLOOKUP(B452,'👥 بيانات الموظفين'!B:C,2,0),"")</f>
        <v/>
      </c>
      <c r="D452" s="59"/>
      <c r="E452" s="57"/>
      <c r="F452" s="77"/>
      <c r="G452" s="77"/>
      <c r="H452" s="78" t="str">
        <f t="shared" si="24"/>
        <v/>
      </c>
      <c r="I452" s="69">
        <f t="shared" si="25"/>
        <v>0</v>
      </c>
      <c r="J452" s="78">
        <f t="shared" si="26"/>
        <v>0</v>
      </c>
      <c r="K452" s="57"/>
      <c r="L452" s="52" t="str">
        <f t="shared" si="27"/>
        <v/>
      </c>
    </row>
    <row r="453" spans="1:12" ht="22.15" customHeight="1" x14ac:dyDescent="0.2">
      <c r="A453" s="53"/>
      <c r="B453" s="53"/>
      <c r="C453" s="53" t="str">
        <f>IFERROR(VLOOKUP(B453,'👥 بيانات الموظفين'!B:C,2,0),"")</f>
        <v/>
      </c>
      <c r="D453" s="55"/>
      <c r="E453" s="53"/>
      <c r="F453" s="75"/>
      <c r="G453" s="75"/>
      <c r="H453" s="76" t="str">
        <f t="shared" ref="H453:H504" si="28">IFERROR(IF(AND(F453&lt;&gt;"",G453&lt;&gt;""),(G453-F453)*24,""),"")</f>
        <v/>
      </c>
      <c r="I453" s="68">
        <f t="shared" ref="I453:I504" si="29">IFERROR(IF(E453="متأخر",MAX(0,(F453-TIME(8,0,0))*1440),0),0)</f>
        <v>0</v>
      </c>
      <c r="J453" s="76">
        <f t="shared" ref="J453:J504" si="30">IFERROR(IF(AND(ISNUMBER(H453),H453&gt;WorkHoursDay),H453-WorkHoursDay,0),0)</f>
        <v>0</v>
      </c>
      <c r="K453" s="53"/>
      <c r="L453" s="51" t="str">
        <f t="shared" ref="L453:L504" si="31">IF(D453&lt;&gt;"",TEXT(D453,"yyyy-mm"),"")</f>
        <v/>
      </c>
    </row>
    <row r="454" spans="1:12" ht="22.15" customHeight="1" x14ac:dyDescent="0.2">
      <c r="A454" s="57"/>
      <c r="B454" s="57"/>
      <c r="C454" s="57" t="str">
        <f>IFERROR(VLOOKUP(B454,'👥 بيانات الموظفين'!B:C,2,0),"")</f>
        <v/>
      </c>
      <c r="D454" s="59"/>
      <c r="E454" s="57"/>
      <c r="F454" s="77"/>
      <c r="G454" s="77"/>
      <c r="H454" s="78" t="str">
        <f t="shared" si="28"/>
        <v/>
      </c>
      <c r="I454" s="69">
        <f t="shared" si="29"/>
        <v>0</v>
      </c>
      <c r="J454" s="78">
        <f t="shared" si="30"/>
        <v>0</v>
      </c>
      <c r="K454" s="57"/>
      <c r="L454" s="52" t="str">
        <f t="shared" si="31"/>
        <v/>
      </c>
    </row>
    <row r="455" spans="1:12" ht="22.15" customHeight="1" x14ac:dyDescent="0.2">
      <c r="A455" s="53"/>
      <c r="B455" s="53"/>
      <c r="C455" s="53" t="str">
        <f>IFERROR(VLOOKUP(B455,'👥 بيانات الموظفين'!B:C,2,0),"")</f>
        <v/>
      </c>
      <c r="D455" s="55"/>
      <c r="E455" s="53"/>
      <c r="F455" s="75"/>
      <c r="G455" s="75"/>
      <c r="H455" s="76" t="str">
        <f t="shared" si="28"/>
        <v/>
      </c>
      <c r="I455" s="68">
        <f t="shared" si="29"/>
        <v>0</v>
      </c>
      <c r="J455" s="76">
        <f t="shared" si="30"/>
        <v>0</v>
      </c>
      <c r="K455" s="53"/>
      <c r="L455" s="51" t="str">
        <f t="shared" si="31"/>
        <v/>
      </c>
    </row>
    <row r="456" spans="1:12" ht="22.15" customHeight="1" x14ac:dyDescent="0.2">
      <c r="A456" s="57"/>
      <c r="B456" s="57"/>
      <c r="C456" s="57" t="str">
        <f>IFERROR(VLOOKUP(B456,'👥 بيانات الموظفين'!B:C,2,0),"")</f>
        <v/>
      </c>
      <c r="D456" s="59"/>
      <c r="E456" s="57"/>
      <c r="F456" s="77"/>
      <c r="G456" s="77"/>
      <c r="H456" s="78" t="str">
        <f t="shared" si="28"/>
        <v/>
      </c>
      <c r="I456" s="69">
        <f t="shared" si="29"/>
        <v>0</v>
      </c>
      <c r="J456" s="78">
        <f t="shared" si="30"/>
        <v>0</v>
      </c>
      <c r="K456" s="57"/>
      <c r="L456" s="52" t="str">
        <f t="shared" si="31"/>
        <v/>
      </c>
    </row>
    <row r="457" spans="1:12" ht="22.15" customHeight="1" x14ac:dyDescent="0.2">
      <c r="A457" s="53"/>
      <c r="B457" s="53"/>
      <c r="C457" s="53" t="str">
        <f>IFERROR(VLOOKUP(B457,'👥 بيانات الموظفين'!B:C,2,0),"")</f>
        <v/>
      </c>
      <c r="D457" s="55"/>
      <c r="E457" s="53"/>
      <c r="F457" s="75"/>
      <c r="G457" s="75"/>
      <c r="H457" s="76" t="str">
        <f t="shared" si="28"/>
        <v/>
      </c>
      <c r="I457" s="68">
        <f t="shared" si="29"/>
        <v>0</v>
      </c>
      <c r="J457" s="76">
        <f t="shared" si="30"/>
        <v>0</v>
      </c>
      <c r="K457" s="53"/>
      <c r="L457" s="51" t="str">
        <f t="shared" si="31"/>
        <v/>
      </c>
    </row>
    <row r="458" spans="1:12" ht="22.15" customHeight="1" x14ac:dyDescent="0.2">
      <c r="A458" s="57"/>
      <c r="B458" s="57"/>
      <c r="C458" s="57" t="str">
        <f>IFERROR(VLOOKUP(B458,'👥 بيانات الموظفين'!B:C,2,0),"")</f>
        <v/>
      </c>
      <c r="D458" s="59"/>
      <c r="E458" s="57"/>
      <c r="F458" s="77"/>
      <c r="G458" s="77"/>
      <c r="H458" s="78" t="str">
        <f t="shared" si="28"/>
        <v/>
      </c>
      <c r="I458" s="69">
        <f t="shared" si="29"/>
        <v>0</v>
      </c>
      <c r="J458" s="78">
        <f t="shared" si="30"/>
        <v>0</v>
      </c>
      <c r="K458" s="57"/>
      <c r="L458" s="52" t="str">
        <f t="shared" si="31"/>
        <v/>
      </c>
    </row>
    <row r="459" spans="1:12" ht="22.15" customHeight="1" x14ac:dyDescent="0.2">
      <c r="A459" s="53"/>
      <c r="B459" s="53"/>
      <c r="C459" s="53" t="str">
        <f>IFERROR(VLOOKUP(B459,'👥 بيانات الموظفين'!B:C,2,0),"")</f>
        <v/>
      </c>
      <c r="D459" s="55"/>
      <c r="E459" s="53"/>
      <c r="F459" s="75"/>
      <c r="G459" s="75"/>
      <c r="H459" s="76" t="str">
        <f t="shared" si="28"/>
        <v/>
      </c>
      <c r="I459" s="68">
        <f t="shared" si="29"/>
        <v>0</v>
      </c>
      <c r="J459" s="76">
        <f t="shared" si="30"/>
        <v>0</v>
      </c>
      <c r="K459" s="53"/>
      <c r="L459" s="51" t="str">
        <f t="shared" si="31"/>
        <v/>
      </c>
    </row>
    <row r="460" spans="1:12" ht="22.15" customHeight="1" x14ac:dyDescent="0.2">
      <c r="A460" s="57"/>
      <c r="B460" s="57"/>
      <c r="C460" s="57" t="str">
        <f>IFERROR(VLOOKUP(B460,'👥 بيانات الموظفين'!B:C,2,0),"")</f>
        <v/>
      </c>
      <c r="D460" s="59"/>
      <c r="E460" s="57"/>
      <c r="F460" s="77"/>
      <c r="G460" s="77"/>
      <c r="H460" s="78" t="str">
        <f t="shared" si="28"/>
        <v/>
      </c>
      <c r="I460" s="69">
        <f t="shared" si="29"/>
        <v>0</v>
      </c>
      <c r="J460" s="78">
        <f t="shared" si="30"/>
        <v>0</v>
      </c>
      <c r="K460" s="57"/>
      <c r="L460" s="52" t="str">
        <f t="shared" si="31"/>
        <v/>
      </c>
    </row>
    <row r="461" spans="1:12" ht="22.15" customHeight="1" x14ac:dyDescent="0.2">
      <c r="A461" s="53"/>
      <c r="B461" s="53"/>
      <c r="C461" s="53" t="str">
        <f>IFERROR(VLOOKUP(B461,'👥 بيانات الموظفين'!B:C,2,0),"")</f>
        <v/>
      </c>
      <c r="D461" s="55"/>
      <c r="E461" s="53"/>
      <c r="F461" s="75"/>
      <c r="G461" s="75"/>
      <c r="H461" s="76" t="str">
        <f t="shared" si="28"/>
        <v/>
      </c>
      <c r="I461" s="68">
        <f t="shared" si="29"/>
        <v>0</v>
      </c>
      <c r="J461" s="76">
        <f t="shared" si="30"/>
        <v>0</v>
      </c>
      <c r="K461" s="53"/>
      <c r="L461" s="51" t="str">
        <f t="shared" si="31"/>
        <v/>
      </c>
    </row>
    <row r="462" spans="1:12" ht="22.15" customHeight="1" x14ac:dyDescent="0.2">
      <c r="A462" s="57"/>
      <c r="B462" s="57"/>
      <c r="C462" s="57" t="str">
        <f>IFERROR(VLOOKUP(B462,'👥 بيانات الموظفين'!B:C,2,0),"")</f>
        <v/>
      </c>
      <c r="D462" s="59"/>
      <c r="E462" s="57"/>
      <c r="F462" s="77"/>
      <c r="G462" s="77"/>
      <c r="H462" s="78" t="str">
        <f t="shared" si="28"/>
        <v/>
      </c>
      <c r="I462" s="69">
        <f t="shared" si="29"/>
        <v>0</v>
      </c>
      <c r="J462" s="78">
        <f t="shared" si="30"/>
        <v>0</v>
      </c>
      <c r="K462" s="57"/>
      <c r="L462" s="52" t="str">
        <f t="shared" si="31"/>
        <v/>
      </c>
    </row>
    <row r="463" spans="1:12" ht="22.15" customHeight="1" x14ac:dyDescent="0.2">
      <c r="A463" s="53"/>
      <c r="B463" s="53"/>
      <c r="C463" s="53" t="str">
        <f>IFERROR(VLOOKUP(B463,'👥 بيانات الموظفين'!B:C,2,0),"")</f>
        <v/>
      </c>
      <c r="D463" s="55"/>
      <c r="E463" s="53"/>
      <c r="F463" s="75"/>
      <c r="G463" s="75"/>
      <c r="H463" s="76" t="str">
        <f t="shared" si="28"/>
        <v/>
      </c>
      <c r="I463" s="68">
        <f t="shared" si="29"/>
        <v>0</v>
      </c>
      <c r="J463" s="76">
        <f t="shared" si="30"/>
        <v>0</v>
      </c>
      <c r="K463" s="53"/>
      <c r="L463" s="51" t="str">
        <f t="shared" si="31"/>
        <v/>
      </c>
    </row>
    <row r="464" spans="1:12" ht="22.15" customHeight="1" x14ac:dyDescent="0.2">
      <c r="A464" s="57"/>
      <c r="B464" s="57"/>
      <c r="C464" s="57" t="str">
        <f>IFERROR(VLOOKUP(B464,'👥 بيانات الموظفين'!B:C,2,0),"")</f>
        <v/>
      </c>
      <c r="D464" s="59"/>
      <c r="E464" s="57"/>
      <c r="F464" s="77"/>
      <c r="G464" s="77"/>
      <c r="H464" s="78" t="str">
        <f t="shared" si="28"/>
        <v/>
      </c>
      <c r="I464" s="69">
        <f t="shared" si="29"/>
        <v>0</v>
      </c>
      <c r="J464" s="78">
        <f t="shared" si="30"/>
        <v>0</v>
      </c>
      <c r="K464" s="57"/>
      <c r="L464" s="52" t="str">
        <f t="shared" si="31"/>
        <v/>
      </c>
    </row>
    <row r="465" spans="1:12" ht="22.15" customHeight="1" x14ac:dyDescent="0.2">
      <c r="A465" s="53"/>
      <c r="B465" s="53"/>
      <c r="C465" s="53" t="str">
        <f>IFERROR(VLOOKUP(B465,'👥 بيانات الموظفين'!B:C,2,0),"")</f>
        <v/>
      </c>
      <c r="D465" s="55"/>
      <c r="E465" s="53"/>
      <c r="F465" s="75"/>
      <c r="G465" s="75"/>
      <c r="H465" s="76" t="str">
        <f t="shared" si="28"/>
        <v/>
      </c>
      <c r="I465" s="68">
        <f t="shared" si="29"/>
        <v>0</v>
      </c>
      <c r="J465" s="76">
        <f t="shared" si="30"/>
        <v>0</v>
      </c>
      <c r="K465" s="53"/>
      <c r="L465" s="51" t="str">
        <f t="shared" si="31"/>
        <v/>
      </c>
    </row>
    <row r="466" spans="1:12" ht="22.15" customHeight="1" x14ac:dyDescent="0.2">
      <c r="A466" s="57"/>
      <c r="B466" s="57"/>
      <c r="C466" s="57" t="str">
        <f>IFERROR(VLOOKUP(B466,'👥 بيانات الموظفين'!B:C,2,0),"")</f>
        <v/>
      </c>
      <c r="D466" s="59"/>
      <c r="E466" s="57"/>
      <c r="F466" s="77"/>
      <c r="G466" s="77"/>
      <c r="H466" s="78" t="str">
        <f t="shared" si="28"/>
        <v/>
      </c>
      <c r="I466" s="69">
        <f t="shared" si="29"/>
        <v>0</v>
      </c>
      <c r="J466" s="78">
        <f t="shared" si="30"/>
        <v>0</v>
      </c>
      <c r="K466" s="57"/>
      <c r="L466" s="52" t="str">
        <f t="shared" si="31"/>
        <v/>
      </c>
    </row>
    <row r="467" spans="1:12" ht="22.15" customHeight="1" x14ac:dyDescent="0.2">
      <c r="A467" s="53"/>
      <c r="B467" s="53"/>
      <c r="C467" s="53" t="str">
        <f>IFERROR(VLOOKUP(B467,'👥 بيانات الموظفين'!B:C,2,0),"")</f>
        <v/>
      </c>
      <c r="D467" s="55"/>
      <c r="E467" s="53"/>
      <c r="F467" s="75"/>
      <c r="G467" s="75"/>
      <c r="H467" s="76" t="str">
        <f t="shared" si="28"/>
        <v/>
      </c>
      <c r="I467" s="68">
        <f t="shared" si="29"/>
        <v>0</v>
      </c>
      <c r="J467" s="76">
        <f t="shared" si="30"/>
        <v>0</v>
      </c>
      <c r="K467" s="53"/>
      <c r="L467" s="51" t="str">
        <f t="shared" si="31"/>
        <v/>
      </c>
    </row>
    <row r="468" spans="1:12" ht="22.15" customHeight="1" x14ac:dyDescent="0.2">
      <c r="A468" s="57"/>
      <c r="B468" s="57"/>
      <c r="C468" s="57" t="str">
        <f>IFERROR(VLOOKUP(B468,'👥 بيانات الموظفين'!B:C,2,0),"")</f>
        <v/>
      </c>
      <c r="D468" s="59"/>
      <c r="E468" s="57"/>
      <c r="F468" s="77"/>
      <c r="G468" s="77"/>
      <c r="H468" s="78" t="str">
        <f t="shared" si="28"/>
        <v/>
      </c>
      <c r="I468" s="69">
        <f t="shared" si="29"/>
        <v>0</v>
      </c>
      <c r="J468" s="78">
        <f t="shared" si="30"/>
        <v>0</v>
      </c>
      <c r="K468" s="57"/>
      <c r="L468" s="52" t="str">
        <f t="shared" si="31"/>
        <v/>
      </c>
    </row>
    <row r="469" spans="1:12" ht="22.15" customHeight="1" x14ac:dyDescent="0.2">
      <c r="A469" s="53"/>
      <c r="B469" s="53"/>
      <c r="C469" s="53" t="str">
        <f>IFERROR(VLOOKUP(B469,'👥 بيانات الموظفين'!B:C,2,0),"")</f>
        <v/>
      </c>
      <c r="D469" s="55"/>
      <c r="E469" s="53"/>
      <c r="F469" s="75"/>
      <c r="G469" s="75"/>
      <c r="H469" s="76" t="str">
        <f t="shared" si="28"/>
        <v/>
      </c>
      <c r="I469" s="68">
        <f t="shared" si="29"/>
        <v>0</v>
      </c>
      <c r="J469" s="76">
        <f t="shared" si="30"/>
        <v>0</v>
      </c>
      <c r="K469" s="53"/>
      <c r="L469" s="51" t="str">
        <f t="shared" si="31"/>
        <v/>
      </c>
    </row>
    <row r="470" spans="1:12" ht="22.15" customHeight="1" x14ac:dyDescent="0.2">
      <c r="A470" s="57"/>
      <c r="B470" s="57"/>
      <c r="C470" s="57" t="str">
        <f>IFERROR(VLOOKUP(B470,'👥 بيانات الموظفين'!B:C,2,0),"")</f>
        <v/>
      </c>
      <c r="D470" s="59"/>
      <c r="E470" s="57"/>
      <c r="F470" s="77"/>
      <c r="G470" s="77"/>
      <c r="H470" s="78" t="str">
        <f t="shared" si="28"/>
        <v/>
      </c>
      <c r="I470" s="69">
        <f t="shared" si="29"/>
        <v>0</v>
      </c>
      <c r="J470" s="78">
        <f t="shared" si="30"/>
        <v>0</v>
      </c>
      <c r="K470" s="57"/>
      <c r="L470" s="52" t="str">
        <f t="shared" si="31"/>
        <v/>
      </c>
    </row>
    <row r="471" spans="1:12" ht="22.15" customHeight="1" x14ac:dyDescent="0.2">
      <c r="A471" s="53"/>
      <c r="B471" s="53"/>
      <c r="C471" s="53" t="str">
        <f>IFERROR(VLOOKUP(B471,'👥 بيانات الموظفين'!B:C,2,0),"")</f>
        <v/>
      </c>
      <c r="D471" s="55"/>
      <c r="E471" s="53"/>
      <c r="F471" s="75"/>
      <c r="G471" s="75"/>
      <c r="H471" s="76" t="str">
        <f t="shared" si="28"/>
        <v/>
      </c>
      <c r="I471" s="68">
        <f t="shared" si="29"/>
        <v>0</v>
      </c>
      <c r="J471" s="76">
        <f t="shared" si="30"/>
        <v>0</v>
      </c>
      <c r="K471" s="53"/>
      <c r="L471" s="51" t="str">
        <f t="shared" si="31"/>
        <v/>
      </c>
    </row>
    <row r="472" spans="1:12" ht="22.15" customHeight="1" x14ac:dyDescent="0.2">
      <c r="A472" s="57"/>
      <c r="B472" s="57"/>
      <c r="C472" s="57" t="str">
        <f>IFERROR(VLOOKUP(B472,'👥 بيانات الموظفين'!B:C,2,0),"")</f>
        <v/>
      </c>
      <c r="D472" s="59"/>
      <c r="E472" s="57"/>
      <c r="F472" s="77"/>
      <c r="G472" s="77"/>
      <c r="H472" s="78" t="str">
        <f t="shared" si="28"/>
        <v/>
      </c>
      <c r="I472" s="69">
        <f t="shared" si="29"/>
        <v>0</v>
      </c>
      <c r="J472" s="78">
        <f t="shared" si="30"/>
        <v>0</v>
      </c>
      <c r="K472" s="57"/>
      <c r="L472" s="52" t="str">
        <f t="shared" si="31"/>
        <v/>
      </c>
    </row>
    <row r="473" spans="1:12" ht="22.15" customHeight="1" x14ac:dyDescent="0.2">
      <c r="A473" s="53"/>
      <c r="B473" s="53"/>
      <c r="C473" s="53" t="str">
        <f>IFERROR(VLOOKUP(B473,'👥 بيانات الموظفين'!B:C,2,0),"")</f>
        <v/>
      </c>
      <c r="D473" s="55"/>
      <c r="E473" s="53"/>
      <c r="F473" s="75"/>
      <c r="G473" s="75"/>
      <c r="H473" s="76" t="str">
        <f t="shared" si="28"/>
        <v/>
      </c>
      <c r="I473" s="68">
        <f t="shared" si="29"/>
        <v>0</v>
      </c>
      <c r="J473" s="76">
        <f t="shared" si="30"/>
        <v>0</v>
      </c>
      <c r="K473" s="53"/>
      <c r="L473" s="51" t="str">
        <f t="shared" si="31"/>
        <v/>
      </c>
    </row>
    <row r="474" spans="1:12" ht="22.15" customHeight="1" x14ac:dyDescent="0.2">
      <c r="A474" s="57"/>
      <c r="B474" s="57"/>
      <c r="C474" s="57" t="str">
        <f>IFERROR(VLOOKUP(B474,'👥 بيانات الموظفين'!B:C,2,0),"")</f>
        <v/>
      </c>
      <c r="D474" s="59"/>
      <c r="E474" s="57"/>
      <c r="F474" s="77"/>
      <c r="G474" s="77"/>
      <c r="H474" s="78" t="str">
        <f t="shared" si="28"/>
        <v/>
      </c>
      <c r="I474" s="69">
        <f t="shared" si="29"/>
        <v>0</v>
      </c>
      <c r="J474" s="78">
        <f t="shared" si="30"/>
        <v>0</v>
      </c>
      <c r="K474" s="57"/>
      <c r="L474" s="52" t="str">
        <f t="shared" si="31"/>
        <v/>
      </c>
    </row>
    <row r="475" spans="1:12" ht="22.15" customHeight="1" x14ac:dyDescent="0.2">
      <c r="A475" s="53"/>
      <c r="B475" s="53"/>
      <c r="C475" s="53" t="str">
        <f>IFERROR(VLOOKUP(B475,'👥 بيانات الموظفين'!B:C,2,0),"")</f>
        <v/>
      </c>
      <c r="D475" s="55"/>
      <c r="E475" s="53"/>
      <c r="F475" s="75"/>
      <c r="G475" s="75"/>
      <c r="H475" s="76" t="str">
        <f t="shared" si="28"/>
        <v/>
      </c>
      <c r="I475" s="68">
        <f t="shared" si="29"/>
        <v>0</v>
      </c>
      <c r="J475" s="76">
        <f t="shared" si="30"/>
        <v>0</v>
      </c>
      <c r="K475" s="53"/>
      <c r="L475" s="51" t="str">
        <f t="shared" si="31"/>
        <v/>
      </c>
    </row>
    <row r="476" spans="1:12" ht="22.15" customHeight="1" x14ac:dyDescent="0.2">
      <c r="A476" s="57"/>
      <c r="B476" s="57"/>
      <c r="C476" s="57" t="str">
        <f>IFERROR(VLOOKUP(B476,'👥 بيانات الموظفين'!B:C,2,0),"")</f>
        <v/>
      </c>
      <c r="D476" s="59"/>
      <c r="E476" s="57"/>
      <c r="F476" s="77"/>
      <c r="G476" s="77"/>
      <c r="H476" s="78" t="str">
        <f t="shared" si="28"/>
        <v/>
      </c>
      <c r="I476" s="69">
        <f t="shared" si="29"/>
        <v>0</v>
      </c>
      <c r="J476" s="78">
        <f t="shared" si="30"/>
        <v>0</v>
      </c>
      <c r="K476" s="57"/>
      <c r="L476" s="52" t="str">
        <f t="shared" si="31"/>
        <v/>
      </c>
    </row>
    <row r="477" spans="1:12" ht="22.15" customHeight="1" x14ac:dyDescent="0.2">
      <c r="A477" s="53"/>
      <c r="B477" s="53"/>
      <c r="C477" s="53" t="str">
        <f>IFERROR(VLOOKUP(B477,'👥 بيانات الموظفين'!B:C,2,0),"")</f>
        <v/>
      </c>
      <c r="D477" s="55"/>
      <c r="E477" s="53"/>
      <c r="F477" s="75"/>
      <c r="G477" s="75"/>
      <c r="H477" s="76" t="str">
        <f t="shared" si="28"/>
        <v/>
      </c>
      <c r="I477" s="68">
        <f t="shared" si="29"/>
        <v>0</v>
      </c>
      <c r="J477" s="76">
        <f t="shared" si="30"/>
        <v>0</v>
      </c>
      <c r="K477" s="53"/>
      <c r="L477" s="51" t="str">
        <f t="shared" si="31"/>
        <v/>
      </c>
    </row>
    <row r="478" spans="1:12" ht="22.15" customHeight="1" x14ac:dyDescent="0.2">
      <c r="A478" s="57"/>
      <c r="B478" s="57"/>
      <c r="C478" s="57" t="str">
        <f>IFERROR(VLOOKUP(B478,'👥 بيانات الموظفين'!B:C,2,0),"")</f>
        <v/>
      </c>
      <c r="D478" s="59"/>
      <c r="E478" s="57"/>
      <c r="F478" s="77"/>
      <c r="G478" s="77"/>
      <c r="H478" s="78" t="str">
        <f t="shared" si="28"/>
        <v/>
      </c>
      <c r="I478" s="69">
        <f t="shared" si="29"/>
        <v>0</v>
      </c>
      <c r="J478" s="78">
        <f t="shared" si="30"/>
        <v>0</v>
      </c>
      <c r="K478" s="57"/>
      <c r="L478" s="52" t="str">
        <f t="shared" si="31"/>
        <v/>
      </c>
    </row>
    <row r="479" spans="1:12" ht="22.15" customHeight="1" x14ac:dyDescent="0.2">
      <c r="A479" s="53"/>
      <c r="B479" s="53"/>
      <c r="C479" s="53" t="str">
        <f>IFERROR(VLOOKUP(B479,'👥 بيانات الموظفين'!B:C,2,0),"")</f>
        <v/>
      </c>
      <c r="D479" s="55"/>
      <c r="E479" s="53"/>
      <c r="F479" s="75"/>
      <c r="G479" s="75"/>
      <c r="H479" s="76" t="str">
        <f t="shared" si="28"/>
        <v/>
      </c>
      <c r="I479" s="68">
        <f t="shared" si="29"/>
        <v>0</v>
      </c>
      <c r="J479" s="76">
        <f t="shared" si="30"/>
        <v>0</v>
      </c>
      <c r="K479" s="53"/>
      <c r="L479" s="51" t="str">
        <f t="shared" si="31"/>
        <v/>
      </c>
    </row>
    <row r="480" spans="1:12" ht="22.15" customHeight="1" x14ac:dyDescent="0.2">
      <c r="A480" s="57"/>
      <c r="B480" s="57"/>
      <c r="C480" s="57" t="str">
        <f>IFERROR(VLOOKUP(B480,'👥 بيانات الموظفين'!B:C,2,0),"")</f>
        <v/>
      </c>
      <c r="D480" s="59"/>
      <c r="E480" s="57"/>
      <c r="F480" s="77"/>
      <c r="G480" s="77"/>
      <c r="H480" s="78" t="str">
        <f t="shared" si="28"/>
        <v/>
      </c>
      <c r="I480" s="69">
        <f t="shared" si="29"/>
        <v>0</v>
      </c>
      <c r="J480" s="78">
        <f t="shared" si="30"/>
        <v>0</v>
      </c>
      <c r="K480" s="57"/>
      <c r="L480" s="52" t="str">
        <f t="shared" si="31"/>
        <v/>
      </c>
    </row>
    <row r="481" spans="1:12" ht="22.15" customHeight="1" x14ac:dyDescent="0.2">
      <c r="A481" s="53"/>
      <c r="B481" s="53"/>
      <c r="C481" s="53" t="str">
        <f>IFERROR(VLOOKUP(B481,'👥 بيانات الموظفين'!B:C,2,0),"")</f>
        <v/>
      </c>
      <c r="D481" s="55"/>
      <c r="E481" s="53"/>
      <c r="F481" s="75"/>
      <c r="G481" s="75"/>
      <c r="H481" s="76" t="str">
        <f t="shared" si="28"/>
        <v/>
      </c>
      <c r="I481" s="68">
        <f t="shared" si="29"/>
        <v>0</v>
      </c>
      <c r="J481" s="76">
        <f t="shared" si="30"/>
        <v>0</v>
      </c>
      <c r="K481" s="53"/>
      <c r="L481" s="51" t="str">
        <f t="shared" si="31"/>
        <v/>
      </c>
    </row>
    <row r="482" spans="1:12" ht="22.15" customHeight="1" x14ac:dyDescent="0.2">
      <c r="A482" s="57"/>
      <c r="B482" s="57"/>
      <c r="C482" s="57" t="str">
        <f>IFERROR(VLOOKUP(B482,'👥 بيانات الموظفين'!B:C,2,0),"")</f>
        <v/>
      </c>
      <c r="D482" s="59"/>
      <c r="E482" s="57"/>
      <c r="F482" s="77"/>
      <c r="G482" s="77"/>
      <c r="H482" s="78" t="str">
        <f t="shared" si="28"/>
        <v/>
      </c>
      <c r="I482" s="69">
        <f t="shared" si="29"/>
        <v>0</v>
      </c>
      <c r="J482" s="78">
        <f t="shared" si="30"/>
        <v>0</v>
      </c>
      <c r="K482" s="57"/>
      <c r="L482" s="52" t="str">
        <f t="shared" si="31"/>
        <v/>
      </c>
    </row>
    <row r="483" spans="1:12" ht="22.15" customHeight="1" x14ac:dyDescent="0.2">
      <c r="A483" s="53"/>
      <c r="B483" s="53"/>
      <c r="C483" s="53" t="str">
        <f>IFERROR(VLOOKUP(B483,'👥 بيانات الموظفين'!B:C,2,0),"")</f>
        <v/>
      </c>
      <c r="D483" s="55"/>
      <c r="E483" s="53"/>
      <c r="F483" s="75"/>
      <c r="G483" s="75"/>
      <c r="H483" s="76" t="str">
        <f t="shared" si="28"/>
        <v/>
      </c>
      <c r="I483" s="68">
        <f t="shared" si="29"/>
        <v>0</v>
      </c>
      <c r="J483" s="76">
        <f t="shared" si="30"/>
        <v>0</v>
      </c>
      <c r="K483" s="53"/>
      <c r="L483" s="51" t="str">
        <f t="shared" si="31"/>
        <v/>
      </c>
    </row>
    <row r="484" spans="1:12" ht="22.15" customHeight="1" x14ac:dyDescent="0.2">
      <c r="A484" s="57"/>
      <c r="B484" s="57"/>
      <c r="C484" s="57" t="str">
        <f>IFERROR(VLOOKUP(B484,'👥 بيانات الموظفين'!B:C,2,0),"")</f>
        <v/>
      </c>
      <c r="D484" s="59"/>
      <c r="E484" s="57"/>
      <c r="F484" s="77"/>
      <c r="G484" s="77"/>
      <c r="H484" s="78" t="str">
        <f t="shared" si="28"/>
        <v/>
      </c>
      <c r="I484" s="69">
        <f t="shared" si="29"/>
        <v>0</v>
      </c>
      <c r="J484" s="78">
        <f t="shared" si="30"/>
        <v>0</v>
      </c>
      <c r="K484" s="57"/>
      <c r="L484" s="52" t="str">
        <f t="shared" si="31"/>
        <v/>
      </c>
    </row>
    <row r="485" spans="1:12" ht="22.15" customHeight="1" x14ac:dyDescent="0.2">
      <c r="A485" s="53"/>
      <c r="B485" s="53"/>
      <c r="C485" s="53" t="str">
        <f>IFERROR(VLOOKUP(B485,'👥 بيانات الموظفين'!B:C,2,0),"")</f>
        <v/>
      </c>
      <c r="D485" s="55"/>
      <c r="E485" s="53"/>
      <c r="F485" s="75"/>
      <c r="G485" s="75"/>
      <c r="H485" s="76" t="str">
        <f t="shared" si="28"/>
        <v/>
      </c>
      <c r="I485" s="68">
        <f t="shared" si="29"/>
        <v>0</v>
      </c>
      <c r="J485" s="76">
        <f t="shared" si="30"/>
        <v>0</v>
      </c>
      <c r="K485" s="53"/>
      <c r="L485" s="51" t="str">
        <f t="shared" si="31"/>
        <v/>
      </c>
    </row>
    <row r="486" spans="1:12" ht="22.15" customHeight="1" x14ac:dyDescent="0.2">
      <c r="A486" s="57"/>
      <c r="B486" s="57"/>
      <c r="C486" s="57" t="str">
        <f>IFERROR(VLOOKUP(B486,'👥 بيانات الموظفين'!B:C,2,0),"")</f>
        <v/>
      </c>
      <c r="D486" s="59"/>
      <c r="E486" s="57"/>
      <c r="F486" s="77"/>
      <c r="G486" s="77"/>
      <c r="H486" s="78" t="str">
        <f t="shared" si="28"/>
        <v/>
      </c>
      <c r="I486" s="69">
        <f t="shared" si="29"/>
        <v>0</v>
      </c>
      <c r="J486" s="78">
        <f t="shared" si="30"/>
        <v>0</v>
      </c>
      <c r="K486" s="57"/>
      <c r="L486" s="52" t="str">
        <f t="shared" si="31"/>
        <v/>
      </c>
    </row>
    <row r="487" spans="1:12" ht="22.15" customHeight="1" x14ac:dyDescent="0.2">
      <c r="A487" s="53"/>
      <c r="B487" s="53"/>
      <c r="C487" s="53" t="str">
        <f>IFERROR(VLOOKUP(B487,'👥 بيانات الموظفين'!B:C,2,0),"")</f>
        <v/>
      </c>
      <c r="D487" s="55"/>
      <c r="E487" s="53"/>
      <c r="F487" s="75"/>
      <c r="G487" s="75"/>
      <c r="H487" s="76" t="str">
        <f t="shared" si="28"/>
        <v/>
      </c>
      <c r="I487" s="68">
        <f t="shared" si="29"/>
        <v>0</v>
      </c>
      <c r="J487" s="76">
        <f t="shared" si="30"/>
        <v>0</v>
      </c>
      <c r="K487" s="53"/>
      <c r="L487" s="51" t="str">
        <f t="shared" si="31"/>
        <v/>
      </c>
    </row>
    <row r="488" spans="1:12" ht="22.15" customHeight="1" x14ac:dyDescent="0.2">
      <c r="A488" s="57"/>
      <c r="B488" s="57"/>
      <c r="C488" s="57" t="str">
        <f>IFERROR(VLOOKUP(B488,'👥 بيانات الموظفين'!B:C,2,0),"")</f>
        <v/>
      </c>
      <c r="D488" s="59"/>
      <c r="E488" s="57"/>
      <c r="F488" s="77"/>
      <c r="G488" s="77"/>
      <c r="H488" s="78" t="str">
        <f t="shared" si="28"/>
        <v/>
      </c>
      <c r="I488" s="69">
        <f t="shared" si="29"/>
        <v>0</v>
      </c>
      <c r="J488" s="78">
        <f t="shared" si="30"/>
        <v>0</v>
      </c>
      <c r="K488" s="57"/>
      <c r="L488" s="52" t="str">
        <f t="shared" si="31"/>
        <v/>
      </c>
    </row>
    <row r="489" spans="1:12" ht="22.15" customHeight="1" x14ac:dyDescent="0.2">
      <c r="A489" s="53"/>
      <c r="B489" s="53"/>
      <c r="C489" s="53" t="str">
        <f>IFERROR(VLOOKUP(B489,'👥 بيانات الموظفين'!B:C,2,0),"")</f>
        <v/>
      </c>
      <c r="D489" s="55"/>
      <c r="E489" s="53"/>
      <c r="F489" s="75"/>
      <c r="G489" s="75"/>
      <c r="H489" s="76" t="str">
        <f t="shared" si="28"/>
        <v/>
      </c>
      <c r="I489" s="68">
        <f t="shared" si="29"/>
        <v>0</v>
      </c>
      <c r="J489" s="76">
        <f t="shared" si="30"/>
        <v>0</v>
      </c>
      <c r="K489" s="53"/>
      <c r="L489" s="51" t="str">
        <f t="shared" si="31"/>
        <v/>
      </c>
    </row>
    <row r="490" spans="1:12" ht="22.15" customHeight="1" x14ac:dyDescent="0.2">
      <c r="A490" s="57"/>
      <c r="B490" s="57"/>
      <c r="C490" s="57" t="str">
        <f>IFERROR(VLOOKUP(B490,'👥 بيانات الموظفين'!B:C,2,0),"")</f>
        <v/>
      </c>
      <c r="D490" s="59"/>
      <c r="E490" s="57"/>
      <c r="F490" s="77"/>
      <c r="G490" s="77"/>
      <c r="H490" s="78" t="str">
        <f t="shared" si="28"/>
        <v/>
      </c>
      <c r="I490" s="69">
        <f t="shared" si="29"/>
        <v>0</v>
      </c>
      <c r="J490" s="78">
        <f t="shared" si="30"/>
        <v>0</v>
      </c>
      <c r="K490" s="57"/>
      <c r="L490" s="52" t="str">
        <f t="shared" si="31"/>
        <v/>
      </c>
    </row>
    <row r="491" spans="1:12" ht="22.15" customHeight="1" x14ac:dyDescent="0.2">
      <c r="A491" s="53"/>
      <c r="B491" s="53"/>
      <c r="C491" s="53" t="str">
        <f>IFERROR(VLOOKUP(B491,'👥 بيانات الموظفين'!B:C,2,0),"")</f>
        <v/>
      </c>
      <c r="D491" s="55"/>
      <c r="E491" s="53"/>
      <c r="F491" s="75"/>
      <c r="G491" s="75"/>
      <c r="H491" s="76" t="str">
        <f t="shared" si="28"/>
        <v/>
      </c>
      <c r="I491" s="68">
        <f t="shared" si="29"/>
        <v>0</v>
      </c>
      <c r="J491" s="76">
        <f t="shared" si="30"/>
        <v>0</v>
      </c>
      <c r="K491" s="53"/>
      <c r="L491" s="51" t="str">
        <f t="shared" si="31"/>
        <v/>
      </c>
    </row>
    <row r="492" spans="1:12" ht="22.15" customHeight="1" x14ac:dyDescent="0.2">
      <c r="A492" s="57"/>
      <c r="B492" s="57"/>
      <c r="C492" s="57" t="str">
        <f>IFERROR(VLOOKUP(B492,'👥 بيانات الموظفين'!B:C,2,0),"")</f>
        <v/>
      </c>
      <c r="D492" s="59"/>
      <c r="E492" s="57"/>
      <c r="F492" s="77"/>
      <c r="G492" s="77"/>
      <c r="H492" s="78" t="str">
        <f t="shared" si="28"/>
        <v/>
      </c>
      <c r="I492" s="69">
        <f t="shared" si="29"/>
        <v>0</v>
      </c>
      <c r="J492" s="78">
        <f t="shared" si="30"/>
        <v>0</v>
      </c>
      <c r="K492" s="57"/>
      <c r="L492" s="52" t="str">
        <f t="shared" si="31"/>
        <v/>
      </c>
    </row>
    <row r="493" spans="1:12" ht="22.15" customHeight="1" x14ac:dyDescent="0.2">
      <c r="A493" s="53"/>
      <c r="B493" s="53"/>
      <c r="C493" s="53" t="str">
        <f>IFERROR(VLOOKUP(B493,'👥 بيانات الموظفين'!B:C,2,0),"")</f>
        <v/>
      </c>
      <c r="D493" s="55"/>
      <c r="E493" s="53"/>
      <c r="F493" s="75"/>
      <c r="G493" s="75"/>
      <c r="H493" s="76" t="str">
        <f t="shared" si="28"/>
        <v/>
      </c>
      <c r="I493" s="68">
        <f t="shared" si="29"/>
        <v>0</v>
      </c>
      <c r="J493" s="76">
        <f t="shared" si="30"/>
        <v>0</v>
      </c>
      <c r="K493" s="53"/>
      <c r="L493" s="51" t="str">
        <f t="shared" si="31"/>
        <v/>
      </c>
    </row>
    <row r="494" spans="1:12" ht="22.15" customHeight="1" x14ac:dyDescent="0.2">
      <c r="A494" s="57"/>
      <c r="B494" s="57"/>
      <c r="C494" s="57" t="str">
        <f>IFERROR(VLOOKUP(B494,'👥 بيانات الموظفين'!B:C,2,0),"")</f>
        <v/>
      </c>
      <c r="D494" s="59"/>
      <c r="E494" s="57"/>
      <c r="F494" s="77"/>
      <c r="G494" s="77"/>
      <c r="H494" s="78" t="str">
        <f t="shared" si="28"/>
        <v/>
      </c>
      <c r="I494" s="69">
        <f t="shared" si="29"/>
        <v>0</v>
      </c>
      <c r="J494" s="78">
        <f t="shared" si="30"/>
        <v>0</v>
      </c>
      <c r="K494" s="57"/>
      <c r="L494" s="52" t="str">
        <f t="shared" si="31"/>
        <v/>
      </c>
    </row>
    <row r="495" spans="1:12" ht="22.15" customHeight="1" x14ac:dyDescent="0.2">
      <c r="A495" s="53"/>
      <c r="B495" s="53"/>
      <c r="C495" s="53" t="str">
        <f>IFERROR(VLOOKUP(B495,'👥 بيانات الموظفين'!B:C,2,0),"")</f>
        <v/>
      </c>
      <c r="D495" s="55"/>
      <c r="E495" s="53"/>
      <c r="F495" s="75"/>
      <c r="G495" s="75"/>
      <c r="H495" s="76" t="str">
        <f t="shared" si="28"/>
        <v/>
      </c>
      <c r="I495" s="68">
        <f t="shared" si="29"/>
        <v>0</v>
      </c>
      <c r="J495" s="76">
        <f t="shared" si="30"/>
        <v>0</v>
      </c>
      <c r="K495" s="53"/>
      <c r="L495" s="51" t="str">
        <f t="shared" si="31"/>
        <v/>
      </c>
    </row>
    <row r="496" spans="1:12" ht="22.15" customHeight="1" x14ac:dyDescent="0.2">
      <c r="A496" s="57"/>
      <c r="B496" s="57"/>
      <c r="C496" s="57" t="str">
        <f>IFERROR(VLOOKUP(B496,'👥 بيانات الموظفين'!B:C,2,0),"")</f>
        <v/>
      </c>
      <c r="D496" s="59"/>
      <c r="E496" s="57"/>
      <c r="F496" s="77"/>
      <c r="G496" s="77"/>
      <c r="H496" s="78" t="str">
        <f t="shared" si="28"/>
        <v/>
      </c>
      <c r="I496" s="69">
        <f t="shared" si="29"/>
        <v>0</v>
      </c>
      <c r="J496" s="78">
        <f t="shared" si="30"/>
        <v>0</v>
      </c>
      <c r="K496" s="57"/>
      <c r="L496" s="52" t="str">
        <f t="shared" si="31"/>
        <v/>
      </c>
    </row>
    <row r="497" spans="1:12" ht="22.15" customHeight="1" x14ac:dyDescent="0.2">
      <c r="A497" s="53"/>
      <c r="B497" s="53"/>
      <c r="C497" s="53" t="str">
        <f>IFERROR(VLOOKUP(B497,'👥 بيانات الموظفين'!B:C,2,0),"")</f>
        <v/>
      </c>
      <c r="D497" s="55"/>
      <c r="E497" s="53"/>
      <c r="F497" s="75"/>
      <c r="G497" s="75"/>
      <c r="H497" s="76" t="str">
        <f t="shared" si="28"/>
        <v/>
      </c>
      <c r="I497" s="68">
        <f t="shared" si="29"/>
        <v>0</v>
      </c>
      <c r="J497" s="76">
        <f t="shared" si="30"/>
        <v>0</v>
      </c>
      <c r="K497" s="53"/>
      <c r="L497" s="51" t="str">
        <f t="shared" si="31"/>
        <v/>
      </c>
    </row>
    <row r="498" spans="1:12" ht="22.15" customHeight="1" x14ac:dyDescent="0.2">
      <c r="A498" s="57"/>
      <c r="B498" s="57"/>
      <c r="C498" s="57" t="str">
        <f>IFERROR(VLOOKUP(B498,'👥 بيانات الموظفين'!B:C,2,0),"")</f>
        <v/>
      </c>
      <c r="D498" s="59"/>
      <c r="E498" s="57"/>
      <c r="F498" s="77"/>
      <c r="G498" s="77"/>
      <c r="H498" s="78" t="str">
        <f t="shared" si="28"/>
        <v/>
      </c>
      <c r="I498" s="69">
        <f t="shared" si="29"/>
        <v>0</v>
      </c>
      <c r="J498" s="78">
        <f t="shared" si="30"/>
        <v>0</v>
      </c>
      <c r="K498" s="57"/>
      <c r="L498" s="52" t="str">
        <f t="shared" si="31"/>
        <v/>
      </c>
    </row>
    <row r="499" spans="1:12" ht="22.15" customHeight="1" x14ac:dyDescent="0.2">
      <c r="A499" s="53"/>
      <c r="B499" s="53"/>
      <c r="C499" s="53" t="str">
        <f>IFERROR(VLOOKUP(B499,'👥 بيانات الموظفين'!B:C,2,0),"")</f>
        <v/>
      </c>
      <c r="D499" s="55"/>
      <c r="E499" s="53"/>
      <c r="F499" s="75"/>
      <c r="G499" s="75"/>
      <c r="H499" s="76" t="str">
        <f t="shared" si="28"/>
        <v/>
      </c>
      <c r="I499" s="68">
        <f t="shared" si="29"/>
        <v>0</v>
      </c>
      <c r="J499" s="76">
        <f t="shared" si="30"/>
        <v>0</v>
      </c>
      <c r="K499" s="53"/>
      <c r="L499" s="51" t="str">
        <f t="shared" si="31"/>
        <v/>
      </c>
    </row>
    <row r="500" spans="1:12" ht="22.15" customHeight="1" x14ac:dyDescent="0.2">
      <c r="A500" s="57"/>
      <c r="B500" s="57"/>
      <c r="C500" s="57" t="str">
        <f>IFERROR(VLOOKUP(B500,'👥 بيانات الموظفين'!B:C,2,0),"")</f>
        <v/>
      </c>
      <c r="D500" s="59"/>
      <c r="E500" s="57"/>
      <c r="F500" s="77"/>
      <c r="G500" s="77"/>
      <c r="H500" s="78" t="str">
        <f t="shared" si="28"/>
        <v/>
      </c>
      <c r="I500" s="69">
        <f t="shared" si="29"/>
        <v>0</v>
      </c>
      <c r="J500" s="78">
        <f t="shared" si="30"/>
        <v>0</v>
      </c>
      <c r="K500" s="57"/>
      <c r="L500" s="52" t="str">
        <f t="shared" si="31"/>
        <v/>
      </c>
    </row>
    <row r="501" spans="1:12" ht="22.15" customHeight="1" x14ac:dyDescent="0.2">
      <c r="A501" s="53"/>
      <c r="B501" s="53"/>
      <c r="C501" s="53" t="str">
        <f>IFERROR(VLOOKUP(B501,'👥 بيانات الموظفين'!B:C,2,0),"")</f>
        <v/>
      </c>
      <c r="D501" s="55"/>
      <c r="E501" s="53"/>
      <c r="F501" s="75"/>
      <c r="G501" s="75"/>
      <c r="H501" s="76" t="str">
        <f t="shared" si="28"/>
        <v/>
      </c>
      <c r="I501" s="68">
        <f t="shared" si="29"/>
        <v>0</v>
      </c>
      <c r="J501" s="76">
        <f t="shared" si="30"/>
        <v>0</v>
      </c>
      <c r="K501" s="53"/>
      <c r="L501" s="51" t="str">
        <f t="shared" si="31"/>
        <v/>
      </c>
    </row>
    <row r="502" spans="1:12" ht="22.15" customHeight="1" x14ac:dyDescent="0.2">
      <c r="A502" s="57"/>
      <c r="B502" s="57"/>
      <c r="C502" s="57" t="str">
        <f>IFERROR(VLOOKUP(B502,'👥 بيانات الموظفين'!B:C,2,0),"")</f>
        <v/>
      </c>
      <c r="D502" s="59"/>
      <c r="E502" s="57"/>
      <c r="F502" s="77"/>
      <c r="G502" s="77"/>
      <c r="H502" s="78" t="str">
        <f t="shared" si="28"/>
        <v/>
      </c>
      <c r="I502" s="69">
        <f t="shared" si="29"/>
        <v>0</v>
      </c>
      <c r="J502" s="78">
        <f t="shared" si="30"/>
        <v>0</v>
      </c>
      <c r="K502" s="57"/>
      <c r="L502" s="52" t="str">
        <f t="shared" si="31"/>
        <v/>
      </c>
    </row>
    <row r="503" spans="1:12" ht="22.15" customHeight="1" x14ac:dyDescent="0.2">
      <c r="A503" s="53"/>
      <c r="B503" s="53"/>
      <c r="C503" s="53" t="str">
        <f>IFERROR(VLOOKUP(B503,'👥 بيانات الموظفين'!B:C,2,0),"")</f>
        <v/>
      </c>
      <c r="D503" s="55"/>
      <c r="E503" s="53"/>
      <c r="F503" s="75"/>
      <c r="G503" s="75"/>
      <c r="H503" s="76" t="str">
        <f t="shared" si="28"/>
        <v/>
      </c>
      <c r="I503" s="68">
        <f t="shared" si="29"/>
        <v>0</v>
      </c>
      <c r="J503" s="76">
        <f t="shared" si="30"/>
        <v>0</v>
      </c>
      <c r="K503" s="53"/>
      <c r="L503" s="51" t="str">
        <f t="shared" si="31"/>
        <v/>
      </c>
    </row>
    <row r="504" spans="1:12" ht="22.15" customHeight="1" x14ac:dyDescent="0.2">
      <c r="A504" s="57"/>
      <c r="B504" s="57"/>
      <c r="C504" s="57" t="str">
        <f>IFERROR(VLOOKUP(B504,'👥 بيانات الموظفين'!B:C,2,0),"")</f>
        <v/>
      </c>
      <c r="D504" s="59"/>
      <c r="E504" s="57"/>
      <c r="F504" s="77"/>
      <c r="G504" s="77"/>
      <c r="H504" s="78" t="str">
        <f t="shared" si="28"/>
        <v/>
      </c>
      <c r="I504" s="69">
        <f t="shared" si="29"/>
        <v>0</v>
      </c>
      <c r="J504" s="78">
        <f t="shared" si="30"/>
        <v>0</v>
      </c>
      <c r="K504" s="57"/>
      <c r="L504" s="52" t="str">
        <f t="shared" si="31"/>
        <v/>
      </c>
    </row>
  </sheetData>
  <mergeCells count="6">
    <mergeCell ref="A1:Z1"/>
    <mergeCell ref="D3:F3"/>
    <mergeCell ref="A3:C3"/>
    <mergeCell ref="G3:I3"/>
    <mergeCell ref="A2:Z2"/>
    <mergeCell ref="J3:L3"/>
  </mergeCells>
  <conditionalFormatting sqref="E5:E504">
    <cfRule type="expression" dxfId="7" priority="1" stopIfTrue="1">
      <formula>$E5="حاضر"</formula>
    </cfRule>
    <cfRule type="expression" dxfId="6" priority="2" stopIfTrue="1">
      <formula>$E5="غائب"</formula>
    </cfRule>
    <cfRule type="expression" dxfId="5" priority="3" stopIfTrue="1">
      <formula>$E5="متأخر"</formula>
    </cfRule>
  </conditionalFormatting>
  <dataValidations count="1">
    <dataValidation type="list" allowBlank="1" showInputMessage="1" showErrorMessage="1" sqref="E5:E504" xr:uid="{D0E69D03-FA06-4E82-BF27-1708C207D55A}">
      <formula1>ListAttState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293B"/>
  </sheetPr>
  <dimension ref="A1:Z206"/>
  <sheetViews>
    <sheetView showGridLines="0" rightToLeft="1" zoomScaleNormal="100"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activeCell="A9" sqref="A9"/>
    </sheetView>
  </sheetViews>
  <sheetFormatPr defaultRowHeight="14.25" x14ac:dyDescent="0.2"/>
  <cols>
    <col min="1" max="1" width="5.625" customWidth="1"/>
    <col min="2" max="2" width="12.625" customWidth="1"/>
    <col min="3" max="3" width="22.625" customWidth="1"/>
    <col min="4" max="4" width="18.625" customWidth="1"/>
    <col min="5" max="5" width="10.625" customWidth="1"/>
    <col min="6" max="6" width="14.625" customWidth="1"/>
    <col min="7" max="9" width="12.625" customWidth="1"/>
    <col min="10" max="10" width="14.625" customWidth="1"/>
    <col min="11" max="13" width="12.625" customWidth="1"/>
    <col min="14" max="15" width="14.625" customWidth="1"/>
    <col min="16" max="16" width="12.625" customWidth="1"/>
    <col min="17" max="17" width="10.625" customWidth="1"/>
    <col min="18" max="20" width="14.625" customWidth="1"/>
    <col min="21" max="21" width="16.625" customWidth="1"/>
  </cols>
  <sheetData>
    <row r="1" spans="1:26" ht="38.1" customHeight="1" x14ac:dyDescent="0.2">
      <c r="A1" s="191" t="s">
        <v>90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20.100000000000001" customHeight="1" x14ac:dyDescent="0.2">
      <c r="A2" s="192" t="s">
        <v>91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spans="1:26" ht="28.15" customHeight="1" x14ac:dyDescent="0.25">
      <c r="A3" s="199" t="str">
        <f>"كشف رواتب شهر: "&amp;TEXT(DATE(PayYear,PayMonth,1),"mmmm yyyy")</f>
        <v>كشف رواتب شهر: April 2026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</row>
    <row r="4" spans="1:26" ht="38.1" customHeight="1" x14ac:dyDescent="0.2">
      <c r="A4" s="35" t="s">
        <v>45</v>
      </c>
      <c r="B4" s="35" t="s">
        <v>46</v>
      </c>
      <c r="C4" s="35" t="s">
        <v>79</v>
      </c>
      <c r="D4" s="35" t="s">
        <v>10</v>
      </c>
      <c r="E4" s="35" t="s">
        <v>92</v>
      </c>
      <c r="F4" s="35" t="s">
        <v>51</v>
      </c>
      <c r="G4" s="35" t="s">
        <v>52</v>
      </c>
      <c r="H4" s="35" t="s">
        <v>53</v>
      </c>
      <c r="I4" s="35" t="s">
        <v>93</v>
      </c>
      <c r="J4" s="35" t="s">
        <v>94</v>
      </c>
      <c r="K4" s="35" t="s">
        <v>95</v>
      </c>
      <c r="L4" s="35" t="s">
        <v>96</v>
      </c>
      <c r="M4" s="35" t="s">
        <v>97</v>
      </c>
      <c r="N4" s="35" t="s">
        <v>98</v>
      </c>
      <c r="O4" s="35" t="s">
        <v>99</v>
      </c>
      <c r="P4" s="35" t="s">
        <v>100</v>
      </c>
      <c r="Q4" s="35" t="s">
        <v>218</v>
      </c>
      <c r="R4" s="35" t="s">
        <v>217</v>
      </c>
      <c r="S4" s="35" t="s">
        <v>216</v>
      </c>
      <c r="T4" s="35" t="s">
        <v>215</v>
      </c>
      <c r="U4" s="35" t="s">
        <v>219</v>
      </c>
    </row>
    <row r="5" spans="1:26" ht="22.15" customHeight="1" x14ac:dyDescent="0.2">
      <c r="A5" s="53">
        <f t="shared" ref="A5:A36" si="0">IF(B5&lt;&gt;"",ROW()-4,"")</f>
        <v>1</v>
      </c>
      <c r="B5" s="53" t="str">
        <f>IFERROR('👥 بيانات الموظفين'!B5,"")</f>
        <v>EMP001</v>
      </c>
      <c r="C5" s="53" t="str">
        <f>IFERROR(VLOOKUP(B5,'👥 بيانات الموظفين'!$B:$C,2,0),"")</f>
        <v>عبدالعزيز محمد العتيبي</v>
      </c>
      <c r="D5" s="53" t="str">
        <f>IFERROR(VLOOKUP(B5,'👥 بيانات الموظفين'!$B:$E,4,0),"")</f>
        <v>الإدارة</v>
      </c>
      <c r="E5" s="68">
        <f>IF(B5="",0,IFERROR(COUNTIFS('📅 الحضور'!$B:$B,B5,'📅 الحضور'!$L:$L,PayPeriod,'📅 الحضور'!$E:$E,"حاضر")+COUNTIFS('📅 الحضور'!$B:$B,B5,'📅 الحضور'!$L:$L,PayPeriod,'📅 الحضور'!$E:$E,"متأخر"),0))</f>
        <v>15</v>
      </c>
      <c r="F5" s="82">
        <f>IFERROR(VLOOKUP(B5,'👥 بيانات الموظفين'!$B:$H,7,0),0)</f>
        <v>42000</v>
      </c>
      <c r="G5" s="82">
        <f>IFERROR(VLOOKUP(B5,'👥 بيانات الموظفين'!$B:$I,8,0),0)</f>
        <v>10500</v>
      </c>
      <c r="H5" s="82">
        <f>IFERROR(VLOOKUP(B5,'👥 بيانات الموظفين'!$B:$J,9,0),0)</f>
        <v>2500</v>
      </c>
      <c r="I5" s="82">
        <f>IF(B5="",0,IFERROR(SUMIFS('➕ الخصومات والمكافآت'!$E:$E,'➕ الخصومات والمكافآت'!$B:$B,B5,'➕ الخصومات والمكافآت'!$F:$F,PayPeriod,'➕ الخصومات والمكافآت'!$C:$C,"مكافأة"),0))</f>
        <v>2000</v>
      </c>
      <c r="J5" s="82">
        <f t="shared" ref="J5:J36" si="1">IF(B5="","",F5+G5+H5+I5+R5)</f>
        <v>61353.125</v>
      </c>
      <c r="K5" s="82">
        <f>IF(B5="",0,IFERROR(COUNTIFS('📅 الحضور'!$B:$B,B5,'📅 الحضور'!$L:$L,PayPeriod,'📅 الحضور'!$E:$E,"غائب")*F5/WorkDaysMonth,0))</f>
        <v>0</v>
      </c>
      <c r="L5" s="82">
        <f>IF(B5="",0,IFERROR(SUMIFS('📅 الحضور'!$I:$I,'📅 الحضور'!$B:$B,B5,'📅 الحضور'!$L:$L,PayPeriod)/60/WorkHoursDay*F5/WorkDaysMonth,0))</f>
        <v>99.166666666666757</v>
      </c>
      <c r="M5" s="82">
        <f>IF(B5="",0,IFERROR(SUMIFS('➕ الخصومات والمكافآت'!$E:$E,'➕ الخصومات والمكافآت'!$B:$B,B5,'➕ الخصومات والمكافآت'!$F:$F,PayPeriod,'➕ الخصومات والمكافآت'!$C:$C,"خصم"),0))</f>
        <v>0</v>
      </c>
      <c r="N5" s="82">
        <f t="shared" ref="N5:N36" si="2">IF(B5="","",K5+L5+M5+S5)</f>
        <v>4599.166666666667</v>
      </c>
      <c r="O5" s="94">
        <f t="shared" ref="O5:O36" si="3">IF(B5="","",J5-N5)</f>
        <v>56753.958333333336</v>
      </c>
      <c r="P5" s="53" t="s">
        <v>220</v>
      </c>
      <c r="Q5" s="88">
        <f>IF(B5="",0,IFERROR(SUMIFS('📅 الحضور'!$J:$J,'📅 الحضور'!$B:$B,B5,'📅 الحضور'!$L:$L,PayPeriod),0))</f>
        <v>16.583333333333339</v>
      </c>
      <c r="R5" s="89">
        <f t="shared" ref="R5:R36" si="4">IF(B5="",0,IFERROR(Q5*(F5/WorkHoursMonth)*OTRateRegular,0))</f>
        <v>4353.1250000000018</v>
      </c>
      <c r="S5" s="89">
        <f>IF(B5="",0,IF(IFERROR(VLOOKUP(B5,'👥 بيانات الموظفين'!$B:$D,3,0),"")="سعودي",MIN(F5+G5,GosiCeiling)*GosiEmpRate,IF(IFERROR(VLOOKUP(B5,'👥 بيانات الموظفين'!$B:$D,3,0),"")="سعودية",MIN(F5+G5,GosiCeiling)*GosiEmpRate,0)))</f>
        <v>4500</v>
      </c>
      <c r="T5" s="89">
        <f>IF(B5="",0,IF(OR(IFERROR(VLOOKUP(B5,'👥 بيانات الموظفين'!$B:$D,3,0),"")="سعودي",IFERROR(VLOOKUP(B5,'👥 بيانات الموظفين'!$B:$D,3,0),"")="سعودية"),MIN(F5+G5,GosiCeiling)*GosiCoRate,(F5+G5)*0.02))</f>
        <v>5400</v>
      </c>
      <c r="U5" s="89">
        <f ca="1">IF(B5="",0,IFERROR(IF(VLOOKUP(B5,'👥 بيانات الموظفين'!$B:$M,12,0)&lt;5,F5/24,F5/12),0))</f>
        <v>3500</v>
      </c>
    </row>
    <row r="6" spans="1:26" ht="22.15" customHeight="1" x14ac:dyDescent="0.2">
      <c r="A6" s="57">
        <f t="shared" si="0"/>
        <v>2</v>
      </c>
      <c r="B6" s="57" t="str">
        <f>IFERROR('👥 بيانات الموظفين'!B6,"")</f>
        <v>EMP002</v>
      </c>
      <c r="C6" s="57" t="str">
        <f>IFERROR(VLOOKUP(B6,'👥 بيانات الموظفين'!$B:$C,2,0),"")</f>
        <v>فاطمة سعد الزهراني</v>
      </c>
      <c r="D6" s="57" t="str">
        <f>IFERROR(VLOOKUP(B6,'👥 بيانات الموظفين'!$B:$E,4,0),"")</f>
        <v>الإدارة</v>
      </c>
      <c r="E6" s="69">
        <f>IF(B6="",0,IFERROR(COUNTIFS('📅 الحضور'!$B:$B,B6,'📅 الحضور'!$L:$L,PayPeriod,'📅 الحضور'!$E:$E,"حاضر")+COUNTIFS('📅 الحضور'!$B:$B,B6,'📅 الحضور'!$L:$L,PayPeriod,'📅 الحضور'!$E:$E,"متأخر"),0))</f>
        <v>15</v>
      </c>
      <c r="F6" s="83">
        <f>IFERROR(VLOOKUP(B6,'👥 بيانات الموظفين'!$B:$H,7,0),0)</f>
        <v>35000</v>
      </c>
      <c r="G6" s="83">
        <f>IFERROR(VLOOKUP(B6,'👥 بيانات الموظفين'!$B:$I,8,0),0)</f>
        <v>8750</v>
      </c>
      <c r="H6" s="83">
        <f>IFERROR(VLOOKUP(B6,'👥 بيانات الموظفين'!$B:$J,9,0),0)</f>
        <v>2000</v>
      </c>
      <c r="I6" s="83">
        <f>IF(B6="",0,IFERROR(SUMIFS('➕ الخصومات والمكافآت'!$E:$E,'➕ الخصومات والمكافآت'!$B:$B,B6,'➕ الخصومات والمكافآت'!$F:$F,PayPeriod,'➕ الخصومات والمكافآت'!$C:$C,"مكافأة"),0))</f>
        <v>12000</v>
      </c>
      <c r="J6" s="83">
        <f t="shared" si="1"/>
        <v>61224.479166666672</v>
      </c>
      <c r="K6" s="83">
        <f>IF(B6="",0,IFERROR(COUNTIFS('📅 الحضور'!$B:$B,B6,'📅 الحضور'!$L:$L,PayPeriod,'📅 الحضور'!$E:$E,"غائب")*F6/WorkDaysMonth,0))</f>
        <v>0</v>
      </c>
      <c r="L6" s="83">
        <f>IF(B6="",0,IFERROR(SUMIFS('📅 الحضور'!$I:$I,'📅 الحضور'!$B:$B,B6,'📅 الحضور'!$L:$L,PayPeriod)/60/WorkHoursDay*F6/WorkDaysMonth,0))</f>
        <v>126.38888888888921</v>
      </c>
      <c r="M6" s="83">
        <f>IF(B6="",0,IFERROR(SUMIFS('➕ الخصومات والمكافآت'!$E:$E,'➕ الخصومات والمكافآت'!$B:$B,B6,'➕ الخصومات والمكافآت'!$F:$F,PayPeriod,'➕ الخصومات والمكافآت'!$C:$C,"خصم"),0))</f>
        <v>0</v>
      </c>
      <c r="N6" s="83">
        <f t="shared" si="2"/>
        <v>4501.3888888888896</v>
      </c>
      <c r="O6" s="95">
        <f t="shared" si="3"/>
        <v>56723.090277777781</v>
      </c>
      <c r="P6" s="57" t="s">
        <v>220</v>
      </c>
      <c r="Q6" s="90">
        <f>IF(B6="",0,IFERROR(SUMIFS('📅 الحضور'!$J:$J,'📅 الحضور'!$B:$B,B6,'📅 الحضور'!$L:$L,PayPeriod),0))</f>
        <v>15.883333333333342</v>
      </c>
      <c r="R6" s="91">
        <f t="shared" si="4"/>
        <v>3474.4791666666688</v>
      </c>
      <c r="S6" s="91">
        <f>IF(B6="",0,IF(IFERROR(VLOOKUP(B6,'👥 بيانات الموظفين'!$B:$D,3,0),"")="سعودي",MIN(F6+G6,GosiCeiling)*GosiEmpRate,IF(IFERROR(VLOOKUP(B6,'👥 بيانات الموظفين'!$B:$D,3,0),"")="سعودية",MIN(F6+G6,GosiCeiling)*GosiEmpRate,0)))</f>
        <v>4375</v>
      </c>
      <c r="T6" s="91">
        <f>IF(B6="",0,IF(OR(IFERROR(VLOOKUP(B6,'👥 بيانات الموظفين'!$B:$D,3,0),"")="سعودي",IFERROR(VLOOKUP(B6,'👥 بيانات الموظفين'!$B:$D,3,0),"")="سعودية"),MIN(F6+G6,GosiCeiling)*GosiCoRate,(F6+G6)*0.02))</f>
        <v>5250</v>
      </c>
      <c r="U6" s="91">
        <f ca="1">IF(B6="",0,IFERROR(IF(VLOOKUP(B6,'👥 بيانات الموظفين'!$B:$M,12,0)&lt;5,F6/24,F6/12),0))</f>
        <v>2916.6666666666665</v>
      </c>
    </row>
    <row r="7" spans="1:26" ht="22.15" customHeight="1" x14ac:dyDescent="0.2">
      <c r="A7" s="53">
        <f t="shared" si="0"/>
        <v>3</v>
      </c>
      <c r="B7" s="53" t="str">
        <f>IFERROR('👥 بيانات الموظفين'!B7,"")</f>
        <v>EMP003</v>
      </c>
      <c r="C7" s="53" t="str">
        <f>IFERROR(VLOOKUP(B7,'👥 بيانات الموظفين'!$B:$C,2,0),"")</f>
        <v>خالد عبدالرحمن الدوسري</v>
      </c>
      <c r="D7" s="53" t="str">
        <f>IFERROR(VLOOKUP(B7,'👥 بيانات الموظفين'!$B:$E,4,0),"")</f>
        <v>الإدارة</v>
      </c>
      <c r="E7" s="68">
        <f>IF(B7="",0,IFERROR(COUNTIFS('📅 الحضور'!$B:$B,B7,'📅 الحضور'!$L:$L,PayPeriod,'📅 الحضور'!$E:$E,"حاضر")+COUNTIFS('📅 الحضور'!$B:$B,B7,'📅 الحضور'!$L:$L,PayPeriod,'📅 الحضور'!$E:$E,"متأخر"),0))</f>
        <v>15</v>
      </c>
      <c r="F7" s="82">
        <f>IFERROR(VLOOKUP(B7,'👥 بيانات الموظفين'!$B:$H,7,0),0)</f>
        <v>30000</v>
      </c>
      <c r="G7" s="82">
        <f>IFERROR(VLOOKUP(B7,'👥 بيانات الموظفين'!$B:$I,8,0),0)</f>
        <v>7500</v>
      </c>
      <c r="H7" s="82">
        <f>IFERROR(VLOOKUP(B7,'👥 بيانات الموظفين'!$B:$J,9,0),0)</f>
        <v>1800</v>
      </c>
      <c r="I7" s="82">
        <f>IF(B7="",0,IFERROR(SUMIFS('➕ الخصومات والمكافآت'!$E:$E,'➕ الخصومات والمكافآت'!$B:$B,B7,'➕ الخصومات والمكافآت'!$F:$F,PayPeriod,'➕ الخصومات والمكافآت'!$C:$C,"مكافأة"),0))</f>
        <v>2000</v>
      </c>
      <c r="J7" s="82">
        <f t="shared" si="1"/>
        <v>44515.625</v>
      </c>
      <c r="K7" s="82">
        <f>IF(B7="",0,IFERROR(COUNTIFS('📅 الحضور'!$B:$B,B7,'📅 الحضور'!$L:$L,PayPeriod,'📅 الحضور'!$E:$E,"غائب")*F7/WorkDaysMonth,0))</f>
        <v>0</v>
      </c>
      <c r="L7" s="82">
        <f>IF(B7="",0,IFERROR(SUMIFS('📅 الحضور'!$I:$I,'📅 الحضور'!$B:$B,B7,'📅 الحضور'!$L:$L,PayPeriod)/60/WorkHoursDay*F7/WorkDaysMonth,0))</f>
        <v>0</v>
      </c>
      <c r="M7" s="82">
        <f>IF(B7="",0,IFERROR(SUMIFS('➕ الخصومات والمكافآت'!$E:$E,'➕ الخصومات والمكافآت'!$B:$B,B7,'➕ الخصومات والمكافآت'!$F:$F,PayPeriod,'➕ الخصومات والمكافآت'!$C:$C,"خصم"),0))</f>
        <v>0</v>
      </c>
      <c r="N7" s="82">
        <f t="shared" si="2"/>
        <v>3750</v>
      </c>
      <c r="O7" s="94">
        <f t="shared" si="3"/>
        <v>40765.625</v>
      </c>
      <c r="P7" s="53" t="s">
        <v>220</v>
      </c>
      <c r="Q7" s="88">
        <f>IF(B7="",0,IFERROR(SUMIFS('📅 الحضور'!$J:$J,'📅 الحضور'!$B:$B,B7,'📅 الحضور'!$L:$L,PayPeriod),0))</f>
        <v>17.150000000000006</v>
      </c>
      <c r="R7" s="89">
        <f t="shared" si="4"/>
        <v>3215.6250000000014</v>
      </c>
      <c r="S7" s="89">
        <f>IF(B7="",0,IF(IFERROR(VLOOKUP(B7,'👥 بيانات الموظفين'!$B:$D,3,0),"")="سعودي",MIN(F7+G7,GosiCeiling)*GosiEmpRate,IF(IFERROR(VLOOKUP(B7,'👥 بيانات الموظفين'!$B:$D,3,0),"")="سعودية",MIN(F7+G7,GosiCeiling)*GosiEmpRate,0)))</f>
        <v>3750</v>
      </c>
      <c r="T7" s="89">
        <f>IF(B7="",0,IF(OR(IFERROR(VLOOKUP(B7,'👥 بيانات الموظفين'!$B:$D,3,0),"")="سعودي",IFERROR(VLOOKUP(B7,'👥 بيانات الموظفين'!$B:$D,3,0),"")="سعودية"),MIN(F7+G7,GosiCeiling)*GosiCoRate,(F7+G7)*0.02))</f>
        <v>4500</v>
      </c>
      <c r="U7" s="89">
        <f ca="1">IF(B7="",0,IFERROR(IF(VLOOKUP(B7,'👥 بيانات الموظفين'!$B:$M,12,0)&lt;5,F7/24,F7/12),0))</f>
        <v>2500</v>
      </c>
    </row>
    <row r="8" spans="1:26" ht="22.15" customHeight="1" x14ac:dyDescent="0.2">
      <c r="A8" s="57">
        <f t="shared" si="0"/>
        <v>4</v>
      </c>
      <c r="B8" s="57" t="str">
        <f>IFERROR('👥 بيانات الموظفين'!B8,"")</f>
        <v>EMP004</v>
      </c>
      <c r="C8" s="57" t="str">
        <f>IFERROR(VLOOKUP(B8,'👥 بيانات الموظفين'!$B:$C,2,0),"")</f>
        <v>سلطان فيصل القحطاني</v>
      </c>
      <c r="D8" s="57" t="str">
        <f>IFERROR(VLOOKUP(B8,'👥 بيانات الموظفين'!$B:$E,4,0),"")</f>
        <v>تقنية المعلومات</v>
      </c>
      <c r="E8" s="69">
        <f>IF(B8="",0,IFERROR(COUNTIFS('📅 الحضور'!$B:$B,B8,'📅 الحضور'!$L:$L,PayPeriod,'📅 الحضور'!$E:$E,"حاضر")+COUNTIFS('📅 الحضور'!$B:$B,B8,'📅 الحضور'!$L:$L,PayPeriod,'📅 الحضور'!$E:$E,"متأخر"),0))</f>
        <v>15</v>
      </c>
      <c r="F8" s="83">
        <f>IFERROR(VLOOKUP(B8,'👥 بيانات الموظفين'!$B:$H,7,0),0)</f>
        <v>28000</v>
      </c>
      <c r="G8" s="83">
        <f>IFERROR(VLOOKUP(B8,'👥 بيانات الموظفين'!$B:$I,8,0),0)</f>
        <v>7000</v>
      </c>
      <c r="H8" s="83">
        <f>IFERROR(VLOOKUP(B8,'👥 بيانات الموظفين'!$B:$J,9,0),0)</f>
        <v>1500</v>
      </c>
      <c r="I8" s="83">
        <f>IF(B8="",0,IFERROR(SUMIFS('➕ الخصومات والمكافآت'!$E:$E,'➕ الخصومات والمكافآت'!$B:$B,B8,'➕ الخصومات والمكافآت'!$F:$F,PayPeriod,'➕ الخصومات والمكافآت'!$C:$C,"مكافأة"),0))</f>
        <v>6500</v>
      </c>
      <c r="J8" s="83">
        <f t="shared" si="1"/>
        <v>45972.083333333336</v>
      </c>
      <c r="K8" s="83">
        <f>IF(B8="",0,IFERROR(COUNTIFS('📅 الحضور'!$B:$B,B8,'📅 الحضور'!$L:$L,PayPeriod,'📅 الحضور'!$E:$E,"غائب")*F8/WorkDaysMonth,0))</f>
        <v>0</v>
      </c>
      <c r="L8" s="83">
        <f>IF(B8="",0,IFERROR(SUMIFS('📅 الحضور'!$I:$I,'📅 الحضور'!$B:$B,B8,'📅 الحضور'!$L:$L,PayPeriod)/60/WorkHoursDay*F8/WorkDaysMonth,0))</f>
        <v>29.166666666666721</v>
      </c>
      <c r="M8" s="83">
        <f>IF(B8="",0,IFERROR(SUMIFS('➕ الخصومات والمكافآت'!$E:$E,'➕ الخصومات والمكافآت'!$B:$B,B8,'➕ الخصومات والمكافآت'!$F:$F,PayPeriod,'➕ الخصومات والمكافآت'!$C:$C,"خصم"),0))</f>
        <v>0</v>
      </c>
      <c r="N8" s="83">
        <f t="shared" si="2"/>
        <v>3529.1666666666665</v>
      </c>
      <c r="O8" s="95">
        <f t="shared" si="3"/>
        <v>42442.916666666672</v>
      </c>
      <c r="P8" s="57" t="s">
        <v>220</v>
      </c>
      <c r="Q8" s="90">
        <f>IF(B8="",0,IFERROR(SUMIFS('📅 الحضور'!$J:$J,'📅 الحضور'!$B:$B,B8,'📅 الحضور'!$L:$L,PayPeriod),0))</f>
        <v>16.983333333333341</v>
      </c>
      <c r="R8" s="91">
        <f t="shared" si="4"/>
        <v>2972.0833333333348</v>
      </c>
      <c r="S8" s="91">
        <f>IF(B8="",0,IF(IFERROR(VLOOKUP(B8,'👥 بيانات الموظفين'!$B:$D,3,0),"")="سعودي",MIN(F8+G8,GosiCeiling)*GosiEmpRate,IF(IFERROR(VLOOKUP(B8,'👥 بيانات الموظفين'!$B:$D,3,0),"")="سعودية",MIN(F8+G8,GosiCeiling)*GosiEmpRate,0)))</f>
        <v>3500</v>
      </c>
      <c r="T8" s="91">
        <f>IF(B8="",0,IF(OR(IFERROR(VLOOKUP(B8,'👥 بيانات الموظفين'!$B:$D,3,0),"")="سعودي",IFERROR(VLOOKUP(B8,'👥 بيانات الموظفين'!$B:$D,3,0),"")="سعودية"),MIN(F8+G8,GosiCeiling)*GosiCoRate,(F8+G8)*0.02))</f>
        <v>4200</v>
      </c>
      <c r="U8" s="91">
        <f ca="1">IF(B8="",0,IFERROR(IF(VLOOKUP(B8,'👥 بيانات الموظفين'!$B:$M,12,0)&lt;5,F8/24,F8/12),0))</f>
        <v>2333.3333333333335</v>
      </c>
    </row>
    <row r="9" spans="1:26" ht="22.15" customHeight="1" x14ac:dyDescent="0.2">
      <c r="A9" s="53">
        <f t="shared" si="0"/>
        <v>5</v>
      </c>
      <c r="B9" s="53" t="str">
        <f>IFERROR('👥 بيانات الموظفين'!B9,"")</f>
        <v>EMP005</v>
      </c>
      <c r="C9" s="53" t="str">
        <f>IFERROR(VLOOKUP(B9,'👥 بيانات الموظفين'!$B:$C,2,0),"")</f>
        <v>Rajesh Kumar Sharma</v>
      </c>
      <c r="D9" s="53" t="str">
        <f>IFERROR(VLOOKUP(B9,'👥 بيانات الموظفين'!$B:$E,4,0),"")</f>
        <v>تقنية المعلومات</v>
      </c>
      <c r="E9" s="68">
        <f>IF(B9="",0,IFERROR(COUNTIFS('📅 الحضور'!$B:$B,B9,'📅 الحضور'!$L:$L,PayPeriod,'📅 الحضور'!$E:$E,"حاضر")+COUNTIFS('📅 الحضور'!$B:$B,B9,'📅 الحضور'!$L:$L,PayPeriod,'📅 الحضور'!$E:$E,"متأخر"),0))</f>
        <v>15</v>
      </c>
      <c r="F9" s="82">
        <f>IFERROR(VLOOKUP(B9,'👥 بيانات الموظفين'!$B:$H,7,0),0)</f>
        <v>18000</v>
      </c>
      <c r="G9" s="82">
        <f>IFERROR(VLOOKUP(B9,'👥 بيانات الموظفين'!$B:$I,8,0),0)</f>
        <v>4500</v>
      </c>
      <c r="H9" s="82">
        <f>IFERROR(VLOOKUP(B9,'👥 بيانات الموظفين'!$B:$J,9,0),0)</f>
        <v>1000</v>
      </c>
      <c r="I9" s="82">
        <f>IF(B9="",0,IFERROR(SUMIFS('➕ الخصومات والمكافآت'!$E:$E,'➕ الخصومات والمكافآت'!$B:$B,B9,'➕ الخصومات والمكافآت'!$F:$F,PayPeriod,'➕ الخصومات والمكافآت'!$C:$C,"مكافأة"),0))</f>
        <v>1500</v>
      </c>
      <c r="J9" s="82">
        <f t="shared" si="1"/>
        <v>26511.25</v>
      </c>
      <c r="K9" s="82">
        <f>IF(B9="",0,IFERROR(COUNTIFS('📅 الحضور'!$B:$B,B9,'📅 الحضور'!$L:$L,PayPeriod,'📅 الحضور'!$E:$E,"غائب")*F9/WorkDaysMonth,0))</f>
        <v>0</v>
      </c>
      <c r="L9" s="82">
        <f>IF(B9="",0,IFERROR(SUMIFS('📅 الحضور'!$I:$I,'📅 الحضور'!$B:$B,B9,'📅 الحضور'!$L:$L,PayPeriod)/60/WorkHoursDay*F9/WorkDaysMonth,0))</f>
        <v>1000.0000000000001</v>
      </c>
      <c r="M9" s="82">
        <f>IF(B9="",0,IFERROR(SUMIFS('➕ الخصومات والمكافآت'!$E:$E,'➕ الخصومات والمكافآت'!$B:$B,B9,'➕ الخصومات والمكافآت'!$F:$F,PayPeriod,'➕ الخصومات والمكافآت'!$C:$C,"خصم"),0))</f>
        <v>600</v>
      </c>
      <c r="N9" s="82">
        <f t="shared" si="2"/>
        <v>1600</v>
      </c>
      <c r="O9" s="94">
        <f t="shared" si="3"/>
        <v>24911.25</v>
      </c>
      <c r="P9" s="53" t="s">
        <v>220</v>
      </c>
      <c r="Q9" s="88">
        <f>IF(B9="",0,IFERROR(SUMIFS('📅 الحضور'!$J:$J,'📅 الحضور'!$B:$B,B9,'📅 الحضور'!$L:$L,PayPeriod),0))</f>
        <v>13.433333333333341</v>
      </c>
      <c r="R9" s="89">
        <f t="shared" si="4"/>
        <v>1511.2500000000009</v>
      </c>
      <c r="S9" s="89">
        <f>IF(B9="",0,IF(IFERROR(VLOOKUP(B9,'👥 بيانات الموظفين'!$B:$D,3,0),"")="سعودي",MIN(F9+G9,GosiCeiling)*GosiEmpRate,IF(IFERROR(VLOOKUP(B9,'👥 بيانات الموظفين'!$B:$D,3,0),"")="سعودية",MIN(F9+G9,GosiCeiling)*GosiEmpRate,0)))</f>
        <v>0</v>
      </c>
      <c r="T9" s="89">
        <f>IF(B9="",0,IF(OR(IFERROR(VLOOKUP(B9,'👥 بيانات الموظفين'!$B:$D,3,0),"")="سعودي",IFERROR(VLOOKUP(B9,'👥 بيانات الموظفين'!$B:$D,3,0),"")="سعودية"),MIN(F9+G9,GosiCeiling)*GosiCoRate,(F9+G9)*0.02))</f>
        <v>450</v>
      </c>
      <c r="U9" s="89">
        <f ca="1">IF(B9="",0,IFERROR(IF(VLOOKUP(B9,'👥 بيانات الموظفين'!$B:$M,12,0)&lt;5,F9/24,F9/12),0))</f>
        <v>1500</v>
      </c>
    </row>
    <row r="10" spans="1:26" ht="22.15" customHeight="1" x14ac:dyDescent="0.2">
      <c r="A10" s="57">
        <f t="shared" si="0"/>
        <v>6</v>
      </c>
      <c r="B10" s="57" t="str">
        <f>IFERROR('👥 بيانات الموظفين'!B10,"")</f>
        <v>EMP006</v>
      </c>
      <c r="C10" s="57" t="str">
        <f>IFERROR(VLOOKUP(B10,'👥 بيانات الموظفين'!$B:$C,2,0),"")</f>
        <v>Mohamed Ahmed Hassan</v>
      </c>
      <c r="D10" s="57" t="str">
        <f>IFERROR(VLOOKUP(B10,'👥 بيانات الموظفين'!$B:$E,4,0),"")</f>
        <v>تقنية المعلومات</v>
      </c>
      <c r="E10" s="69">
        <f>IF(B10="",0,IFERROR(COUNTIFS('📅 الحضور'!$B:$B,B10,'📅 الحضور'!$L:$L,PayPeriod,'📅 الحضور'!$E:$E,"حاضر")+COUNTIFS('📅 الحضور'!$B:$B,B10,'📅 الحضور'!$L:$L,PayPeriod,'📅 الحضور'!$E:$E,"متأخر"),0))</f>
        <v>15</v>
      </c>
      <c r="F10" s="83">
        <f>IFERROR(VLOOKUP(B10,'👥 بيانات الموظفين'!$B:$H,7,0),0)</f>
        <v>15000</v>
      </c>
      <c r="G10" s="83">
        <f>IFERROR(VLOOKUP(B10,'👥 بيانات الموظفين'!$B:$I,8,0),0)</f>
        <v>3750</v>
      </c>
      <c r="H10" s="83">
        <f>IFERROR(VLOOKUP(B10,'👥 بيانات الموظفين'!$B:$J,9,0),0)</f>
        <v>1000</v>
      </c>
      <c r="I10" s="83">
        <f>IF(B10="",0,IFERROR(SUMIFS('➕ الخصومات والمكافآت'!$E:$E,'➕ الخصومات والمكافآت'!$B:$B,B10,'➕ الخصومات والمكافآت'!$F:$F,PayPeriod,'➕ الخصومات والمكافآت'!$C:$C,"مكافأة"),0))</f>
        <v>2000</v>
      </c>
      <c r="J10" s="83">
        <f t="shared" si="1"/>
        <v>23348.4375</v>
      </c>
      <c r="K10" s="83">
        <f>IF(B10="",0,IFERROR(COUNTIFS('📅 الحضور'!$B:$B,B10,'📅 الحضور'!$L:$L,PayPeriod,'📅 الحضور'!$E:$E,"غائب")*F10/WorkDaysMonth,0))</f>
        <v>0</v>
      </c>
      <c r="L10" s="83">
        <f>IF(B10="",0,IFERROR(SUMIFS('📅 الحضور'!$I:$I,'📅 الحضور'!$B:$B,B10,'📅 الحضور'!$L:$L,PayPeriod)/60/WorkHoursDay*F10/WorkDaysMonth,0))</f>
        <v>0</v>
      </c>
      <c r="M10" s="83">
        <f>IF(B10="",0,IFERROR(SUMIFS('➕ الخصومات والمكافآت'!$E:$E,'➕ الخصومات والمكافآت'!$B:$B,B10,'➕ الخصومات والمكافآت'!$F:$F,PayPeriod,'➕ الخصومات والمكافآت'!$C:$C,"خصم"),0))</f>
        <v>1500</v>
      </c>
      <c r="N10" s="83">
        <f t="shared" si="2"/>
        <v>1500</v>
      </c>
      <c r="O10" s="95">
        <f t="shared" si="3"/>
        <v>21848.4375</v>
      </c>
      <c r="P10" s="57"/>
      <c r="Q10" s="90">
        <f>IF(B10="",0,IFERROR(SUMIFS('📅 الحضور'!$J:$J,'📅 الحضور'!$B:$B,B10,'📅 الحضور'!$L:$L,PayPeriod),0))</f>
        <v>17.050000000000004</v>
      </c>
      <c r="R10" s="91">
        <f t="shared" si="4"/>
        <v>1598.4375000000005</v>
      </c>
      <c r="S10" s="91">
        <f>IF(B10="",0,IF(IFERROR(VLOOKUP(B10,'👥 بيانات الموظفين'!$B:$D,3,0),"")="سعودي",MIN(F10+G10,GosiCeiling)*GosiEmpRate,IF(IFERROR(VLOOKUP(B10,'👥 بيانات الموظفين'!$B:$D,3,0),"")="سعودية",MIN(F10+G10,GosiCeiling)*GosiEmpRate,0)))</f>
        <v>0</v>
      </c>
      <c r="T10" s="91">
        <f>IF(B10="",0,IF(OR(IFERROR(VLOOKUP(B10,'👥 بيانات الموظفين'!$B:$D,3,0),"")="سعودي",IFERROR(VLOOKUP(B10,'👥 بيانات الموظفين'!$B:$D,3,0),"")="سعودية"),MIN(F10+G10,GosiCeiling)*GosiCoRate,(F10+G10)*0.02))</f>
        <v>375</v>
      </c>
      <c r="U10" s="91">
        <f ca="1">IF(B10="",0,IFERROR(IF(VLOOKUP(B10,'👥 بيانات الموظفين'!$B:$M,12,0)&lt;5,F10/24,F10/12),0))</f>
        <v>1250</v>
      </c>
    </row>
    <row r="11" spans="1:26" ht="22.15" customHeight="1" x14ac:dyDescent="0.2">
      <c r="A11" s="53">
        <f t="shared" si="0"/>
        <v>7</v>
      </c>
      <c r="B11" s="53" t="str">
        <f>IFERROR('👥 بيانات الموظفين'!B11,"")</f>
        <v>EMP007</v>
      </c>
      <c r="C11" s="53" t="str">
        <f>IFERROR(VLOOKUP(B11,'👥 بيانات الموظفين'!$B:$C,2,0),"")</f>
        <v>نورة عبدالله الشمري</v>
      </c>
      <c r="D11" s="53" t="str">
        <f>IFERROR(VLOOKUP(B11,'👥 بيانات الموظفين'!$B:$E,4,0),"")</f>
        <v>تقنية المعلومات</v>
      </c>
      <c r="E11" s="68">
        <f>IF(B11="",0,IFERROR(COUNTIFS('📅 الحضور'!$B:$B,B11,'📅 الحضور'!$L:$L,PayPeriod,'📅 الحضور'!$E:$E,"حاضر")+COUNTIFS('📅 الحضور'!$B:$B,B11,'📅 الحضور'!$L:$L,PayPeriod,'📅 الحضور'!$E:$E,"متأخر"),0))</f>
        <v>15</v>
      </c>
      <c r="F11" s="82">
        <f>IFERROR(VLOOKUP(B11,'👥 بيانات الموظفين'!$B:$H,7,0),0)</f>
        <v>12000</v>
      </c>
      <c r="G11" s="82">
        <f>IFERROR(VLOOKUP(B11,'👥 بيانات الموظفين'!$B:$I,8,0),0)</f>
        <v>3000</v>
      </c>
      <c r="H11" s="82">
        <f>IFERROR(VLOOKUP(B11,'👥 بيانات الموظفين'!$B:$J,9,0),0)</f>
        <v>800</v>
      </c>
      <c r="I11" s="82">
        <f>IF(B11="",0,IFERROR(SUMIFS('➕ الخصومات والمكافآت'!$E:$E,'➕ الخصومات والمكافآت'!$B:$B,B11,'➕ الخصومات والمكافآت'!$F:$F,PayPeriod,'➕ الخصومات والمكافآت'!$C:$C,"مكافأة"),0))</f>
        <v>1000</v>
      </c>
      <c r="J11" s="82">
        <f t="shared" si="1"/>
        <v>18078.75</v>
      </c>
      <c r="K11" s="82">
        <f>IF(B11="",0,IFERROR(COUNTIFS('📅 الحضور'!$B:$B,B11,'📅 الحضور'!$L:$L,PayPeriod,'📅 الحضور'!$E:$E,"غائب")*F11/WorkDaysMonth,0))</f>
        <v>0</v>
      </c>
      <c r="L11" s="82">
        <f>IF(B11="",0,IFERROR(SUMIFS('📅 الحضور'!$I:$I,'📅 الحضور'!$B:$B,B11,'📅 الحضور'!$L:$L,PayPeriod)/60/WorkHoursDay*F11/WorkDaysMonth,0))</f>
        <v>0</v>
      </c>
      <c r="M11" s="82">
        <f>IF(B11="",0,IFERROR(SUMIFS('➕ الخصومات والمكافآت'!$E:$E,'➕ الخصومات والمكافآت'!$B:$B,B11,'➕ الخصومات والمكافآت'!$F:$F,PayPeriod,'➕ الخصومات والمكافآت'!$C:$C,"خصم"),0))</f>
        <v>0</v>
      </c>
      <c r="N11" s="82">
        <f t="shared" si="2"/>
        <v>1500</v>
      </c>
      <c r="O11" s="94">
        <f t="shared" si="3"/>
        <v>16578.75</v>
      </c>
      <c r="P11" s="53"/>
      <c r="Q11" s="88">
        <f>IF(B11="",0,IFERROR(SUMIFS('📅 الحضور'!$J:$J,'📅 الحضور'!$B:$B,B11,'📅 الحضور'!$L:$L,PayPeriod),0))</f>
        <v>17.050000000000004</v>
      </c>
      <c r="R11" s="89">
        <f t="shared" si="4"/>
        <v>1278.7500000000005</v>
      </c>
      <c r="S11" s="89">
        <f>IF(B11="",0,IF(IFERROR(VLOOKUP(B11,'👥 بيانات الموظفين'!$B:$D,3,0),"")="سعودي",MIN(F11+G11,GosiCeiling)*GosiEmpRate,IF(IFERROR(VLOOKUP(B11,'👥 بيانات الموظفين'!$B:$D,3,0),"")="سعودية",MIN(F11+G11,GosiCeiling)*GosiEmpRate,0)))</f>
        <v>1500</v>
      </c>
      <c r="T11" s="89">
        <f>IF(B11="",0,IF(OR(IFERROR(VLOOKUP(B11,'👥 بيانات الموظفين'!$B:$D,3,0),"")="سعودي",IFERROR(VLOOKUP(B11,'👥 بيانات الموظفين'!$B:$D,3,0),"")="سعودية"),MIN(F11+G11,GosiCeiling)*GosiCoRate,(F11+G11)*0.02))</f>
        <v>1800</v>
      </c>
      <c r="U11" s="89">
        <f ca="1">IF(B11="",0,IFERROR(IF(VLOOKUP(B11,'👥 بيانات الموظفين'!$B:$M,12,0)&lt;5,F11/24,F11/12),0))</f>
        <v>500</v>
      </c>
    </row>
    <row r="12" spans="1:26" ht="22.15" customHeight="1" x14ac:dyDescent="0.2">
      <c r="A12" s="57">
        <f t="shared" si="0"/>
        <v>8</v>
      </c>
      <c r="B12" s="57" t="str">
        <f>IFERROR('👥 بيانات الموظفين'!B12,"")</f>
        <v>EMP008</v>
      </c>
      <c r="C12" s="57" t="str">
        <f>IFERROR(VLOOKUP(B12,'👥 بيانات الموظفين'!$B:$C,2,0),"")</f>
        <v>عبدالرحمن خالد المالكي</v>
      </c>
      <c r="D12" s="57" t="str">
        <f>IFERROR(VLOOKUP(B12,'👥 بيانات الموظفين'!$B:$E,4,0),"")</f>
        <v>تقنية المعلومات</v>
      </c>
      <c r="E12" s="69">
        <f>IF(B12="",0,IFERROR(COUNTIFS('📅 الحضور'!$B:$B,B12,'📅 الحضور'!$L:$L,PayPeriod,'📅 الحضور'!$E:$E,"حاضر")+COUNTIFS('📅 الحضور'!$B:$B,B12,'📅 الحضور'!$L:$L,PayPeriod,'📅 الحضور'!$E:$E,"متأخر"),0))</f>
        <v>13</v>
      </c>
      <c r="F12" s="83">
        <f>IFERROR(VLOOKUP(B12,'👥 بيانات الموظفين'!$B:$H,7,0),0)</f>
        <v>14000</v>
      </c>
      <c r="G12" s="83">
        <f>IFERROR(VLOOKUP(B12,'👥 بيانات الموظفين'!$B:$I,8,0),0)</f>
        <v>3500</v>
      </c>
      <c r="H12" s="83">
        <f>IFERROR(VLOOKUP(B12,'👥 بيانات الموظفين'!$B:$J,9,0),0)</f>
        <v>900</v>
      </c>
      <c r="I12" s="83">
        <f>IF(B12="",0,IFERROR(SUMIFS('➕ الخصومات والمكافآت'!$E:$E,'➕ الخصومات والمكافآت'!$B:$B,B12,'➕ الخصومات والمكافآت'!$F:$F,PayPeriod,'➕ الخصومات والمكافآت'!$C:$C,"مكافأة"),0))</f>
        <v>0</v>
      </c>
      <c r="J12" s="83">
        <f t="shared" si="1"/>
        <v>19760.625</v>
      </c>
      <c r="K12" s="83">
        <f>IF(B12="",0,IFERROR(COUNTIFS('📅 الحضور'!$B:$B,B12,'📅 الحضور'!$L:$L,PayPeriod,'📅 الحضور'!$E:$E,"غائب")*F12/WorkDaysMonth,0))</f>
        <v>0</v>
      </c>
      <c r="L12" s="83">
        <f>IF(B12="",0,IFERROR(SUMIFS('📅 الحضور'!$I:$I,'📅 الحضور'!$B:$B,B12,'📅 الحضور'!$L:$L,PayPeriod)/60/WorkHoursDay*F12/WorkDaysMonth,0))</f>
        <v>0</v>
      </c>
      <c r="M12" s="83">
        <f>IF(B12="",0,IFERROR(SUMIFS('➕ الخصومات والمكافآت'!$E:$E,'➕ الخصومات والمكافآت'!$B:$B,B12,'➕ الخصومات والمكافآت'!$F:$F,PayPeriod,'➕ الخصومات والمكافآت'!$C:$C,"خصم"),0))</f>
        <v>2000</v>
      </c>
      <c r="N12" s="83">
        <f t="shared" si="2"/>
        <v>3750</v>
      </c>
      <c r="O12" s="95">
        <f t="shared" si="3"/>
        <v>16010.625</v>
      </c>
      <c r="P12" s="57"/>
      <c r="Q12" s="90">
        <f>IF(B12="",0,IFERROR(SUMIFS('📅 الحضور'!$J:$J,'📅 الحضور'!$B:$B,B12,'📅 الحضور'!$L:$L,PayPeriod),0))</f>
        <v>15.550000000000002</v>
      </c>
      <c r="R12" s="91">
        <f t="shared" si="4"/>
        <v>1360.6250000000002</v>
      </c>
      <c r="S12" s="91">
        <f>IF(B12="",0,IF(IFERROR(VLOOKUP(B12,'👥 بيانات الموظفين'!$B:$D,3,0),"")="سعودي",MIN(F12+G12,GosiCeiling)*GosiEmpRate,IF(IFERROR(VLOOKUP(B12,'👥 بيانات الموظفين'!$B:$D,3,0),"")="سعودية",MIN(F12+G12,GosiCeiling)*GosiEmpRate,0)))</f>
        <v>1750</v>
      </c>
      <c r="T12" s="91">
        <f>IF(B12="",0,IF(OR(IFERROR(VLOOKUP(B12,'👥 بيانات الموظفين'!$B:$D,3,0),"")="سعودي",IFERROR(VLOOKUP(B12,'👥 بيانات الموظفين'!$B:$D,3,0),"")="سعودية"),MIN(F12+G12,GosiCeiling)*GosiCoRate,(F12+G12)*0.02))</f>
        <v>2100</v>
      </c>
      <c r="U12" s="91">
        <f ca="1">IF(B12="",0,IFERROR(IF(VLOOKUP(B12,'👥 بيانات الموظفين'!$B:$M,12,0)&lt;5,F12/24,F12/12),0))</f>
        <v>583.33333333333337</v>
      </c>
    </row>
    <row r="13" spans="1:26" ht="22.15" customHeight="1" x14ac:dyDescent="0.2">
      <c r="A13" s="53">
        <f t="shared" si="0"/>
        <v>9</v>
      </c>
      <c r="B13" s="53" t="str">
        <f>IFERROR('👥 بيانات الموظفين'!B13,"")</f>
        <v>EMP009</v>
      </c>
      <c r="C13" s="53" t="str">
        <f>IFERROR(VLOOKUP(B13,'👥 بيانات الموظفين'!$B:$C,2,0),"")</f>
        <v>Ali Hassan Khan</v>
      </c>
      <c r="D13" s="53" t="str">
        <f>IFERROR(VLOOKUP(B13,'👥 بيانات الموظفين'!$B:$E,4,0),"")</f>
        <v>تقنية المعلومات</v>
      </c>
      <c r="E13" s="68">
        <f>IF(B13="",0,IFERROR(COUNTIFS('📅 الحضور'!$B:$B,B13,'📅 الحضور'!$L:$L,PayPeriod,'📅 الحضور'!$E:$E,"حاضر")+COUNTIFS('📅 الحضور'!$B:$B,B13,'📅 الحضور'!$L:$L,PayPeriod,'📅 الحضور'!$E:$E,"متأخر"),0))</f>
        <v>15</v>
      </c>
      <c r="F13" s="82">
        <f>IFERROR(VLOOKUP(B13,'👥 بيانات الموظفين'!$B:$H,7,0),0)</f>
        <v>11000</v>
      </c>
      <c r="G13" s="82">
        <f>IFERROR(VLOOKUP(B13,'👥 بيانات الموظفين'!$B:$I,8,0),0)</f>
        <v>2750</v>
      </c>
      <c r="H13" s="82">
        <f>IFERROR(VLOOKUP(B13,'👥 بيانات الموظفين'!$B:$J,9,0),0)</f>
        <v>750</v>
      </c>
      <c r="I13" s="82">
        <f>IF(B13="",0,IFERROR(SUMIFS('➕ الخصومات والمكافآت'!$E:$E,'➕ الخصومات والمكافآت'!$B:$B,B13,'➕ الخصومات والمكافآت'!$F:$F,PayPeriod,'➕ الخصومات والمكافآت'!$C:$C,"مكافأة"),0))</f>
        <v>0</v>
      </c>
      <c r="J13" s="82">
        <f t="shared" si="1"/>
        <v>15660.729166666668</v>
      </c>
      <c r="K13" s="82">
        <f>IF(B13="",0,IFERROR(COUNTIFS('📅 الحضور'!$B:$B,B13,'📅 الحضور'!$L:$L,PayPeriod,'📅 الحضور'!$E:$E,"غائب")*F13/WorkDaysMonth,0))</f>
        <v>0</v>
      </c>
      <c r="L13" s="82">
        <f>IF(B13="",0,IFERROR(SUMIFS('📅 الحضور'!$I:$I,'📅 الحضور'!$B:$B,B13,'📅 الحضور'!$L:$L,PayPeriod)/60/WorkHoursDay*F13/WorkDaysMonth,0))</f>
        <v>18.333333333333325</v>
      </c>
      <c r="M13" s="82">
        <f>IF(B13="",0,IFERROR(SUMIFS('➕ الخصومات والمكافآت'!$E:$E,'➕ الخصومات والمكافآت'!$B:$B,B13,'➕ الخصومات والمكافآت'!$F:$F,PayPeriod,'➕ الخصومات والمكافآت'!$C:$C,"خصم"),0))</f>
        <v>0</v>
      </c>
      <c r="N13" s="82">
        <f t="shared" si="2"/>
        <v>18.333333333333325</v>
      </c>
      <c r="O13" s="94">
        <f t="shared" si="3"/>
        <v>15642.395833333334</v>
      </c>
      <c r="P13" s="53"/>
      <c r="Q13" s="88">
        <f>IF(B13="",0,IFERROR(SUMIFS('📅 الحضور'!$J:$J,'📅 الحضور'!$B:$B,B13,'📅 الحضور'!$L:$L,PayPeriod),0))</f>
        <v>16.883333333333344</v>
      </c>
      <c r="R13" s="89">
        <f t="shared" si="4"/>
        <v>1160.7291666666674</v>
      </c>
      <c r="S13" s="89">
        <f>IF(B13="",0,IF(IFERROR(VLOOKUP(B13,'👥 بيانات الموظفين'!$B:$D,3,0),"")="سعودي",MIN(F13+G13,GosiCeiling)*GosiEmpRate,IF(IFERROR(VLOOKUP(B13,'👥 بيانات الموظفين'!$B:$D,3,0),"")="سعودية",MIN(F13+G13,GosiCeiling)*GosiEmpRate,0)))</f>
        <v>0</v>
      </c>
      <c r="T13" s="89">
        <f>IF(B13="",0,IF(OR(IFERROR(VLOOKUP(B13,'👥 بيانات الموظفين'!$B:$D,3,0),"")="سعودي",IFERROR(VLOOKUP(B13,'👥 بيانات الموظفين'!$B:$D,3,0),"")="سعودية"),MIN(F13+G13,GosiCeiling)*GosiCoRate,(F13+G13)*0.02))</f>
        <v>275</v>
      </c>
      <c r="U13" s="89">
        <f ca="1">IF(B13="",0,IFERROR(IF(VLOOKUP(B13,'👥 بيانات الموظفين'!$B:$M,12,0)&lt;5,F13/24,F13/12),0))</f>
        <v>458.33333333333331</v>
      </c>
    </row>
    <row r="14" spans="1:26" ht="22.15" customHeight="1" x14ac:dyDescent="0.2">
      <c r="A14" s="57">
        <f t="shared" si="0"/>
        <v>10</v>
      </c>
      <c r="B14" s="57" t="str">
        <f>IFERROR('👥 بيانات الموظفين'!B14,"")</f>
        <v>EMP010</v>
      </c>
      <c r="C14" s="57" t="str">
        <f>IFERROR(VLOOKUP(B14,'👥 بيانات الموظفين'!$B:$C,2,0),"")</f>
        <v>ريم سعود العنزي</v>
      </c>
      <c r="D14" s="57" t="str">
        <f>IFERROR(VLOOKUP(B14,'👥 بيانات الموظفين'!$B:$E,4,0),"")</f>
        <v>تقنية المعلومات</v>
      </c>
      <c r="E14" s="69">
        <f>IF(B14="",0,IFERROR(COUNTIFS('📅 الحضور'!$B:$B,B14,'📅 الحضور'!$L:$L,PayPeriod,'📅 الحضور'!$E:$E,"حاضر")+COUNTIFS('📅 الحضور'!$B:$B,B14,'📅 الحضور'!$L:$L,PayPeriod,'📅 الحضور'!$E:$E,"متأخر"),0))</f>
        <v>15</v>
      </c>
      <c r="F14" s="83">
        <f>IFERROR(VLOOKUP(B14,'👥 بيانات الموظفين'!$B:$H,7,0),0)</f>
        <v>9000</v>
      </c>
      <c r="G14" s="83">
        <f>IFERROR(VLOOKUP(B14,'👥 بيانات الموظفين'!$B:$I,8,0),0)</f>
        <v>2250</v>
      </c>
      <c r="H14" s="83">
        <f>IFERROR(VLOOKUP(B14,'👥 بيانات الموظفين'!$B:$J,9,0),0)</f>
        <v>700</v>
      </c>
      <c r="I14" s="83">
        <f>IF(B14="",0,IFERROR(SUMIFS('➕ الخصومات والمكافآت'!$E:$E,'➕ الخصومات والمكافآت'!$B:$B,B14,'➕ الخصومات والمكافآت'!$F:$F,PayPeriod,'➕ الخصومات والمكافآت'!$C:$C,"مكافأة"),0))</f>
        <v>2000</v>
      </c>
      <c r="J14" s="83">
        <f t="shared" si="1"/>
        <v>14899.6875</v>
      </c>
      <c r="K14" s="83">
        <f>IF(B14="",0,IFERROR(COUNTIFS('📅 الحضور'!$B:$B,B14,'📅 الحضور'!$L:$L,PayPeriod,'📅 الحضور'!$E:$E,"غائب")*F14/WorkDaysMonth,0))</f>
        <v>0</v>
      </c>
      <c r="L14" s="83">
        <f>IF(B14="",0,IFERROR(SUMIFS('📅 الحضور'!$I:$I,'📅 الحضور'!$B:$B,B14,'📅 الحضور'!$L:$L,PayPeriod)/60/WorkHoursDay*F14/WorkDaysMonth,0))</f>
        <v>0</v>
      </c>
      <c r="M14" s="83">
        <f>IF(B14="",0,IFERROR(SUMIFS('➕ الخصومات والمكافآت'!$E:$E,'➕ الخصومات والمكافآت'!$B:$B,B14,'➕ الخصومات والمكافآت'!$F:$F,PayPeriod,'➕ الخصومات والمكافآت'!$C:$C,"خصم"),0))</f>
        <v>0</v>
      </c>
      <c r="N14" s="83">
        <f t="shared" si="2"/>
        <v>1125</v>
      </c>
      <c r="O14" s="95">
        <f t="shared" si="3"/>
        <v>13774.6875</v>
      </c>
      <c r="P14" s="57"/>
      <c r="Q14" s="90">
        <f>IF(B14="",0,IFERROR(SUMIFS('📅 الحضور'!$J:$J,'📅 الحضور'!$B:$B,B14,'📅 الحضور'!$L:$L,PayPeriod),0))</f>
        <v>16.883333333333347</v>
      </c>
      <c r="R14" s="91">
        <f t="shared" si="4"/>
        <v>949.68750000000091</v>
      </c>
      <c r="S14" s="91">
        <f>IF(B14="",0,IF(IFERROR(VLOOKUP(B14,'👥 بيانات الموظفين'!$B:$D,3,0),"")="سعودي",MIN(F14+G14,GosiCeiling)*GosiEmpRate,IF(IFERROR(VLOOKUP(B14,'👥 بيانات الموظفين'!$B:$D,3,0),"")="سعودية",MIN(F14+G14,GosiCeiling)*GosiEmpRate,0)))</f>
        <v>1125</v>
      </c>
      <c r="T14" s="91">
        <f>IF(B14="",0,IF(OR(IFERROR(VLOOKUP(B14,'👥 بيانات الموظفين'!$B:$D,3,0),"")="سعودي",IFERROR(VLOOKUP(B14,'👥 بيانات الموظفين'!$B:$D,3,0),"")="سعودية"),MIN(F14+G14,GosiCeiling)*GosiCoRate,(F14+G14)*0.02))</f>
        <v>1350</v>
      </c>
      <c r="U14" s="91">
        <f ca="1">IF(B14="",0,IFERROR(IF(VLOOKUP(B14,'👥 بيانات الموظفين'!$B:$M,12,0)&lt;5,F14/24,F14/12),0))</f>
        <v>375</v>
      </c>
    </row>
    <row r="15" spans="1:26" ht="22.15" customHeight="1" x14ac:dyDescent="0.2">
      <c r="A15" s="53">
        <f t="shared" si="0"/>
        <v>11</v>
      </c>
      <c r="B15" s="53" t="str">
        <f>IFERROR('👥 بيانات الموظفين'!B15,"")</f>
        <v>EMP011</v>
      </c>
      <c r="C15" s="53" t="str">
        <f>IFERROR(VLOOKUP(B15,'👥 بيانات الموظفين'!$B:$C,2,0),"")</f>
        <v>فهد عبدالله الشهري</v>
      </c>
      <c r="D15" s="53" t="str">
        <f>IFERROR(VLOOKUP(B15,'👥 بيانات الموظفين'!$B:$E,4,0),"")</f>
        <v>تقنية المعلومات</v>
      </c>
      <c r="E15" s="68">
        <f>IF(B15="",0,IFERROR(COUNTIFS('📅 الحضور'!$B:$B,B15,'📅 الحضور'!$L:$L,PayPeriod,'📅 الحضور'!$E:$E,"حاضر")+COUNTIFS('📅 الحضور'!$B:$B,B15,'📅 الحضور'!$L:$L,PayPeriod,'📅 الحضور'!$E:$E,"متأخر"),0))</f>
        <v>15</v>
      </c>
      <c r="F15" s="82">
        <f>IFERROR(VLOOKUP(B15,'👥 بيانات الموظفين'!$B:$H,7,0),0)</f>
        <v>6500</v>
      </c>
      <c r="G15" s="82">
        <f>IFERROR(VLOOKUP(B15,'👥 بيانات الموظفين'!$B:$I,8,0),0)</f>
        <v>1625</v>
      </c>
      <c r="H15" s="82">
        <f>IFERROR(VLOOKUP(B15,'👥 بيانات الموظفين'!$B:$J,9,0),0)</f>
        <v>500</v>
      </c>
      <c r="I15" s="82">
        <f>IF(B15="",0,IFERROR(SUMIFS('➕ الخصومات والمكافآت'!$E:$E,'➕ الخصومات والمكافآت'!$B:$B,B15,'➕ الخصومات والمكافآت'!$F:$F,PayPeriod,'➕ الخصومات والمكافآت'!$C:$C,"مكافأة"),0))</f>
        <v>1500</v>
      </c>
      <c r="J15" s="82">
        <f t="shared" si="1"/>
        <v>10787.864583333334</v>
      </c>
      <c r="K15" s="82">
        <f>IF(B15="",0,IFERROR(COUNTIFS('📅 الحضور'!$B:$B,B15,'📅 الحضور'!$L:$L,PayPeriod,'📅 الحضور'!$E:$E,"غائب")*F15/WorkDaysMonth,0))</f>
        <v>0</v>
      </c>
      <c r="L15" s="82">
        <f>IF(B15="",0,IFERROR(SUMIFS('📅 الحضور'!$I:$I,'📅 الحضور'!$B:$B,B15,'📅 الحضور'!$L:$L,PayPeriod)/60/WorkHoursDay*F15/WorkDaysMonth,0))</f>
        <v>23.020833333333361</v>
      </c>
      <c r="M15" s="82">
        <f>IF(B15="",0,IFERROR(SUMIFS('➕ الخصومات والمكافآت'!$E:$E,'➕ الخصومات والمكافآت'!$B:$B,B15,'➕ الخصومات والمكافآت'!$F:$F,PayPeriod,'➕ الخصومات والمكافآت'!$C:$C,"خصم"),0))</f>
        <v>0</v>
      </c>
      <c r="N15" s="82">
        <f t="shared" si="2"/>
        <v>835.52083333333337</v>
      </c>
      <c r="O15" s="94">
        <f t="shared" si="3"/>
        <v>9952.34375</v>
      </c>
      <c r="P15" s="53"/>
      <c r="Q15" s="88">
        <f>IF(B15="",0,IFERROR(SUMIFS('📅 الحضور'!$J:$J,'📅 الحضور'!$B:$B,B15,'📅 الحضور'!$L:$L,PayPeriod),0))</f>
        <v>16.316666666666677</v>
      </c>
      <c r="R15" s="89">
        <f t="shared" si="4"/>
        <v>662.86458333333371</v>
      </c>
      <c r="S15" s="89">
        <f>IF(B15="",0,IF(IFERROR(VLOOKUP(B15,'👥 بيانات الموظفين'!$B:$D,3,0),"")="سعودي",MIN(F15+G15,GosiCeiling)*GosiEmpRate,IF(IFERROR(VLOOKUP(B15,'👥 بيانات الموظفين'!$B:$D,3,0),"")="سعودية",MIN(F15+G15,GosiCeiling)*GosiEmpRate,0)))</f>
        <v>812.5</v>
      </c>
      <c r="T15" s="89">
        <f>IF(B15="",0,IF(OR(IFERROR(VLOOKUP(B15,'👥 بيانات الموظفين'!$B:$D,3,0),"")="سعودي",IFERROR(VLOOKUP(B15,'👥 بيانات الموظفين'!$B:$D,3,0),"")="سعودية"),MIN(F15+G15,GosiCeiling)*GosiCoRate,(F15+G15)*0.02))</f>
        <v>975</v>
      </c>
      <c r="U15" s="89">
        <f ca="1">IF(B15="",0,IFERROR(IF(VLOOKUP(B15,'👥 بيانات الموظفين'!$B:$M,12,0)&lt;5,F15/24,F15/12),0))</f>
        <v>270.83333333333331</v>
      </c>
    </row>
    <row r="16" spans="1:26" ht="22.15" customHeight="1" x14ac:dyDescent="0.2">
      <c r="A16" s="57">
        <f t="shared" si="0"/>
        <v>12</v>
      </c>
      <c r="B16" s="57" t="str">
        <f>IFERROR('👥 بيانات الموظفين'!B16,"")</f>
        <v>EMP012</v>
      </c>
      <c r="C16" s="57" t="str">
        <f>IFERROR(VLOOKUP(B16,'👥 بيانات الموظفين'!$B:$C,2,0),"")</f>
        <v>ماجد سلطان الغامدي</v>
      </c>
      <c r="D16" s="57" t="str">
        <f>IFERROR(VLOOKUP(B16,'👥 بيانات الموظفين'!$B:$E,4,0),"")</f>
        <v>المبيعات</v>
      </c>
      <c r="E16" s="69">
        <f>IF(B16="",0,IFERROR(COUNTIFS('📅 الحضور'!$B:$B,B16,'📅 الحضور'!$L:$L,PayPeriod,'📅 الحضور'!$E:$E,"حاضر")+COUNTIFS('📅 الحضور'!$B:$B,B16,'📅 الحضور'!$L:$L,PayPeriod,'📅 الحضور'!$E:$E,"متأخر"),0))</f>
        <v>15</v>
      </c>
      <c r="F16" s="83">
        <f>IFERROR(VLOOKUP(B16,'👥 بيانات الموظفين'!$B:$H,7,0),0)</f>
        <v>20000</v>
      </c>
      <c r="G16" s="83">
        <f>IFERROR(VLOOKUP(B16,'👥 بيانات الموظفين'!$B:$I,8,0),0)</f>
        <v>5000</v>
      </c>
      <c r="H16" s="83">
        <f>IFERROR(VLOOKUP(B16,'👥 بيانات الموظفين'!$B:$J,9,0),0)</f>
        <v>1500</v>
      </c>
      <c r="I16" s="83">
        <f>IF(B16="",0,IFERROR(SUMIFS('➕ الخصومات والمكافآت'!$E:$E,'➕ الخصومات والمكافآت'!$B:$B,B16,'➕ الخصومات والمكافآت'!$F:$F,PayPeriod,'➕ الخصومات والمكافآت'!$C:$C,"مكافأة"),0))</f>
        <v>8500</v>
      </c>
      <c r="J16" s="83">
        <f t="shared" si="1"/>
        <v>37189.583333333336</v>
      </c>
      <c r="K16" s="83">
        <f>IF(B16="",0,IFERROR(COUNTIFS('📅 الحضور'!$B:$B,B16,'📅 الحضور'!$L:$L,PayPeriod,'📅 الحضور'!$E:$E,"غائب")*F16/WorkDaysMonth,0))</f>
        <v>0</v>
      </c>
      <c r="L16" s="83">
        <f>IF(B16="",0,IFERROR(SUMIFS('📅 الحضور'!$I:$I,'📅 الحضور'!$B:$B,B16,'📅 الحضور'!$L:$L,PayPeriod)/60/WorkHoursDay*F16/WorkDaysMonth,0))</f>
        <v>0</v>
      </c>
      <c r="M16" s="83">
        <f>IF(B16="",0,IFERROR(SUMIFS('➕ الخصومات والمكافآت'!$E:$E,'➕ الخصومات والمكافآت'!$B:$B,B16,'➕ الخصومات والمكافآت'!$F:$F,PayPeriod,'➕ الخصومات والمكافآت'!$C:$C,"خصم"),0))</f>
        <v>0</v>
      </c>
      <c r="N16" s="83">
        <f t="shared" si="2"/>
        <v>2500</v>
      </c>
      <c r="O16" s="95">
        <f t="shared" si="3"/>
        <v>34689.583333333336</v>
      </c>
      <c r="P16" s="57"/>
      <c r="Q16" s="90">
        <f>IF(B16="",0,IFERROR(SUMIFS('📅 الحضور'!$J:$J,'📅 الحضور'!$B:$B,B16,'📅 الحضور'!$L:$L,PayPeriod),0))</f>
        <v>17.516666666666676</v>
      </c>
      <c r="R16" s="91">
        <f t="shared" si="4"/>
        <v>2189.5833333333344</v>
      </c>
      <c r="S16" s="91">
        <f>IF(B16="",0,IF(IFERROR(VLOOKUP(B16,'👥 بيانات الموظفين'!$B:$D,3,0),"")="سعودي",MIN(F16+G16,GosiCeiling)*GosiEmpRate,IF(IFERROR(VLOOKUP(B16,'👥 بيانات الموظفين'!$B:$D,3,0),"")="سعودية",MIN(F16+G16,GosiCeiling)*GosiEmpRate,0)))</f>
        <v>2500</v>
      </c>
      <c r="T16" s="91">
        <f>IF(B16="",0,IF(OR(IFERROR(VLOOKUP(B16,'👥 بيانات الموظفين'!$B:$D,3,0),"")="سعودي",IFERROR(VLOOKUP(B16,'👥 بيانات الموظفين'!$B:$D,3,0),"")="سعودية"),MIN(F16+G16,GosiCeiling)*GosiCoRate,(F16+G16)*0.02))</f>
        <v>3000</v>
      </c>
      <c r="U16" s="91">
        <f ca="1">IF(B16="",0,IFERROR(IF(VLOOKUP(B16,'👥 بيانات الموظفين'!$B:$M,12,0)&lt;5,F16/24,F16/12),0))</f>
        <v>1666.6666666666667</v>
      </c>
    </row>
    <row r="17" spans="1:21" ht="22.15" customHeight="1" x14ac:dyDescent="0.2">
      <c r="A17" s="53">
        <f t="shared" si="0"/>
        <v>13</v>
      </c>
      <c r="B17" s="53" t="str">
        <f>IFERROR('👥 بيانات الموظفين'!B17,"")</f>
        <v>EMP013</v>
      </c>
      <c r="C17" s="53" t="str">
        <f>IFERROR(VLOOKUP(B17,'👥 بيانات الموظفين'!$B:$C,2,0),"")</f>
        <v>سارة أحمد الحربي</v>
      </c>
      <c r="D17" s="53" t="str">
        <f>IFERROR(VLOOKUP(B17,'👥 بيانات الموظفين'!$B:$E,4,0),"")</f>
        <v>المبيعات</v>
      </c>
      <c r="E17" s="68">
        <f>IF(B17="",0,IFERROR(COUNTIFS('📅 الحضور'!$B:$B,B17,'📅 الحضور'!$L:$L,PayPeriod,'📅 الحضور'!$E:$E,"حاضر")+COUNTIFS('📅 الحضور'!$B:$B,B17,'📅 الحضور'!$L:$L,PayPeriod,'📅 الحضور'!$E:$E,"متأخر"),0))</f>
        <v>15</v>
      </c>
      <c r="F17" s="82">
        <f>IFERROR(VLOOKUP(B17,'👥 بيانات الموظفين'!$B:$H,7,0),0)</f>
        <v>10000</v>
      </c>
      <c r="G17" s="82">
        <f>IFERROR(VLOOKUP(B17,'👥 بيانات الموظفين'!$B:$I,8,0),0)</f>
        <v>2500</v>
      </c>
      <c r="H17" s="82">
        <f>IFERROR(VLOOKUP(B17,'👥 بيانات الموظفين'!$B:$J,9,0),0)</f>
        <v>1500</v>
      </c>
      <c r="I17" s="82">
        <f>IF(B17="",0,IFERROR(SUMIFS('➕ الخصومات والمكافآت'!$E:$E,'➕ الخصومات والمكافآت'!$B:$B,B17,'➕ الخصومات والمكافآت'!$F:$F,PayPeriod,'➕ الخصومات والمكافآت'!$C:$C,"مكافأة"),0))</f>
        <v>3300</v>
      </c>
      <c r="J17" s="82">
        <f t="shared" si="1"/>
        <v>18608.333333333332</v>
      </c>
      <c r="K17" s="82">
        <f>IF(B17="",0,IFERROR(COUNTIFS('📅 الحضور'!$B:$B,B17,'📅 الحضور'!$L:$L,PayPeriod,'📅 الحضور'!$E:$E,"غائب")*F17/WorkDaysMonth,0))</f>
        <v>0</v>
      </c>
      <c r="L17" s="82">
        <f>IF(B17="",0,IFERROR(SUMIFS('📅 الحضور'!$I:$I,'📅 الحضور'!$B:$B,B17,'📅 الحضور'!$L:$L,PayPeriod)/60/WorkHoursDay*F17/WorkDaysMonth,0))</f>
        <v>0</v>
      </c>
      <c r="M17" s="82">
        <f>IF(B17="",0,IFERROR(SUMIFS('➕ الخصومات والمكافآت'!$E:$E,'➕ الخصومات والمكافآت'!$B:$B,B17,'➕ الخصومات والمكافآت'!$F:$F,PayPeriod,'➕ الخصومات والمكافآت'!$C:$C,"خصم"),0))</f>
        <v>0</v>
      </c>
      <c r="N17" s="82">
        <f t="shared" si="2"/>
        <v>1250</v>
      </c>
      <c r="O17" s="94">
        <f t="shared" si="3"/>
        <v>17358.333333333332</v>
      </c>
      <c r="P17" s="53"/>
      <c r="Q17" s="88">
        <f>IF(B17="",0,IFERROR(SUMIFS('📅 الحضور'!$J:$J,'📅 الحضور'!$B:$B,B17,'📅 الحضور'!$L:$L,PayPeriod),0))</f>
        <v>20.933333333333334</v>
      </c>
      <c r="R17" s="89">
        <f t="shared" si="4"/>
        <v>1308.3333333333333</v>
      </c>
      <c r="S17" s="89">
        <f>IF(B17="",0,IF(IFERROR(VLOOKUP(B17,'👥 بيانات الموظفين'!$B:$D,3,0),"")="سعودي",MIN(F17+G17,GosiCeiling)*GosiEmpRate,IF(IFERROR(VLOOKUP(B17,'👥 بيانات الموظفين'!$B:$D,3,0),"")="سعودية",MIN(F17+G17,GosiCeiling)*GosiEmpRate,0)))</f>
        <v>1250</v>
      </c>
      <c r="T17" s="89">
        <f>IF(B17="",0,IF(OR(IFERROR(VLOOKUP(B17,'👥 بيانات الموظفين'!$B:$D,3,0),"")="سعودي",IFERROR(VLOOKUP(B17,'👥 بيانات الموظفين'!$B:$D,3,0),"")="سعودية"),MIN(F17+G17,GosiCeiling)*GosiCoRate,(F17+G17)*0.02))</f>
        <v>1500</v>
      </c>
      <c r="U17" s="89">
        <f ca="1">IF(B17="",0,IFERROR(IF(VLOOKUP(B17,'👥 بيانات الموظفين'!$B:$M,12,0)&lt;5,F17/24,F17/12),0))</f>
        <v>416.66666666666669</v>
      </c>
    </row>
    <row r="18" spans="1:21" ht="22.15" customHeight="1" x14ac:dyDescent="0.2">
      <c r="A18" s="57">
        <f t="shared" si="0"/>
        <v>14</v>
      </c>
      <c r="B18" s="57" t="str">
        <f>IFERROR('👥 بيانات الموظفين'!B18,"")</f>
        <v>EMP014</v>
      </c>
      <c r="C18" s="57" t="str">
        <f>IFERROR(VLOOKUP(B18,'👥 بيانات الموظفين'!$B:$C,2,0),"")</f>
        <v>بدر فهد المطيري</v>
      </c>
      <c r="D18" s="57" t="str">
        <f>IFERROR(VLOOKUP(B18,'👥 بيانات الموظفين'!$B:$E,4,0),"")</f>
        <v>المبيعات</v>
      </c>
      <c r="E18" s="69">
        <f>IF(B18="",0,IFERROR(COUNTIFS('📅 الحضور'!$B:$B,B18,'📅 الحضور'!$L:$L,PayPeriod,'📅 الحضور'!$E:$E,"حاضر")+COUNTIFS('📅 الحضور'!$B:$B,B18,'📅 الحضور'!$L:$L,PayPeriod,'📅 الحضور'!$E:$E,"متأخر"),0))</f>
        <v>12</v>
      </c>
      <c r="F18" s="83">
        <f>IFERROR(VLOOKUP(B18,'👥 بيانات الموظفين'!$B:$H,7,0),0)</f>
        <v>8000</v>
      </c>
      <c r="G18" s="83">
        <f>IFERROR(VLOOKUP(B18,'👥 بيانات الموظفين'!$B:$I,8,0),0)</f>
        <v>2000</v>
      </c>
      <c r="H18" s="83">
        <f>IFERROR(VLOOKUP(B18,'👥 بيانات الموظفين'!$B:$J,9,0),0)</f>
        <v>1200</v>
      </c>
      <c r="I18" s="83">
        <f>IF(B18="",0,IFERROR(SUMIFS('➕ الخصومات والمكافآت'!$E:$E,'➕ الخصومات والمكافآت'!$B:$B,B18,'➕ الخصومات والمكافآت'!$F:$F,PayPeriod,'➕ الخصومات والمكافآت'!$C:$C,"مكافأة"),0))</f>
        <v>0</v>
      </c>
      <c r="J18" s="83">
        <f t="shared" si="1"/>
        <v>11816.666666666668</v>
      </c>
      <c r="K18" s="83">
        <f>IF(B18="",0,IFERROR(COUNTIFS('📅 الحضور'!$B:$B,B18,'📅 الحضور'!$L:$L,PayPeriod,'📅 الحضور'!$E:$E,"غائب")*F18/WorkDaysMonth,0))</f>
        <v>800</v>
      </c>
      <c r="L18" s="83">
        <f>IF(B18="",0,IFERROR(SUMIFS('📅 الحضور'!$I:$I,'📅 الحضور'!$B:$B,B18,'📅 الحضور'!$L:$L,PayPeriod)/60/WorkHoursDay*F18/WorkDaysMonth,0))</f>
        <v>39.444444444444436</v>
      </c>
      <c r="M18" s="83">
        <f>IF(B18="",0,IFERROR(SUMIFS('➕ الخصومات والمكافآت'!$E:$E,'➕ الخصومات والمكافآت'!$B:$B,B18,'➕ الخصومات والمكافآت'!$F:$F,PayPeriod,'➕ الخصومات والمكافآت'!$C:$C,"خصم"),0))</f>
        <v>1200</v>
      </c>
      <c r="N18" s="83">
        <f t="shared" si="2"/>
        <v>3039.4444444444443</v>
      </c>
      <c r="O18" s="95">
        <f t="shared" si="3"/>
        <v>8777.2222222222226</v>
      </c>
      <c r="P18" s="57"/>
      <c r="Q18" s="90">
        <f>IF(B18="",0,IFERROR(SUMIFS('📅 الحضور'!$J:$J,'📅 الحضور'!$B:$B,B18,'📅 الحضور'!$L:$L,PayPeriod),0))</f>
        <v>12.333333333333341</v>
      </c>
      <c r="R18" s="91">
        <f t="shared" si="4"/>
        <v>616.66666666666708</v>
      </c>
      <c r="S18" s="91">
        <f>IF(B18="",0,IF(IFERROR(VLOOKUP(B18,'👥 بيانات الموظفين'!$B:$D,3,0),"")="سعودي",MIN(F18+G18,GosiCeiling)*GosiEmpRate,IF(IFERROR(VLOOKUP(B18,'👥 بيانات الموظفين'!$B:$D,3,0),"")="سعودية",MIN(F18+G18,GosiCeiling)*GosiEmpRate,0)))</f>
        <v>1000</v>
      </c>
      <c r="T18" s="91">
        <f>IF(B18="",0,IF(OR(IFERROR(VLOOKUP(B18,'👥 بيانات الموظفين'!$B:$D,3,0),"")="سعودي",IFERROR(VLOOKUP(B18,'👥 بيانات الموظفين'!$B:$D,3,0),"")="سعودية"),MIN(F18+G18,GosiCeiling)*GosiCoRate,(F18+G18)*0.02))</f>
        <v>1200</v>
      </c>
      <c r="U18" s="91">
        <f ca="1">IF(B18="",0,IFERROR(IF(VLOOKUP(B18,'👥 بيانات الموظفين'!$B:$M,12,0)&lt;5,F18/24,F18/12),0))</f>
        <v>333.33333333333331</v>
      </c>
    </row>
    <row r="19" spans="1:21" ht="22.15" customHeight="1" x14ac:dyDescent="0.2">
      <c r="A19" s="53">
        <f t="shared" si="0"/>
        <v>15</v>
      </c>
      <c r="B19" s="53" t="str">
        <f>IFERROR('👥 بيانات الموظفين'!B19,"")</f>
        <v>EMP015</v>
      </c>
      <c r="C19" s="53" t="str">
        <f>IFERROR(VLOOKUP(B19,'👥 بيانات الموظفين'!$B:$C,2,0),"")</f>
        <v>Omar Khalid Mansour</v>
      </c>
      <c r="D19" s="53" t="str">
        <f>IFERROR(VLOOKUP(B19,'👥 بيانات الموظفين'!$B:$E,4,0),"")</f>
        <v>المبيعات</v>
      </c>
      <c r="E19" s="68">
        <f>IF(B19="",0,IFERROR(COUNTIFS('📅 الحضور'!$B:$B,B19,'📅 الحضور'!$L:$L,PayPeriod,'📅 الحضور'!$E:$E,"حاضر")+COUNTIFS('📅 الحضور'!$B:$B,B19,'📅 الحضور'!$L:$L,PayPeriod,'📅 الحضور'!$E:$E,"متأخر"),0))</f>
        <v>13</v>
      </c>
      <c r="F19" s="82">
        <f>IFERROR(VLOOKUP(B19,'👥 بيانات الموظفين'!$B:$H,7,0),0)</f>
        <v>7000</v>
      </c>
      <c r="G19" s="82">
        <f>IFERROR(VLOOKUP(B19,'👥 بيانات الموظفين'!$B:$I,8,0),0)</f>
        <v>1750</v>
      </c>
      <c r="H19" s="82">
        <f>IFERROR(VLOOKUP(B19,'👥 بيانات الموظفين'!$B:$J,9,0),0)</f>
        <v>1000</v>
      </c>
      <c r="I19" s="82">
        <f>IF(B19="",0,IFERROR(SUMIFS('➕ الخصومات والمكافآت'!$E:$E,'➕ الخصومات والمكافآت'!$B:$B,B19,'➕ الخصومات والمكافآت'!$F:$F,PayPeriod,'➕ الخصومات والمكافآت'!$C:$C,"مكافأة"),0))</f>
        <v>0</v>
      </c>
      <c r="J19" s="82">
        <f t="shared" si="1"/>
        <v>10345.729166666668</v>
      </c>
      <c r="K19" s="82">
        <f>IF(B19="",0,IFERROR(COUNTIFS('📅 الحضور'!$B:$B,B19,'📅 الحضور'!$L:$L,PayPeriod,'📅 الحضور'!$E:$E,"غائب")*F19/WorkDaysMonth,0))</f>
        <v>0</v>
      </c>
      <c r="L19" s="82">
        <f>IF(B19="",0,IFERROR(SUMIFS('📅 الحضور'!$I:$I,'📅 الحضور'!$B:$B,B19,'📅 الحضور'!$L:$L,PayPeriod)/60/WorkHoursDay*F19/WorkDaysMonth,0))</f>
        <v>18.472222222222232</v>
      </c>
      <c r="M19" s="82">
        <f>IF(B19="",0,IFERROR(SUMIFS('➕ الخصومات والمكافآت'!$E:$E,'➕ الخصومات والمكافآت'!$B:$B,B19,'➕ الخصومات والمكافآت'!$F:$F,PayPeriod,'➕ الخصومات والمكافآت'!$C:$C,"خصم"),0))</f>
        <v>0</v>
      </c>
      <c r="N19" s="82">
        <f t="shared" si="2"/>
        <v>18.472222222222232</v>
      </c>
      <c r="O19" s="94">
        <f t="shared" si="3"/>
        <v>10327.256944444445</v>
      </c>
      <c r="P19" s="53"/>
      <c r="Q19" s="88">
        <f>IF(B19="",0,IFERROR(SUMIFS('📅 الحضور'!$J:$J,'📅 الحضور'!$B:$B,B19,'📅 الحضور'!$L:$L,PayPeriod),0))</f>
        <v>13.616666666666674</v>
      </c>
      <c r="R19" s="89">
        <f t="shared" si="4"/>
        <v>595.72916666666697</v>
      </c>
      <c r="S19" s="89">
        <f>IF(B19="",0,IF(IFERROR(VLOOKUP(B19,'👥 بيانات الموظفين'!$B:$D,3,0),"")="سعودي",MIN(F19+G19,GosiCeiling)*GosiEmpRate,IF(IFERROR(VLOOKUP(B19,'👥 بيانات الموظفين'!$B:$D,3,0),"")="سعودية",MIN(F19+G19,GosiCeiling)*GosiEmpRate,0)))</f>
        <v>0</v>
      </c>
      <c r="T19" s="89">
        <f>IF(B19="",0,IF(OR(IFERROR(VLOOKUP(B19,'👥 بيانات الموظفين'!$B:$D,3,0),"")="سعودي",IFERROR(VLOOKUP(B19,'👥 بيانات الموظفين'!$B:$D,3,0),"")="سعودية"),MIN(F19+G19,GosiCeiling)*GosiCoRate,(F19+G19)*0.02))</f>
        <v>175</v>
      </c>
      <c r="U19" s="89">
        <f ca="1">IF(B19="",0,IFERROR(IF(VLOOKUP(B19,'👥 بيانات الموظفين'!$B:$M,12,0)&lt;5,F19/24,F19/12),0))</f>
        <v>291.66666666666669</v>
      </c>
    </row>
    <row r="20" spans="1:21" ht="22.15" customHeight="1" x14ac:dyDescent="0.2">
      <c r="A20" s="57">
        <f t="shared" si="0"/>
        <v>16</v>
      </c>
      <c r="B20" s="57" t="str">
        <f>IFERROR('👥 بيانات الموظفين'!B20,"")</f>
        <v>EMP016</v>
      </c>
      <c r="C20" s="57" t="str">
        <f>IFERROR(VLOOKUP(B20,'👥 بيانات الموظفين'!$B:$C,2,0),"")</f>
        <v>هند ناصر القرشي</v>
      </c>
      <c r="D20" s="57" t="str">
        <f>IFERROR(VLOOKUP(B20,'👥 بيانات الموظفين'!$B:$E,4,0),"")</f>
        <v>المبيعات</v>
      </c>
      <c r="E20" s="69">
        <f>IF(B20="",0,IFERROR(COUNTIFS('📅 الحضور'!$B:$B,B20,'📅 الحضور'!$L:$L,PayPeriod,'📅 الحضور'!$E:$E,"حاضر")+COUNTIFS('📅 الحضور'!$B:$B,B20,'📅 الحضور'!$L:$L,PayPeriod,'📅 الحضور'!$E:$E,"متأخر"),0))</f>
        <v>15</v>
      </c>
      <c r="F20" s="83">
        <f>IFERROR(VLOOKUP(B20,'👥 بيانات الموظفين'!$B:$H,7,0),0)</f>
        <v>6000</v>
      </c>
      <c r="G20" s="83">
        <f>IFERROR(VLOOKUP(B20,'👥 بيانات الموظفين'!$B:$I,8,0),0)</f>
        <v>1500</v>
      </c>
      <c r="H20" s="83">
        <f>IFERROR(VLOOKUP(B20,'👥 بيانات الموظفين'!$B:$J,9,0),0)</f>
        <v>800</v>
      </c>
      <c r="I20" s="83">
        <f>IF(B20="",0,IFERROR(SUMIFS('➕ الخصومات والمكافآت'!$E:$E,'➕ الخصومات والمكافآت'!$B:$B,B20,'➕ الخصومات والمكافآت'!$F:$F,PayPeriod,'➕ الخصومات والمكافآت'!$C:$C,"مكافأة"),0))</f>
        <v>0</v>
      </c>
      <c r="J20" s="83">
        <f t="shared" si="1"/>
        <v>8819.375</v>
      </c>
      <c r="K20" s="83">
        <f>IF(B20="",0,IFERROR(COUNTIFS('📅 الحضور'!$B:$B,B20,'📅 الحضور'!$L:$L,PayPeriod,'📅 الحضور'!$E:$E,"غائب")*F20/WorkDaysMonth,0))</f>
        <v>0</v>
      </c>
      <c r="L20" s="83">
        <f>IF(B20="",0,IFERROR(SUMIFS('📅 الحضور'!$I:$I,'📅 الحضور'!$B:$B,B20,'📅 الحضور'!$L:$L,PayPeriod)/60/WorkHoursDay*F20/WorkDaysMonth,0))</f>
        <v>60.416666666666785</v>
      </c>
      <c r="M20" s="83">
        <f>IF(B20="",0,IFERROR(SUMIFS('➕ الخصومات والمكافآت'!$E:$E,'➕ الخصومات والمكافآت'!$B:$B,B20,'➕ الخصومات والمكافآت'!$F:$F,PayPeriod,'➕ الخصومات والمكافآت'!$C:$C,"خصم"),0))</f>
        <v>0</v>
      </c>
      <c r="N20" s="83">
        <f t="shared" si="2"/>
        <v>810.41666666666674</v>
      </c>
      <c r="O20" s="95">
        <f t="shared" si="3"/>
        <v>8008.958333333333</v>
      </c>
      <c r="P20" s="57"/>
      <c r="Q20" s="90">
        <f>IF(B20="",0,IFERROR(SUMIFS('📅 الحضور'!$J:$J,'📅 الحضور'!$B:$B,B20,'📅 الحضور'!$L:$L,PayPeriod),0))</f>
        <v>13.850000000000005</v>
      </c>
      <c r="R20" s="91">
        <f t="shared" si="4"/>
        <v>519.37500000000023</v>
      </c>
      <c r="S20" s="91">
        <f>IF(B20="",0,IF(IFERROR(VLOOKUP(B20,'👥 بيانات الموظفين'!$B:$D,3,0),"")="سعودي",MIN(F20+G20,GosiCeiling)*GosiEmpRate,IF(IFERROR(VLOOKUP(B20,'👥 بيانات الموظفين'!$B:$D,3,0),"")="سعودية",MIN(F20+G20,GosiCeiling)*GosiEmpRate,0)))</f>
        <v>750</v>
      </c>
      <c r="T20" s="91">
        <f>IF(B20="",0,IF(OR(IFERROR(VLOOKUP(B20,'👥 بيانات الموظفين'!$B:$D,3,0),"")="سعودي",IFERROR(VLOOKUP(B20,'👥 بيانات الموظفين'!$B:$D,3,0),"")="سعودية"),MIN(F20+G20,GosiCeiling)*GosiCoRate,(F20+G20)*0.02))</f>
        <v>900</v>
      </c>
      <c r="U20" s="91">
        <f ca="1">IF(B20="",0,IFERROR(IF(VLOOKUP(B20,'👥 بيانات الموظفين'!$B:$M,12,0)&lt;5,F20/24,F20/12),0))</f>
        <v>250</v>
      </c>
    </row>
    <row r="21" spans="1:21" ht="22.15" customHeight="1" x14ac:dyDescent="0.2">
      <c r="A21" s="53">
        <f t="shared" si="0"/>
        <v>17</v>
      </c>
      <c r="B21" s="53" t="str">
        <f>IFERROR('👥 بيانات الموظفين'!B21,"")</f>
        <v>EMP017</v>
      </c>
      <c r="C21" s="53" t="str">
        <f>IFERROR(VLOOKUP(B21,'👥 بيانات الموظفين'!$B:$C,2,0),"")</f>
        <v>عبدالملك سعد التميمي</v>
      </c>
      <c r="D21" s="53" t="str">
        <f>IFERROR(VLOOKUP(B21,'👥 بيانات الموظفين'!$B:$E,4,0),"")</f>
        <v>التسويق</v>
      </c>
      <c r="E21" s="68">
        <f>IF(B21="",0,IFERROR(COUNTIFS('📅 الحضور'!$B:$B,B21,'📅 الحضور'!$L:$L,PayPeriod,'📅 الحضور'!$E:$E,"حاضر")+COUNTIFS('📅 الحضور'!$B:$B,B21,'📅 الحضور'!$L:$L,PayPeriod,'📅 الحضور'!$E:$E,"متأخر"),0))</f>
        <v>15</v>
      </c>
      <c r="F21" s="82">
        <f>IFERROR(VLOOKUP(B21,'👥 بيانات الموظفين'!$B:$H,7,0),0)</f>
        <v>18000</v>
      </c>
      <c r="G21" s="82">
        <f>IFERROR(VLOOKUP(B21,'👥 بيانات الموظفين'!$B:$I,8,0),0)</f>
        <v>4500</v>
      </c>
      <c r="H21" s="82">
        <f>IFERROR(VLOOKUP(B21,'👥 بيانات الموظفين'!$B:$J,9,0),0)</f>
        <v>1200</v>
      </c>
      <c r="I21" s="82">
        <f>IF(B21="",0,IFERROR(SUMIFS('➕ الخصومات والمكافآت'!$E:$E,'➕ الخصومات والمكافآت'!$B:$B,B21,'➕ الخصومات والمكافآت'!$F:$F,PayPeriod,'➕ الخصومات والمكافآت'!$C:$C,"مكافأة"),0))</f>
        <v>0</v>
      </c>
      <c r="J21" s="82">
        <f t="shared" si="1"/>
        <v>25516.875</v>
      </c>
      <c r="K21" s="82">
        <f>IF(B21="",0,IFERROR(COUNTIFS('📅 الحضور'!$B:$B,B21,'📅 الحضور'!$L:$L,PayPeriod,'📅 الحضور'!$E:$E,"غائب")*F21/WorkDaysMonth,0))</f>
        <v>0</v>
      </c>
      <c r="L21" s="82">
        <f>IF(B21="",0,IFERROR(SUMIFS('📅 الحضور'!$I:$I,'📅 الحضور'!$B:$B,B21,'📅 الحضور'!$L:$L,PayPeriod)/60/WorkHoursDay*F21/WorkDaysMonth,0))</f>
        <v>29.999999999999989</v>
      </c>
      <c r="M21" s="82">
        <f>IF(B21="",0,IFERROR(SUMIFS('➕ الخصومات والمكافآت'!$E:$E,'➕ الخصومات والمكافآت'!$B:$B,B21,'➕ الخصومات والمكافآت'!$F:$F,PayPeriod,'➕ الخصومات والمكافآت'!$C:$C,"خصم"),0))</f>
        <v>0</v>
      </c>
      <c r="N21" s="82">
        <f t="shared" si="2"/>
        <v>2280</v>
      </c>
      <c r="O21" s="94">
        <f t="shared" si="3"/>
        <v>23236.875</v>
      </c>
      <c r="P21" s="53"/>
      <c r="Q21" s="88">
        <f>IF(B21="",0,IFERROR(SUMIFS('📅 الحضور'!$J:$J,'📅 الحضور'!$B:$B,B21,'📅 الحضور'!$L:$L,PayPeriod),0))</f>
        <v>16.150000000000013</v>
      </c>
      <c r="R21" s="89">
        <f t="shared" si="4"/>
        <v>1816.8750000000014</v>
      </c>
      <c r="S21" s="89">
        <f>IF(B21="",0,IF(IFERROR(VLOOKUP(B21,'👥 بيانات الموظفين'!$B:$D,3,0),"")="سعودي",MIN(F21+G21,GosiCeiling)*GosiEmpRate,IF(IFERROR(VLOOKUP(B21,'👥 بيانات الموظفين'!$B:$D,3,0),"")="سعودية",MIN(F21+G21,GosiCeiling)*GosiEmpRate,0)))</f>
        <v>2250</v>
      </c>
      <c r="T21" s="89">
        <f>IF(B21="",0,IF(OR(IFERROR(VLOOKUP(B21,'👥 بيانات الموظفين'!$B:$D,3,0),"")="سعودي",IFERROR(VLOOKUP(B21,'👥 بيانات الموظفين'!$B:$D,3,0),"")="سعودية"),MIN(F21+G21,GosiCeiling)*GosiCoRate,(F21+G21)*0.02))</f>
        <v>2700</v>
      </c>
      <c r="U21" s="89">
        <f ca="1">IF(B21="",0,IFERROR(IF(VLOOKUP(B21,'👥 بيانات الموظفين'!$B:$M,12,0)&lt;5,F21/24,F21/12),0))</f>
        <v>1500</v>
      </c>
    </row>
    <row r="22" spans="1:21" ht="22.15" customHeight="1" x14ac:dyDescent="0.2">
      <c r="A22" s="57">
        <f t="shared" si="0"/>
        <v>18</v>
      </c>
      <c r="B22" s="57" t="str">
        <f>IFERROR('👥 بيانات الموظفين'!B22,"")</f>
        <v>EMP018</v>
      </c>
      <c r="C22" s="57" t="str">
        <f>IFERROR(VLOOKUP(B22,'👥 بيانات الموظفين'!$B:$C,2,0),"")</f>
        <v>لمى محمد البرقاوي</v>
      </c>
      <c r="D22" s="57" t="str">
        <f>IFERROR(VLOOKUP(B22,'👥 بيانات الموظفين'!$B:$E,4,0),"")</f>
        <v>التسويق</v>
      </c>
      <c r="E22" s="69">
        <f>IF(B22="",0,IFERROR(COUNTIFS('📅 الحضور'!$B:$B,B22,'📅 الحضور'!$L:$L,PayPeriod,'📅 الحضور'!$E:$E,"حاضر")+COUNTIFS('📅 الحضور'!$B:$B,B22,'📅 الحضور'!$L:$L,PayPeriod,'📅 الحضور'!$E:$E,"متأخر"),0))</f>
        <v>15</v>
      </c>
      <c r="F22" s="83">
        <f>IFERROR(VLOOKUP(B22,'👥 بيانات الموظفين'!$B:$H,7,0),0)</f>
        <v>10000</v>
      </c>
      <c r="G22" s="83">
        <f>IFERROR(VLOOKUP(B22,'👥 بيانات الموظفين'!$B:$I,8,0),0)</f>
        <v>2500</v>
      </c>
      <c r="H22" s="83">
        <f>IFERROR(VLOOKUP(B22,'👥 بيانات الموظفين'!$B:$J,9,0),0)</f>
        <v>800</v>
      </c>
      <c r="I22" s="83">
        <f>IF(B22="",0,IFERROR(SUMIFS('➕ الخصومات والمكافآت'!$E:$E,'➕ الخصومات والمكافآت'!$B:$B,B22,'➕ الخصومات والمكافآت'!$F:$F,PayPeriod,'➕ الخصومات والمكافآت'!$C:$C,"مكافأة"),0))</f>
        <v>1200</v>
      </c>
      <c r="J22" s="83">
        <f t="shared" si="1"/>
        <v>15604.166666666668</v>
      </c>
      <c r="K22" s="83">
        <f>IF(B22="",0,IFERROR(COUNTIFS('📅 الحضور'!$B:$B,B22,'📅 الحضور'!$L:$L,PayPeriod,'📅 الحضور'!$E:$E,"غائب")*F22/WorkDaysMonth,0))</f>
        <v>0</v>
      </c>
      <c r="L22" s="83">
        <f>IF(B22="",0,IFERROR(SUMIFS('📅 الحضور'!$I:$I,'📅 الحضور'!$B:$B,B22,'📅 الحضور'!$L:$L,PayPeriod)/60/WorkHoursDay*F22/WorkDaysMonth,0))</f>
        <v>0</v>
      </c>
      <c r="M22" s="83">
        <f>IF(B22="",0,IFERROR(SUMIFS('➕ الخصومات والمكافآت'!$E:$E,'➕ الخصومات والمكافآت'!$B:$B,B22,'➕ الخصومات والمكافآت'!$F:$F,PayPeriod,'➕ الخصومات والمكافآت'!$C:$C,"خصم"),0))</f>
        <v>0</v>
      </c>
      <c r="N22" s="83">
        <f t="shared" si="2"/>
        <v>1250</v>
      </c>
      <c r="O22" s="95">
        <f t="shared" si="3"/>
        <v>14354.166666666668</v>
      </c>
      <c r="P22" s="57"/>
      <c r="Q22" s="90">
        <f>IF(B22="",0,IFERROR(SUMIFS('📅 الحضور'!$J:$J,'📅 الحضور'!$B:$B,B22,'📅 الحضور'!$L:$L,PayPeriod),0))</f>
        <v>17.666666666666671</v>
      </c>
      <c r="R22" s="91">
        <f t="shared" si="4"/>
        <v>1104.166666666667</v>
      </c>
      <c r="S22" s="91">
        <f>IF(B22="",0,IF(IFERROR(VLOOKUP(B22,'👥 بيانات الموظفين'!$B:$D,3,0),"")="سعودي",MIN(F22+G22,GosiCeiling)*GosiEmpRate,IF(IFERROR(VLOOKUP(B22,'👥 بيانات الموظفين'!$B:$D,3,0),"")="سعودية",MIN(F22+G22,GosiCeiling)*GosiEmpRate,0)))</f>
        <v>1250</v>
      </c>
      <c r="T22" s="91">
        <f>IF(B22="",0,IF(OR(IFERROR(VLOOKUP(B22,'👥 بيانات الموظفين'!$B:$D,3,0),"")="سعودي",IFERROR(VLOOKUP(B22,'👥 بيانات الموظفين'!$B:$D,3,0),"")="سعودية"),MIN(F22+G22,GosiCeiling)*GosiCoRate,(F22+G22)*0.02))</f>
        <v>1500</v>
      </c>
      <c r="U22" s="91">
        <f ca="1">IF(B22="",0,IFERROR(IF(VLOOKUP(B22,'👥 بيانات الموظفين'!$B:$M,12,0)&lt;5,F22/24,F22/12),0))</f>
        <v>416.66666666666669</v>
      </c>
    </row>
    <row r="23" spans="1:21" ht="22.15" customHeight="1" x14ac:dyDescent="0.2">
      <c r="A23" s="53">
        <f t="shared" si="0"/>
        <v>19</v>
      </c>
      <c r="B23" s="53" t="str">
        <f>IFERROR('👥 بيانات الموظفين'!B23,"")</f>
        <v>EMP019</v>
      </c>
      <c r="C23" s="53" t="str">
        <f>IFERROR(VLOOKUP(B23,'👥 بيانات الموظفين'!$B:$C,2,0),"")</f>
        <v>Maria Garcia Lopez</v>
      </c>
      <c r="D23" s="53" t="str">
        <f>IFERROR(VLOOKUP(B23,'👥 بيانات الموظفين'!$B:$E,4,0),"")</f>
        <v>التسويق</v>
      </c>
      <c r="E23" s="68">
        <f>IF(B23="",0,IFERROR(COUNTIFS('📅 الحضور'!$B:$B,B23,'📅 الحضور'!$L:$L,PayPeriod,'📅 الحضور'!$E:$E,"حاضر")+COUNTIFS('📅 الحضور'!$B:$B,B23,'📅 الحضور'!$L:$L,PayPeriod,'📅 الحضور'!$E:$E,"متأخر"),0))</f>
        <v>8</v>
      </c>
      <c r="F23" s="82">
        <f>IFERROR(VLOOKUP(B23,'👥 بيانات الموظفين'!$B:$H,7,0),0)</f>
        <v>8500</v>
      </c>
      <c r="G23" s="82">
        <f>IFERROR(VLOOKUP(B23,'👥 بيانات الموظفين'!$B:$I,8,0),0)</f>
        <v>2125</v>
      </c>
      <c r="H23" s="82">
        <f>IFERROR(VLOOKUP(B23,'👥 بيانات الموظفين'!$B:$J,9,0),0)</f>
        <v>750</v>
      </c>
      <c r="I23" s="82">
        <f>IF(B23="",0,IFERROR(SUMIFS('➕ الخصومات والمكافآت'!$E:$E,'➕ الخصومات والمكافآت'!$B:$B,B23,'➕ الخصومات والمكافآت'!$F:$F,PayPeriod,'➕ الخصومات والمكافآت'!$C:$C,"مكافأة"),0))</f>
        <v>0</v>
      </c>
      <c r="J23" s="82">
        <f t="shared" si="1"/>
        <v>11821.25</v>
      </c>
      <c r="K23" s="82">
        <f>IF(B23="",0,IFERROR(COUNTIFS('📅 الحضور'!$B:$B,B23,'📅 الحضور'!$L:$L,PayPeriod,'📅 الحضور'!$E:$E,"غائب")*F23/WorkDaysMonth,0))</f>
        <v>0</v>
      </c>
      <c r="L23" s="82">
        <f>IF(B23="",0,IFERROR(SUMIFS('📅 الحضور'!$I:$I,'📅 الحضور'!$B:$B,B23,'📅 الحضور'!$L:$L,PayPeriod)/60/WorkHoursDay*F23/WorkDaysMonth,0))</f>
        <v>18.888888888888921</v>
      </c>
      <c r="M23" s="82">
        <f>IF(B23="",0,IFERROR(SUMIFS('➕ الخصومات والمكافآت'!$E:$E,'➕ الخصومات والمكافآت'!$B:$B,B23,'➕ الخصومات والمكافآت'!$F:$F,PayPeriod,'➕ الخصومات والمكافآت'!$C:$C,"خصم"),0))</f>
        <v>0</v>
      </c>
      <c r="N23" s="82">
        <f t="shared" si="2"/>
        <v>18.888888888888921</v>
      </c>
      <c r="O23" s="94">
        <f t="shared" si="3"/>
        <v>11802.361111111111</v>
      </c>
      <c r="P23" s="53"/>
      <c r="Q23" s="88">
        <f>IF(B23="",0,IFERROR(SUMIFS('📅 الحضور'!$J:$J,'📅 الحضور'!$B:$B,B23,'📅 الحضور'!$L:$L,PayPeriod),0))</f>
        <v>8.4000000000000039</v>
      </c>
      <c r="R23" s="89">
        <f t="shared" si="4"/>
        <v>446.25000000000017</v>
      </c>
      <c r="S23" s="89">
        <f>IF(B23="",0,IF(IFERROR(VLOOKUP(B23,'👥 بيانات الموظفين'!$B:$D,3,0),"")="سعودي",MIN(F23+G23,GosiCeiling)*GosiEmpRate,IF(IFERROR(VLOOKUP(B23,'👥 بيانات الموظفين'!$B:$D,3,0),"")="سعودية",MIN(F23+G23,GosiCeiling)*GosiEmpRate,0)))</f>
        <v>0</v>
      </c>
      <c r="T23" s="89">
        <f>IF(B23="",0,IF(OR(IFERROR(VLOOKUP(B23,'👥 بيانات الموظفين'!$B:$D,3,0),"")="سعودي",IFERROR(VLOOKUP(B23,'👥 بيانات الموظفين'!$B:$D,3,0),"")="سعودية"),MIN(F23+G23,GosiCeiling)*GosiCoRate,(F23+G23)*0.02))</f>
        <v>212.5</v>
      </c>
      <c r="U23" s="89">
        <f ca="1">IF(B23="",0,IFERROR(IF(VLOOKUP(B23,'👥 بيانات الموظفين'!$B:$M,12,0)&lt;5,F23/24,F23/12),0))</f>
        <v>354.16666666666669</v>
      </c>
    </row>
    <row r="24" spans="1:21" ht="22.15" customHeight="1" x14ac:dyDescent="0.2">
      <c r="A24" s="57">
        <f t="shared" si="0"/>
        <v>20</v>
      </c>
      <c r="B24" s="57" t="str">
        <f>IFERROR('👥 بيانات الموظفين'!B24,"")</f>
        <v>EMP020</v>
      </c>
      <c r="C24" s="57" t="str">
        <f>IFERROR(VLOOKUP(B24,'👥 بيانات الموظفين'!$B:$C,2,0),"")</f>
        <v>حنان عبدالكريم الخميس</v>
      </c>
      <c r="D24" s="57" t="str">
        <f>IFERROR(VLOOKUP(B24,'👥 بيانات الموظفين'!$B:$E,4,0),"")</f>
        <v>الموارد البشرية</v>
      </c>
      <c r="E24" s="69">
        <f>IF(B24="",0,IFERROR(COUNTIFS('📅 الحضور'!$B:$B,B24,'📅 الحضور'!$L:$L,PayPeriod,'📅 الحضور'!$E:$E,"حاضر")+COUNTIFS('📅 الحضور'!$B:$B,B24,'📅 الحضور'!$L:$L,PayPeriod,'📅 الحضور'!$E:$E,"متأخر"),0))</f>
        <v>15</v>
      </c>
      <c r="F24" s="83">
        <f>IFERROR(VLOOKUP(B24,'👥 بيانات الموظفين'!$B:$H,7,0),0)</f>
        <v>16000</v>
      </c>
      <c r="G24" s="83">
        <f>IFERROR(VLOOKUP(B24,'👥 بيانات الموظفين'!$B:$I,8,0),0)</f>
        <v>4000</v>
      </c>
      <c r="H24" s="83">
        <f>IFERROR(VLOOKUP(B24,'👥 بيانات الموظفين'!$B:$J,9,0),0)</f>
        <v>1100</v>
      </c>
      <c r="I24" s="83">
        <f>IF(B24="",0,IFERROR(SUMIFS('➕ الخصومات والمكافآت'!$E:$E,'➕ الخصومات والمكافآت'!$B:$B,B24,'➕ الخصومات والمكافآت'!$F:$F,PayPeriod,'➕ الخصومات والمكافآت'!$C:$C,"مكافأة"),0))</f>
        <v>3700</v>
      </c>
      <c r="J24" s="83">
        <f t="shared" si="1"/>
        <v>26410</v>
      </c>
      <c r="K24" s="83">
        <f>IF(B24="",0,IFERROR(COUNTIFS('📅 الحضور'!$B:$B,B24,'📅 الحضور'!$L:$L,PayPeriod,'📅 الحضور'!$E:$E,"غائب")*F24/WorkDaysMonth,0))</f>
        <v>0</v>
      </c>
      <c r="L24" s="83">
        <f>IF(B24="",0,IFERROR(SUMIFS('📅 الحضور'!$I:$I,'📅 الحضور'!$B:$B,B24,'📅 الحضور'!$L:$L,PayPeriod)/60/WorkHoursDay*F24/WorkDaysMonth,0))</f>
        <v>18.888888888888914</v>
      </c>
      <c r="M24" s="83">
        <f>IF(B24="",0,IFERROR(SUMIFS('➕ الخصومات والمكافآت'!$E:$E,'➕ الخصومات والمكافآت'!$B:$B,B24,'➕ الخصومات والمكافآت'!$F:$F,PayPeriod,'➕ الخصومات والمكافآت'!$C:$C,"خصم"),0))</f>
        <v>0</v>
      </c>
      <c r="N24" s="83">
        <f t="shared" si="2"/>
        <v>2018.8888888888889</v>
      </c>
      <c r="O24" s="95">
        <f t="shared" si="3"/>
        <v>24391.111111111109</v>
      </c>
      <c r="P24" s="57"/>
      <c r="Q24" s="90">
        <f>IF(B24="",0,IFERROR(SUMIFS('📅 الحضور'!$J:$J,'📅 الحضور'!$B:$B,B24,'📅 الحضور'!$L:$L,PayPeriod),0))</f>
        <v>16.100000000000009</v>
      </c>
      <c r="R24" s="91">
        <f t="shared" si="4"/>
        <v>1610.0000000000009</v>
      </c>
      <c r="S24" s="91">
        <f>IF(B24="",0,IF(IFERROR(VLOOKUP(B24,'👥 بيانات الموظفين'!$B:$D,3,0),"")="سعودي",MIN(F24+G24,GosiCeiling)*GosiEmpRate,IF(IFERROR(VLOOKUP(B24,'👥 بيانات الموظفين'!$B:$D,3,0),"")="سعودية",MIN(F24+G24,GosiCeiling)*GosiEmpRate,0)))</f>
        <v>2000</v>
      </c>
      <c r="T24" s="91">
        <f>IF(B24="",0,IF(OR(IFERROR(VLOOKUP(B24,'👥 بيانات الموظفين'!$B:$D,3,0),"")="سعودي",IFERROR(VLOOKUP(B24,'👥 بيانات الموظفين'!$B:$D,3,0),"")="سعودية"),MIN(F24+G24,GosiCeiling)*GosiCoRate,(F24+G24)*0.02))</f>
        <v>2400</v>
      </c>
      <c r="U24" s="91">
        <f ca="1">IF(B24="",0,IFERROR(IF(VLOOKUP(B24,'👥 بيانات الموظفين'!$B:$M,12,0)&lt;5,F24/24,F24/12),0))</f>
        <v>1333.3333333333333</v>
      </c>
    </row>
    <row r="25" spans="1:21" ht="22.15" customHeight="1" x14ac:dyDescent="0.2">
      <c r="A25" s="53">
        <f t="shared" si="0"/>
        <v>21</v>
      </c>
      <c r="B25" s="53" t="str">
        <f>IFERROR('👥 بيانات الموظفين'!B25,"")</f>
        <v>EMP021</v>
      </c>
      <c r="C25" s="53" t="str">
        <f>IFERROR(VLOOKUP(B25,'👥 بيانات الموظفين'!$B:$C,2,0),"")</f>
        <v>ريان محمد العسيري</v>
      </c>
      <c r="D25" s="53" t="str">
        <f>IFERROR(VLOOKUP(B25,'👥 بيانات الموظفين'!$B:$E,4,0),"")</f>
        <v>الموارد البشرية</v>
      </c>
      <c r="E25" s="68">
        <f>IF(B25="",0,IFERROR(COUNTIFS('📅 الحضور'!$B:$B,B25,'📅 الحضور'!$L:$L,PayPeriod,'📅 الحضور'!$E:$E,"حاضر")+COUNTIFS('📅 الحضور'!$B:$B,B25,'📅 الحضور'!$L:$L,PayPeriod,'📅 الحضور'!$E:$E,"متأخر"),0))</f>
        <v>14</v>
      </c>
      <c r="F25" s="82">
        <f>IFERROR(VLOOKUP(B25,'👥 بيانات الموظفين'!$B:$H,7,0),0)</f>
        <v>8500</v>
      </c>
      <c r="G25" s="82">
        <f>IFERROR(VLOOKUP(B25,'👥 بيانات الموظفين'!$B:$I,8,0),0)</f>
        <v>2125</v>
      </c>
      <c r="H25" s="82">
        <f>IFERROR(VLOOKUP(B25,'👥 بيانات الموظفين'!$B:$J,9,0),0)</f>
        <v>700</v>
      </c>
      <c r="I25" s="82">
        <f>IF(B25="",0,IFERROR(SUMIFS('➕ الخصومات والمكافآت'!$E:$E,'➕ الخصومات والمكافآت'!$B:$B,B25,'➕ الخصومات والمكافآت'!$F:$F,PayPeriod,'➕ الخصومات والمكافآت'!$C:$C,"مكافأة"),0))</f>
        <v>0</v>
      </c>
      <c r="J25" s="82">
        <f t="shared" si="1"/>
        <v>12175.885416666666</v>
      </c>
      <c r="K25" s="82">
        <f>IF(B25="",0,IFERROR(COUNTIFS('📅 الحضور'!$B:$B,B25,'📅 الحضور'!$L:$L,PayPeriod,'📅 الحضور'!$E:$E,"غائب")*F25/WorkDaysMonth,0))</f>
        <v>0</v>
      </c>
      <c r="L25" s="82">
        <f>IF(B25="",0,IFERROR(SUMIFS('📅 الحضور'!$I:$I,'📅 الحضور'!$B:$B,B25,'📅 الحضور'!$L:$L,PayPeriod)/60/WorkHoursDay*F25/WorkDaysMonth,0))</f>
        <v>12.395833333333384</v>
      </c>
      <c r="M25" s="82">
        <f>IF(B25="",0,IFERROR(SUMIFS('➕ الخصومات والمكافآت'!$E:$E,'➕ الخصومات والمكافآت'!$B:$B,B25,'➕ الخصومات والمكافآت'!$F:$F,PayPeriod,'➕ الخصومات والمكافآت'!$C:$C,"خصم"),0))</f>
        <v>0</v>
      </c>
      <c r="N25" s="82">
        <f t="shared" si="2"/>
        <v>1074.8958333333335</v>
      </c>
      <c r="O25" s="94">
        <f t="shared" si="3"/>
        <v>11100.989583333332</v>
      </c>
      <c r="P25" s="53"/>
      <c r="Q25" s="88">
        <f>IF(B25="",0,IFERROR(SUMIFS('📅 الحضور'!$J:$J,'📅 الحضور'!$B:$B,B25,'📅 الحضور'!$L:$L,PayPeriod),0))</f>
        <v>16.016666666666673</v>
      </c>
      <c r="R25" s="89">
        <f t="shared" si="4"/>
        <v>850.88541666666686</v>
      </c>
      <c r="S25" s="89">
        <f>IF(B25="",0,IF(IFERROR(VLOOKUP(B25,'👥 بيانات الموظفين'!$B:$D,3,0),"")="سعودي",MIN(F25+G25,GosiCeiling)*GosiEmpRate,IF(IFERROR(VLOOKUP(B25,'👥 بيانات الموظفين'!$B:$D,3,0),"")="سعودية",MIN(F25+G25,GosiCeiling)*GosiEmpRate,0)))</f>
        <v>1062.5</v>
      </c>
      <c r="T25" s="89">
        <f>IF(B25="",0,IF(OR(IFERROR(VLOOKUP(B25,'👥 بيانات الموظفين'!$B:$D,3,0),"")="سعودي",IFERROR(VLOOKUP(B25,'👥 بيانات الموظفين'!$B:$D,3,0),"")="سعودية"),MIN(F25+G25,GosiCeiling)*GosiCoRate,(F25+G25)*0.02))</f>
        <v>1275</v>
      </c>
      <c r="U25" s="89">
        <f ca="1">IF(B25="",0,IFERROR(IF(VLOOKUP(B25,'👥 بيانات الموظفين'!$B:$M,12,0)&lt;5,F25/24,F25/12),0))</f>
        <v>354.16666666666669</v>
      </c>
    </row>
    <row r="26" spans="1:21" ht="22.15" customHeight="1" x14ac:dyDescent="0.2">
      <c r="A26" s="57">
        <f t="shared" si="0"/>
        <v>22</v>
      </c>
      <c r="B26" s="57" t="str">
        <f>IFERROR('👥 بيانات الموظفين'!B26,"")</f>
        <v>EMP022</v>
      </c>
      <c r="C26" s="57" t="str">
        <f>IFERROR(VLOOKUP(B26,'👥 بيانات الموظفين'!$B:$C,2,0),"")</f>
        <v>عبدالله صالح الراشد</v>
      </c>
      <c r="D26" s="57" t="str">
        <f>IFERROR(VLOOKUP(B26,'👥 بيانات الموظفين'!$B:$E,4,0),"")</f>
        <v>المحاسبة</v>
      </c>
      <c r="E26" s="69">
        <f>IF(B26="",0,IFERROR(COUNTIFS('📅 الحضور'!$B:$B,B26,'📅 الحضور'!$L:$L,PayPeriod,'📅 الحضور'!$E:$E,"حاضر")+COUNTIFS('📅 الحضور'!$B:$B,B26,'📅 الحضور'!$L:$L,PayPeriod,'📅 الحضور'!$E:$E,"متأخر"),0))</f>
        <v>15</v>
      </c>
      <c r="F26" s="83">
        <f>IFERROR(VLOOKUP(B26,'👥 بيانات الموظفين'!$B:$H,7,0),0)</f>
        <v>17000</v>
      </c>
      <c r="G26" s="83">
        <f>IFERROR(VLOOKUP(B26,'👥 بيانات الموظفين'!$B:$I,8,0),0)</f>
        <v>4250</v>
      </c>
      <c r="H26" s="83">
        <f>IFERROR(VLOOKUP(B26,'👥 بيانات الموظفين'!$B:$J,9,0),0)</f>
        <v>1100</v>
      </c>
      <c r="I26" s="83">
        <f>IF(B26="",0,IFERROR(SUMIFS('➕ الخصومات والمكافآت'!$E:$E,'➕ الخصومات والمكافآت'!$B:$B,B26,'➕ الخصومات والمكافآت'!$F:$F,PayPeriod,'➕ الخصومات والمكافآت'!$C:$C,"مكافأة"),0))</f>
        <v>2000</v>
      </c>
      <c r="J26" s="83">
        <f t="shared" si="1"/>
        <v>26051.770833333332</v>
      </c>
      <c r="K26" s="83">
        <f>IF(B26="",0,IFERROR(COUNTIFS('📅 الحضور'!$B:$B,B26,'📅 الحضور'!$L:$L,PayPeriod,'📅 الحضور'!$E:$E,"غائب")*F26/WorkDaysMonth,0))</f>
        <v>0</v>
      </c>
      <c r="L26" s="83">
        <f>IF(B26="",0,IFERROR(SUMIFS('📅 الحضور'!$I:$I,'📅 الحضور'!$B:$B,B26,'📅 الحضور'!$L:$L,PayPeriod)/60/WorkHoursDay*F26/WorkDaysMonth,0))</f>
        <v>47.222222222222236</v>
      </c>
      <c r="M26" s="83">
        <f>IF(B26="",0,IFERROR(SUMIFS('➕ الخصومات والمكافآت'!$E:$E,'➕ الخصومات والمكافآت'!$B:$B,B26,'➕ الخصومات والمكافآت'!$F:$F,PayPeriod,'➕ الخصومات والمكافآت'!$C:$C,"خصم"),0))</f>
        <v>0</v>
      </c>
      <c r="N26" s="83">
        <f t="shared" si="2"/>
        <v>2172.2222222222222</v>
      </c>
      <c r="O26" s="95">
        <f t="shared" si="3"/>
        <v>23879.548611111109</v>
      </c>
      <c r="P26" s="57"/>
      <c r="Q26" s="90">
        <f>IF(B26="",0,IFERROR(SUMIFS('📅 الحضور'!$J:$J,'📅 الحضور'!$B:$B,B26,'📅 الحضور'!$L:$L,PayPeriod),0))</f>
        <v>16.016666666666673</v>
      </c>
      <c r="R26" s="91">
        <f t="shared" si="4"/>
        <v>1701.7708333333337</v>
      </c>
      <c r="S26" s="91">
        <f>IF(B26="",0,IF(IFERROR(VLOOKUP(B26,'👥 بيانات الموظفين'!$B:$D,3,0),"")="سعودي",MIN(F26+G26,GosiCeiling)*GosiEmpRate,IF(IFERROR(VLOOKUP(B26,'👥 بيانات الموظفين'!$B:$D,3,0),"")="سعودية",MIN(F26+G26,GosiCeiling)*GosiEmpRate,0)))</f>
        <v>2125</v>
      </c>
      <c r="T26" s="91">
        <f>IF(B26="",0,IF(OR(IFERROR(VLOOKUP(B26,'👥 بيانات الموظفين'!$B:$D,3,0),"")="سعودي",IFERROR(VLOOKUP(B26,'👥 بيانات الموظفين'!$B:$D,3,0),"")="سعودية"),MIN(F26+G26,GosiCeiling)*GosiCoRate,(F26+G26)*0.02))</f>
        <v>2550</v>
      </c>
      <c r="U26" s="91">
        <f ca="1">IF(B26="",0,IFERROR(IF(VLOOKUP(B26,'👥 بيانات الموظفين'!$B:$M,12,0)&lt;5,F26/24,F26/12),0))</f>
        <v>1416.6666666666667</v>
      </c>
    </row>
    <row r="27" spans="1:21" ht="22.15" customHeight="1" x14ac:dyDescent="0.2">
      <c r="A27" s="53">
        <f t="shared" si="0"/>
        <v>23</v>
      </c>
      <c r="B27" s="53" t="str">
        <f>IFERROR('👥 بيانات الموظفين'!B27,"")</f>
        <v>EMP023</v>
      </c>
      <c r="C27" s="53" t="str">
        <f>IFERROR(VLOOKUP(B27,'👥 بيانات الموظفين'!$B:$C,2,0),"")</f>
        <v>منى عبدالله الجهني</v>
      </c>
      <c r="D27" s="53" t="str">
        <f>IFERROR(VLOOKUP(B27,'👥 بيانات الموظفين'!$B:$E,4,0),"")</f>
        <v>المحاسبة</v>
      </c>
      <c r="E27" s="68">
        <f>IF(B27="",0,IFERROR(COUNTIFS('📅 الحضور'!$B:$B,B27,'📅 الحضور'!$L:$L,PayPeriod,'📅 الحضور'!$E:$E,"حاضر")+COUNTIFS('📅 الحضور'!$B:$B,B27,'📅 الحضور'!$L:$L,PayPeriod,'📅 الحضور'!$E:$E,"متأخر"),0))</f>
        <v>15</v>
      </c>
      <c r="F27" s="82">
        <f>IFERROR(VLOOKUP(B27,'👥 بيانات الموظفين'!$B:$H,7,0),0)</f>
        <v>9500</v>
      </c>
      <c r="G27" s="82">
        <f>IFERROR(VLOOKUP(B27,'👥 بيانات الموظفين'!$B:$I,8,0),0)</f>
        <v>2375</v>
      </c>
      <c r="H27" s="82">
        <f>IFERROR(VLOOKUP(B27,'👥 بيانات الموظفين'!$B:$J,9,0),0)</f>
        <v>750</v>
      </c>
      <c r="I27" s="82">
        <f>IF(B27="",0,IFERROR(SUMIFS('➕ الخصومات والمكافآت'!$E:$E,'➕ الخصومات والمكافآت'!$B:$B,B27,'➕ الخصومات والمكافآت'!$F:$F,PayPeriod,'➕ الخصومات والمكافآت'!$C:$C,"مكافأة"),0))</f>
        <v>0</v>
      </c>
      <c r="J27" s="82">
        <f t="shared" si="1"/>
        <v>13630.416666666668</v>
      </c>
      <c r="K27" s="82">
        <f>IF(B27="",0,IFERROR(COUNTIFS('📅 الحضور'!$B:$B,B27,'📅 الحضور'!$L:$L,PayPeriod,'📅 الحضور'!$E:$E,"غائب")*F27/WorkDaysMonth,0))</f>
        <v>0</v>
      </c>
      <c r="L27" s="82">
        <f>IF(B27="",0,IFERROR(SUMIFS('📅 الحضور'!$I:$I,'📅 الحضور'!$B:$B,B27,'📅 الحضور'!$L:$L,PayPeriod)/60/WorkHoursDay*F27/WorkDaysMonth,0))</f>
        <v>13.854166666666673</v>
      </c>
      <c r="M27" s="82">
        <f>IF(B27="",0,IFERROR(SUMIFS('➕ الخصومات والمكافآت'!$E:$E,'➕ الخصومات والمكافآت'!$B:$B,B27,'➕ الخصومات والمكافآت'!$F:$F,PayPeriod,'➕ الخصومات والمكافآت'!$C:$C,"خصم"),0))</f>
        <v>0</v>
      </c>
      <c r="N27" s="82">
        <f t="shared" si="2"/>
        <v>1201.3541666666667</v>
      </c>
      <c r="O27" s="94">
        <f t="shared" si="3"/>
        <v>12429.062500000002</v>
      </c>
      <c r="P27" s="53"/>
      <c r="Q27" s="88">
        <f>IF(B27="",0,IFERROR(SUMIFS('📅 الحضور'!$J:$J,'📅 الحضور'!$B:$B,B27,'📅 الحضور'!$L:$L,PayPeriod),0))</f>
        <v>16.933333333333344</v>
      </c>
      <c r="R27" s="89">
        <f t="shared" si="4"/>
        <v>1005.4166666666674</v>
      </c>
      <c r="S27" s="89">
        <f>IF(B27="",0,IF(IFERROR(VLOOKUP(B27,'👥 بيانات الموظفين'!$B:$D,3,0),"")="سعودي",MIN(F27+G27,GosiCeiling)*GosiEmpRate,IF(IFERROR(VLOOKUP(B27,'👥 بيانات الموظفين'!$B:$D,3,0),"")="سعودية",MIN(F27+G27,GosiCeiling)*GosiEmpRate,0)))</f>
        <v>1187.5</v>
      </c>
      <c r="T27" s="89">
        <f>IF(B27="",0,IF(OR(IFERROR(VLOOKUP(B27,'👥 بيانات الموظفين'!$B:$D,3,0),"")="سعودي",IFERROR(VLOOKUP(B27,'👥 بيانات الموظفين'!$B:$D,3,0),"")="سعودية"),MIN(F27+G27,GosiCeiling)*GosiCoRate,(F27+G27)*0.02))</f>
        <v>1425</v>
      </c>
      <c r="U27" s="89">
        <f ca="1">IF(B27="",0,IFERROR(IF(VLOOKUP(B27,'👥 بيانات الموظفين'!$B:$M,12,0)&lt;5,F27/24,F27/12),0))</f>
        <v>395.83333333333331</v>
      </c>
    </row>
    <row r="28" spans="1:21" ht="22.15" customHeight="1" x14ac:dyDescent="0.2">
      <c r="A28" s="57">
        <f t="shared" si="0"/>
        <v>24</v>
      </c>
      <c r="B28" s="57" t="str">
        <f>IFERROR('👥 بيانات الموظفين'!B28,"")</f>
        <v>EMP024</v>
      </c>
      <c r="C28" s="57" t="str">
        <f>IFERROR(VLOOKUP(B28,'👥 بيانات الموظفين'!$B:$C,2,0),"")</f>
        <v>Hassan Ali Khoury</v>
      </c>
      <c r="D28" s="57" t="str">
        <f>IFERROR(VLOOKUP(B28,'👥 بيانات الموظفين'!$B:$E,4,0),"")</f>
        <v>المحاسبة</v>
      </c>
      <c r="E28" s="69">
        <f>IF(B28="",0,IFERROR(COUNTIFS('📅 الحضور'!$B:$B,B28,'📅 الحضور'!$L:$L,PayPeriod,'📅 الحضور'!$E:$E,"حاضر")+COUNTIFS('📅 الحضور'!$B:$B,B28,'📅 الحضور'!$L:$L,PayPeriod,'📅 الحضور'!$E:$E,"متأخر"),0))</f>
        <v>15</v>
      </c>
      <c r="F28" s="83">
        <f>IFERROR(VLOOKUP(B28,'👥 بيانات الموظفين'!$B:$H,7,0),0)</f>
        <v>8000</v>
      </c>
      <c r="G28" s="83">
        <f>IFERROR(VLOOKUP(B28,'👥 بيانات الموظفين'!$B:$I,8,0),0)</f>
        <v>2000</v>
      </c>
      <c r="H28" s="83">
        <f>IFERROR(VLOOKUP(B28,'👥 بيانات الموظفين'!$B:$J,9,0),0)</f>
        <v>700</v>
      </c>
      <c r="I28" s="83">
        <f>IF(B28="",0,IFERROR(SUMIFS('➕ الخصومات والمكافآت'!$E:$E,'➕ الخصومات والمكافآت'!$B:$B,B28,'➕ الخصومات والمكافآت'!$F:$F,PayPeriod,'➕ الخصومات والمكافآت'!$C:$C,"مكافأة"),0))</f>
        <v>0</v>
      </c>
      <c r="J28" s="83">
        <f t="shared" si="1"/>
        <v>11592.5</v>
      </c>
      <c r="K28" s="83">
        <f>IF(B28="",0,IFERROR(COUNTIFS('📅 الحضور'!$B:$B,B28,'📅 الحضور'!$L:$L,PayPeriod,'📅 الحضور'!$E:$E,"غائب")*F28/WorkDaysMonth,0))</f>
        <v>0</v>
      </c>
      <c r="L28" s="83">
        <f>IF(B28="",0,IFERROR(SUMIFS('📅 الحضور'!$I:$I,'📅 الحضور'!$B:$B,B28,'📅 الحضور'!$L:$L,PayPeriod)/60/WorkHoursDay*F28/WorkDaysMonth,0))</f>
        <v>12.777777777777779</v>
      </c>
      <c r="M28" s="83">
        <f>IF(B28="",0,IFERROR(SUMIFS('➕ الخصومات والمكافآت'!$E:$E,'➕ الخصومات والمكافآت'!$B:$B,B28,'➕ الخصومات والمكافآت'!$F:$F,PayPeriod,'➕ الخصومات والمكافآت'!$C:$C,"خصم"),0))</f>
        <v>400</v>
      </c>
      <c r="N28" s="83">
        <f t="shared" si="2"/>
        <v>412.77777777777777</v>
      </c>
      <c r="O28" s="95">
        <f t="shared" si="3"/>
        <v>11179.722222222223</v>
      </c>
      <c r="P28" s="57"/>
      <c r="Q28" s="90">
        <f>IF(B28="",0,IFERROR(SUMIFS('📅 الحضور'!$J:$J,'📅 الحضور'!$B:$B,B28,'📅 الحضور'!$L:$L,PayPeriod),0))</f>
        <v>17.850000000000009</v>
      </c>
      <c r="R28" s="91">
        <f t="shared" si="4"/>
        <v>892.50000000000045</v>
      </c>
      <c r="S28" s="91">
        <f>IF(B28="",0,IF(IFERROR(VLOOKUP(B28,'👥 بيانات الموظفين'!$B:$D,3,0),"")="سعودي",MIN(F28+G28,GosiCeiling)*GosiEmpRate,IF(IFERROR(VLOOKUP(B28,'👥 بيانات الموظفين'!$B:$D,3,0),"")="سعودية",MIN(F28+G28,GosiCeiling)*GosiEmpRate,0)))</f>
        <v>0</v>
      </c>
      <c r="T28" s="91">
        <f>IF(B28="",0,IF(OR(IFERROR(VLOOKUP(B28,'👥 بيانات الموظفين'!$B:$D,3,0),"")="سعودي",IFERROR(VLOOKUP(B28,'👥 بيانات الموظفين'!$B:$D,3,0),"")="سعودية"),MIN(F28+G28,GosiCeiling)*GosiCoRate,(F28+G28)*0.02))</f>
        <v>200</v>
      </c>
      <c r="U28" s="91">
        <f ca="1">IF(B28="",0,IFERROR(IF(VLOOKUP(B28,'👥 بيانات الموظفين'!$B:$M,12,0)&lt;5,F28/24,F28/12),0))</f>
        <v>333.33333333333331</v>
      </c>
    </row>
    <row r="29" spans="1:21" ht="22.15" customHeight="1" x14ac:dyDescent="0.2">
      <c r="A29" s="53">
        <f t="shared" si="0"/>
        <v>25</v>
      </c>
      <c r="B29" s="53" t="str">
        <f>IFERROR('👥 بيانات الموظفين'!B29,"")</f>
        <v>EMP025</v>
      </c>
      <c r="C29" s="53" t="str">
        <f>IFERROR(VLOOKUP(B29,'👥 بيانات الموظفين'!$B:$C,2,0),"")</f>
        <v>ناصر علي الشمراني</v>
      </c>
      <c r="D29" s="53" t="str">
        <f>IFERROR(VLOOKUP(B29,'👥 بيانات الموظفين'!$B:$E,4,0),"")</f>
        <v>خدمة العملاء</v>
      </c>
      <c r="E29" s="68">
        <f>IF(B29="",0,IFERROR(COUNTIFS('📅 الحضور'!$B:$B,B29,'📅 الحضور'!$L:$L,PayPeriod,'📅 الحضور'!$E:$E,"حاضر")+COUNTIFS('📅 الحضور'!$B:$B,B29,'📅 الحضور'!$L:$L,PayPeriod,'📅 الحضور'!$E:$E,"متأخر"),0))</f>
        <v>15</v>
      </c>
      <c r="F29" s="82">
        <f>IFERROR(VLOOKUP(B29,'👥 بيانات الموظفين'!$B:$H,7,0),0)</f>
        <v>11000</v>
      </c>
      <c r="G29" s="82">
        <f>IFERROR(VLOOKUP(B29,'👥 بيانات الموظفين'!$B:$I,8,0),0)</f>
        <v>2750</v>
      </c>
      <c r="H29" s="82">
        <f>IFERROR(VLOOKUP(B29,'👥 بيانات الموظفين'!$B:$J,9,0),0)</f>
        <v>900</v>
      </c>
      <c r="I29" s="82">
        <f>IF(B29="",0,IFERROR(SUMIFS('➕ الخصومات والمكافآت'!$E:$E,'➕ الخصومات والمكافآت'!$B:$B,B29,'➕ الخصومات والمكافآت'!$F:$F,PayPeriod,'➕ الخصومات والمكافآت'!$C:$C,"مكافأة"),0))</f>
        <v>2400</v>
      </c>
      <c r="J29" s="82">
        <f t="shared" si="1"/>
        <v>18254.270833333332</v>
      </c>
      <c r="K29" s="82">
        <f>IF(B29="",0,IFERROR(COUNTIFS('📅 الحضور'!$B:$B,B29,'📅 الحضور'!$L:$L,PayPeriod,'📅 الحضور'!$E:$E,"غائب")*F29/WorkDaysMonth,0))</f>
        <v>0</v>
      </c>
      <c r="L29" s="82">
        <f>IF(B29="",0,IFERROR(SUMIFS('📅 الحضور'!$I:$I,'📅 الحضور'!$B:$B,B29,'📅 الحضور'!$L:$L,PayPeriod)/60/WorkHoursDay*F29/WorkDaysMonth,0))</f>
        <v>16.805555555555554</v>
      </c>
      <c r="M29" s="82">
        <f>IF(B29="",0,IFERROR(SUMIFS('➕ الخصومات والمكافآت'!$E:$E,'➕ الخصومات والمكافآت'!$B:$B,B29,'➕ الخصومات والمكافآت'!$F:$F,PayPeriod,'➕ الخصومات والمكافآت'!$C:$C,"خصم"),0))</f>
        <v>0</v>
      </c>
      <c r="N29" s="82">
        <f t="shared" si="2"/>
        <v>1391.8055555555557</v>
      </c>
      <c r="O29" s="94">
        <f t="shared" si="3"/>
        <v>16862.465277777777</v>
      </c>
      <c r="P29" s="53"/>
      <c r="Q29" s="88">
        <f>IF(B29="",0,IFERROR(SUMIFS('📅 الحضور'!$J:$J,'📅 الحضور'!$B:$B,B29,'📅 الحضور'!$L:$L,PayPeriod),0))</f>
        <v>17.516666666666673</v>
      </c>
      <c r="R29" s="89">
        <f t="shared" si="4"/>
        <v>1204.2708333333337</v>
      </c>
      <c r="S29" s="89">
        <f>IF(B29="",0,IF(IFERROR(VLOOKUP(B29,'👥 بيانات الموظفين'!$B:$D,3,0),"")="سعودي",MIN(F29+G29,GosiCeiling)*GosiEmpRate,IF(IFERROR(VLOOKUP(B29,'👥 بيانات الموظفين'!$B:$D,3,0),"")="سعودية",MIN(F29+G29,GosiCeiling)*GosiEmpRate,0)))</f>
        <v>1375</v>
      </c>
      <c r="T29" s="89">
        <f>IF(B29="",0,IF(OR(IFERROR(VLOOKUP(B29,'👥 بيانات الموظفين'!$B:$D,3,0),"")="سعودي",IFERROR(VLOOKUP(B29,'👥 بيانات الموظفين'!$B:$D,3,0),"")="سعودية"),MIN(F29+G29,GosiCeiling)*GosiCoRate,(F29+G29)*0.02))</f>
        <v>1650</v>
      </c>
      <c r="U29" s="89">
        <f ca="1">IF(B29="",0,IFERROR(IF(VLOOKUP(B29,'👥 بيانات الموظفين'!$B:$M,12,0)&lt;5,F29/24,F29/12),0))</f>
        <v>916.66666666666663</v>
      </c>
    </row>
    <row r="30" spans="1:21" ht="22.15" customHeight="1" x14ac:dyDescent="0.2">
      <c r="A30" s="57">
        <f t="shared" si="0"/>
        <v>26</v>
      </c>
      <c r="B30" s="57" t="str">
        <f>IFERROR('👥 بيانات الموظفين'!B30,"")</f>
        <v>EMP026</v>
      </c>
      <c r="C30" s="57" t="str">
        <f>IFERROR(VLOOKUP(B30,'👥 بيانات الموظفين'!$B:$C,2,0),"")</f>
        <v>عبير ماجد الصاعدي</v>
      </c>
      <c r="D30" s="57" t="str">
        <f>IFERROR(VLOOKUP(B30,'👥 بيانات الموظفين'!$B:$E,4,0),"")</f>
        <v>خدمة العملاء</v>
      </c>
      <c r="E30" s="69">
        <f>IF(B30="",0,IFERROR(COUNTIFS('📅 الحضور'!$B:$B,B30,'📅 الحضور'!$L:$L,PayPeriod,'📅 الحضور'!$E:$E,"حاضر")+COUNTIFS('📅 الحضور'!$B:$B,B30,'📅 الحضور'!$L:$L,PayPeriod,'📅 الحضور'!$E:$E,"متأخر"),0))</f>
        <v>3</v>
      </c>
      <c r="F30" s="83">
        <f>IFERROR(VLOOKUP(B30,'👥 بيانات الموظفين'!$B:$H,7,0),0)</f>
        <v>6500</v>
      </c>
      <c r="G30" s="83">
        <f>IFERROR(VLOOKUP(B30,'👥 بيانات الموظفين'!$B:$I,8,0),0)</f>
        <v>1625</v>
      </c>
      <c r="H30" s="83">
        <f>IFERROR(VLOOKUP(B30,'👥 بيانات الموظفين'!$B:$J,9,0),0)</f>
        <v>500</v>
      </c>
      <c r="I30" s="83">
        <f>IF(B30="",0,IFERROR(SUMIFS('➕ الخصومات والمكافآت'!$E:$E,'➕ الخصومات والمكافآت'!$B:$B,B30,'➕ الخصومات والمكافآت'!$F:$F,PayPeriod,'➕ الخصومات والمكافآت'!$C:$C,"مكافأة"),0))</f>
        <v>0</v>
      </c>
      <c r="J30" s="83">
        <f t="shared" si="1"/>
        <v>8748.2291666666661</v>
      </c>
      <c r="K30" s="83">
        <f>IF(B30="",0,IFERROR(COUNTIFS('📅 الحضور'!$B:$B,B30,'📅 الحضور'!$L:$L,PayPeriod,'📅 الحضور'!$E:$E,"غائب")*F30/WorkDaysMonth,0))</f>
        <v>0</v>
      </c>
      <c r="L30" s="83">
        <f>IF(B30="",0,IFERROR(SUMIFS('📅 الحضور'!$I:$I,'📅 الحضور'!$B:$B,B30,'📅 الحضور'!$L:$L,PayPeriod)/60/WorkHoursDay*F30/WorkDaysMonth,0))</f>
        <v>4.5138888888889088</v>
      </c>
      <c r="M30" s="83">
        <f>IF(B30="",0,IFERROR(SUMIFS('➕ الخصومات والمكافآت'!$E:$E,'➕ الخصومات والمكافآت'!$B:$B,B30,'➕ الخصومات والمكافآت'!$F:$F,PayPeriod,'➕ الخصومات والمكافآت'!$C:$C,"خصم"),0))</f>
        <v>0</v>
      </c>
      <c r="N30" s="83">
        <f t="shared" si="2"/>
        <v>817.01388888888891</v>
      </c>
      <c r="O30" s="95">
        <f t="shared" si="3"/>
        <v>7931.2152777777774</v>
      </c>
      <c r="P30" s="57"/>
      <c r="Q30" s="90">
        <f>IF(B30="",0,IFERROR(SUMIFS('📅 الحضور'!$J:$J,'📅 الحضور'!$B:$B,B30,'📅 الحضور'!$L:$L,PayPeriod),0))</f>
        <v>3.033333333333335</v>
      </c>
      <c r="R30" s="91">
        <f t="shared" si="4"/>
        <v>123.22916666666671</v>
      </c>
      <c r="S30" s="91">
        <f>IF(B30="",0,IF(IFERROR(VLOOKUP(B30,'👥 بيانات الموظفين'!$B:$D,3,0),"")="سعودي",MIN(F30+G30,GosiCeiling)*GosiEmpRate,IF(IFERROR(VLOOKUP(B30,'👥 بيانات الموظفين'!$B:$D,3,0),"")="سعودية",MIN(F30+G30,GosiCeiling)*GosiEmpRate,0)))</f>
        <v>812.5</v>
      </c>
      <c r="T30" s="91">
        <f>IF(B30="",0,IF(OR(IFERROR(VLOOKUP(B30,'👥 بيانات الموظفين'!$B:$D,3,0),"")="سعودي",IFERROR(VLOOKUP(B30,'👥 بيانات الموظفين'!$B:$D,3,0),"")="سعودية"),MIN(F30+G30,GosiCeiling)*GosiCoRate,(F30+G30)*0.02))</f>
        <v>975</v>
      </c>
      <c r="U30" s="91">
        <f ca="1">IF(B30="",0,IFERROR(IF(VLOOKUP(B30,'👥 بيانات الموظفين'!$B:$M,12,0)&lt;5,F30/24,F30/12),0))</f>
        <v>270.83333333333331</v>
      </c>
    </row>
    <row r="31" spans="1:21" ht="22.15" customHeight="1" x14ac:dyDescent="0.2">
      <c r="A31" s="53">
        <f t="shared" si="0"/>
        <v>27</v>
      </c>
      <c r="B31" s="53" t="str">
        <f>IFERROR('👥 بيانات الموظفين'!B31,"")</f>
        <v>EMP027</v>
      </c>
      <c r="C31" s="53" t="str">
        <f>IFERROR(VLOOKUP(B31,'👥 بيانات الموظفين'!$B:$C,2,0),"")</f>
        <v>Anwar Singh Rana</v>
      </c>
      <c r="D31" s="53" t="str">
        <f>IFERROR(VLOOKUP(B31,'👥 بيانات الموظفين'!$B:$E,4,0),"")</f>
        <v>خدمة العملاء</v>
      </c>
      <c r="E31" s="68">
        <f>IF(B31="",0,IFERROR(COUNTIFS('📅 الحضور'!$B:$B,B31,'📅 الحضور'!$L:$L,PayPeriod,'📅 الحضور'!$E:$E,"حاضر")+COUNTIFS('📅 الحضور'!$B:$B,B31,'📅 الحضور'!$L:$L,PayPeriod,'📅 الحضور'!$E:$E,"متأخر"),0))</f>
        <v>15</v>
      </c>
      <c r="F31" s="82">
        <f>IFERROR(VLOOKUP(B31,'👥 بيانات الموظفين'!$B:$H,7,0),0)</f>
        <v>5500</v>
      </c>
      <c r="G31" s="82">
        <f>IFERROR(VLOOKUP(B31,'👥 بيانات الموظفين'!$B:$I,8,0),0)</f>
        <v>1375</v>
      </c>
      <c r="H31" s="82">
        <f>IFERROR(VLOOKUP(B31,'👥 بيانات الموظفين'!$B:$J,9,0),0)</f>
        <v>500</v>
      </c>
      <c r="I31" s="82">
        <f>IF(B31="",0,IFERROR(SUMIFS('➕ الخصومات والمكافآت'!$E:$E,'➕ الخصومات والمكافآت'!$B:$B,B31,'➕ الخصومات والمكافآت'!$F:$F,PayPeriod,'➕ الخصومات والمكافآت'!$C:$C,"مكافأة"),0))</f>
        <v>0</v>
      </c>
      <c r="J31" s="82">
        <f t="shared" si="1"/>
        <v>7920.416666666667</v>
      </c>
      <c r="K31" s="82">
        <f>IF(B31="",0,IFERROR(COUNTIFS('📅 الحضور'!$B:$B,B31,'📅 الحضور'!$L:$L,PayPeriod,'📅 الحضور'!$E:$E,"غائب")*F31/WorkDaysMonth,0))</f>
        <v>0</v>
      </c>
      <c r="L31" s="82">
        <f>IF(B31="",0,IFERROR(SUMIFS('📅 الحضور'!$I:$I,'📅 الحضور'!$B:$B,B31,'📅 الحضور'!$L:$L,PayPeriod)/60/WorkHoursDay*F31/WorkDaysMonth,0))</f>
        <v>7.6388888888888911</v>
      </c>
      <c r="M31" s="82">
        <f>IF(B31="",0,IFERROR(SUMIFS('➕ الخصومات والمكافآت'!$E:$E,'➕ الخصومات والمكافآت'!$B:$B,B31,'➕ الخصومات والمكافآت'!$F:$F,PayPeriod,'➕ الخصومات والمكافآت'!$C:$C,"خصم"),0))</f>
        <v>0</v>
      </c>
      <c r="N31" s="82">
        <f t="shared" si="2"/>
        <v>7.6388888888888911</v>
      </c>
      <c r="O31" s="94">
        <f t="shared" si="3"/>
        <v>7912.7777777777783</v>
      </c>
      <c r="P31" s="53"/>
      <c r="Q31" s="88">
        <f>IF(B31="",0,IFERROR(SUMIFS('📅 الحضور'!$J:$J,'📅 الحضور'!$B:$B,B31,'📅 الحضور'!$L:$L,PayPeriod),0))</f>
        <v>15.866666666666674</v>
      </c>
      <c r="R31" s="89">
        <f t="shared" si="4"/>
        <v>545.41666666666697</v>
      </c>
      <c r="S31" s="89">
        <f>IF(B31="",0,IF(IFERROR(VLOOKUP(B31,'👥 بيانات الموظفين'!$B:$D,3,0),"")="سعودي",MIN(F31+G31,GosiCeiling)*GosiEmpRate,IF(IFERROR(VLOOKUP(B31,'👥 بيانات الموظفين'!$B:$D,3,0),"")="سعودية",MIN(F31+G31,GosiCeiling)*GosiEmpRate,0)))</f>
        <v>0</v>
      </c>
      <c r="T31" s="89">
        <f>IF(B31="",0,IF(OR(IFERROR(VLOOKUP(B31,'👥 بيانات الموظفين'!$B:$D,3,0),"")="سعودي",IFERROR(VLOOKUP(B31,'👥 بيانات الموظفين'!$B:$D,3,0),"")="سعودية"),MIN(F31+G31,GosiCeiling)*GosiCoRate,(F31+G31)*0.02))</f>
        <v>137.5</v>
      </c>
      <c r="U31" s="89">
        <f ca="1">IF(B31="",0,IFERROR(IF(VLOOKUP(B31,'👥 بيانات الموظفين'!$B:$M,12,0)&lt;5,F31/24,F31/12),0))</f>
        <v>229.16666666666666</v>
      </c>
    </row>
    <row r="32" spans="1:21" ht="22.15" customHeight="1" x14ac:dyDescent="0.2">
      <c r="A32" s="57">
        <f t="shared" si="0"/>
        <v>28</v>
      </c>
      <c r="B32" s="57" t="str">
        <f>IFERROR('👥 بيانات الموظفين'!B32,"")</f>
        <v>EMP028</v>
      </c>
      <c r="C32" s="57" t="str">
        <f>IFERROR(VLOOKUP(B32,'👥 بيانات الموظفين'!$B:$C,2,0),"")</f>
        <v>Sara Mahmoud Ibrahim</v>
      </c>
      <c r="D32" s="57" t="str">
        <f>IFERROR(VLOOKUP(B32,'👥 بيانات الموظفين'!$B:$E,4,0),"")</f>
        <v>خدمة العملاء</v>
      </c>
      <c r="E32" s="69">
        <f>IF(B32="",0,IFERROR(COUNTIFS('📅 الحضور'!$B:$B,B32,'📅 الحضور'!$L:$L,PayPeriod,'📅 الحضور'!$E:$E,"حاضر")+COUNTIFS('📅 الحضور'!$B:$B,B32,'📅 الحضور'!$L:$L,PayPeriod,'📅 الحضور'!$E:$E,"متأخر"),0))</f>
        <v>15</v>
      </c>
      <c r="F32" s="83">
        <f>IFERROR(VLOOKUP(B32,'👥 بيانات الموظفين'!$B:$H,7,0),0)</f>
        <v>5500</v>
      </c>
      <c r="G32" s="83">
        <f>IFERROR(VLOOKUP(B32,'👥 بيانات الموظفين'!$B:$I,8,0),0)</f>
        <v>1375</v>
      </c>
      <c r="H32" s="83">
        <f>IFERROR(VLOOKUP(B32,'👥 بيانات الموظفين'!$B:$J,9,0),0)</f>
        <v>500</v>
      </c>
      <c r="I32" s="83">
        <f>IF(B32="",0,IFERROR(SUMIFS('➕ الخصومات والمكافآت'!$E:$E,'➕ الخصومات والمكافآت'!$B:$B,B32,'➕ الخصومات والمكافآت'!$F:$F,PayPeriod,'➕ الخصومات والمكافآت'!$C:$C,"مكافأة"),0))</f>
        <v>0</v>
      </c>
      <c r="J32" s="83">
        <f t="shared" si="1"/>
        <v>7981.71875</v>
      </c>
      <c r="K32" s="83">
        <f>IF(B32="",0,IFERROR(COUNTIFS('📅 الحضور'!$B:$B,B32,'📅 الحضور'!$L:$L,PayPeriod,'📅 الحضور'!$E:$E,"غائب")*F32/WorkDaysMonth,0))</f>
        <v>0</v>
      </c>
      <c r="L32" s="83">
        <f>IF(B32="",0,IFERROR(SUMIFS('📅 الحضور'!$I:$I,'📅 الحضور'!$B:$B,B32,'📅 الحضور'!$L:$L,PayPeriod)/60/WorkHoursDay*F32/WorkDaysMonth,0))</f>
        <v>8.0208333333333357</v>
      </c>
      <c r="M32" s="83">
        <f>IF(B32="",0,IFERROR(SUMIFS('➕ الخصومات والمكافآت'!$E:$E,'➕ الخصومات والمكافآت'!$B:$B,B32,'➕ الخصومات والمكافآت'!$F:$F,PayPeriod,'➕ الخصومات والمكافآت'!$C:$C,"خصم"),0))</f>
        <v>0</v>
      </c>
      <c r="N32" s="83">
        <f t="shared" si="2"/>
        <v>8.0208333333333357</v>
      </c>
      <c r="O32" s="95">
        <f t="shared" si="3"/>
        <v>7973.697916666667</v>
      </c>
      <c r="P32" s="57"/>
      <c r="Q32" s="90">
        <f>IF(B32="",0,IFERROR(SUMIFS('📅 الحضور'!$J:$J,'📅 الحضور'!$B:$B,B32,'📅 الحضور'!$L:$L,PayPeriod),0))</f>
        <v>17.650000000000006</v>
      </c>
      <c r="R32" s="91">
        <f t="shared" si="4"/>
        <v>606.71875000000023</v>
      </c>
      <c r="S32" s="91">
        <f>IF(B32="",0,IF(IFERROR(VLOOKUP(B32,'👥 بيانات الموظفين'!$B:$D,3,0),"")="سعودي",MIN(F32+G32,GosiCeiling)*GosiEmpRate,IF(IFERROR(VLOOKUP(B32,'👥 بيانات الموظفين'!$B:$D,3,0),"")="سعودية",MIN(F32+G32,GosiCeiling)*GosiEmpRate,0)))</f>
        <v>0</v>
      </c>
      <c r="T32" s="91">
        <f>IF(B32="",0,IF(OR(IFERROR(VLOOKUP(B32,'👥 بيانات الموظفين'!$B:$D,3,0),"")="سعودي",IFERROR(VLOOKUP(B32,'👥 بيانات الموظفين'!$B:$D,3,0),"")="سعودية"),MIN(F32+G32,GosiCeiling)*GosiCoRate,(F32+G32)*0.02))</f>
        <v>137.5</v>
      </c>
      <c r="U32" s="91">
        <f ca="1">IF(B32="",0,IFERROR(IF(VLOOKUP(B32,'👥 بيانات الموظفين'!$B:$M,12,0)&lt;5,F32/24,F32/12),0))</f>
        <v>229.16666666666666</v>
      </c>
    </row>
    <row r="33" spans="1:21" ht="22.15" customHeight="1" x14ac:dyDescent="0.2">
      <c r="A33" s="53">
        <f t="shared" si="0"/>
        <v>29</v>
      </c>
      <c r="B33" s="53" t="str">
        <f>IFERROR('👥 بيانات الموظفين'!B33,"")</f>
        <v>EMP029</v>
      </c>
      <c r="C33" s="53" t="str">
        <f>IFERROR(VLOOKUP(B33,'👥 بيانات الموظفين'!$B:$C,2,0),"")</f>
        <v>بندر مساعد الشهري</v>
      </c>
      <c r="D33" s="53" t="str">
        <f>IFERROR(VLOOKUP(B33,'👥 بيانات الموظفين'!$B:$E,4,0),"")</f>
        <v>العمليات</v>
      </c>
      <c r="E33" s="68">
        <f>IF(B33="",0,IFERROR(COUNTIFS('📅 الحضور'!$B:$B,B33,'📅 الحضور'!$L:$L,PayPeriod,'📅 الحضور'!$E:$E,"حاضر")+COUNTIFS('📅 الحضور'!$B:$B,B33,'📅 الحضور'!$L:$L,PayPeriod,'📅 الحضور'!$E:$E,"متأخر"),0))</f>
        <v>15</v>
      </c>
      <c r="F33" s="82">
        <f>IFERROR(VLOOKUP(B33,'👥 بيانات الموظفين'!$B:$H,7,0),0)</f>
        <v>15000</v>
      </c>
      <c r="G33" s="82">
        <f>IFERROR(VLOOKUP(B33,'👥 بيانات الموظفين'!$B:$I,8,0),0)</f>
        <v>3750</v>
      </c>
      <c r="H33" s="82">
        <f>IFERROR(VLOOKUP(B33,'👥 بيانات الموظفين'!$B:$J,9,0),0)</f>
        <v>1000</v>
      </c>
      <c r="I33" s="82">
        <f>IF(B33="",0,IFERROR(SUMIFS('➕ الخصومات والمكافآت'!$E:$E,'➕ الخصومات والمكافآت'!$B:$B,B33,'➕ الخصومات والمكافآت'!$F:$F,PayPeriod,'➕ الخصومات والمكافآت'!$C:$C,"مكافأة"),0))</f>
        <v>0</v>
      </c>
      <c r="J33" s="82">
        <f t="shared" si="1"/>
        <v>21309.375</v>
      </c>
      <c r="K33" s="82">
        <f>IF(B33="",0,IFERROR(COUNTIFS('📅 الحضور'!$B:$B,B33,'📅 الحضور'!$L:$L,PayPeriod,'📅 الحضور'!$E:$E,"غائب")*F33/WorkDaysMonth,0))</f>
        <v>0</v>
      </c>
      <c r="L33" s="82">
        <f>IF(B33="",0,IFERROR(SUMIFS('📅 الحضور'!$I:$I,'📅 الحضور'!$B:$B,B33,'📅 الحضور'!$L:$L,PayPeriod)/60/WorkHoursDay*F33/WorkDaysMonth,0))</f>
        <v>15.625000000000028</v>
      </c>
      <c r="M33" s="82">
        <f>IF(B33="",0,IFERROR(SUMIFS('➕ الخصومات والمكافآت'!$E:$E,'➕ الخصومات والمكافآت'!$B:$B,B33,'➕ الخصومات والمكافآت'!$F:$F,PayPeriod,'➕ الخصومات والمكافآت'!$C:$C,"خصم"),0))</f>
        <v>0</v>
      </c>
      <c r="N33" s="82">
        <f t="shared" si="2"/>
        <v>1890.625</v>
      </c>
      <c r="O33" s="94">
        <f t="shared" si="3"/>
        <v>19418.75</v>
      </c>
      <c r="P33" s="53"/>
      <c r="Q33" s="88">
        <f>IF(B33="",0,IFERROR(SUMIFS('📅 الحضور'!$J:$J,'📅 الحضور'!$B:$B,B33,'📅 الحضور'!$L:$L,PayPeriod),0))</f>
        <v>16.63333333333334</v>
      </c>
      <c r="R33" s="89">
        <f t="shared" si="4"/>
        <v>1559.3750000000005</v>
      </c>
      <c r="S33" s="89">
        <f>IF(B33="",0,IF(IFERROR(VLOOKUP(B33,'👥 بيانات الموظفين'!$B:$D,3,0),"")="سعودي",MIN(F33+G33,GosiCeiling)*GosiEmpRate,IF(IFERROR(VLOOKUP(B33,'👥 بيانات الموظفين'!$B:$D,3,0),"")="سعودية",MIN(F33+G33,GosiCeiling)*GosiEmpRate,0)))</f>
        <v>1875</v>
      </c>
      <c r="T33" s="89">
        <f>IF(B33="",0,IF(OR(IFERROR(VLOOKUP(B33,'👥 بيانات الموظفين'!$B:$D,3,0),"")="سعودي",IFERROR(VLOOKUP(B33,'👥 بيانات الموظفين'!$B:$D,3,0),"")="سعودية"),MIN(F33+G33,GosiCeiling)*GosiCoRate,(F33+G33)*0.02))</f>
        <v>2250</v>
      </c>
      <c r="U33" s="89">
        <f ca="1">IF(B33="",0,IFERROR(IF(VLOOKUP(B33,'👥 بيانات الموظفين'!$B:$M,12,0)&lt;5,F33/24,F33/12),0))</f>
        <v>1250</v>
      </c>
    </row>
    <row r="34" spans="1:21" ht="22.15" customHeight="1" x14ac:dyDescent="0.2">
      <c r="A34" s="57">
        <f t="shared" si="0"/>
        <v>30</v>
      </c>
      <c r="B34" s="57" t="str">
        <f>IFERROR('👥 بيانات الموظفين'!B34,"")</f>
        <v>EMP030</v>
      </c>
      <c r="C34" s="57" t="str">
        <f>IFERROR(VLOOKUP(B34,'👥 بيانات الموظفين'!$B:$C,2,0),"")</f>
        <v>ياسر سالم الزهراني</v>
      </c>
      <c r="D34" s="57" t="str">
        <f>IFERROR(VLOOKUP(B34,'👥 بيانات الموظفين'!$B:$E,4,0),"")</f>
        <v>العمليات</v>
      </c>
      <c r="E34" s="69">
        <f>IF(B34="",0,IFERROR(COUNTIFS('📅 الحضور'!$B:$B,B34,'📅 الحضور'!$L:$L,PayPeriod,'📅 الحضور'!$E:$E,"حاضر")+COUNTIFS('📅 الحضور'!$B:$B,B34,'📅 الحضور'!$L:$L,PayPeriod,'📅 الحضور'!$E:$E,"متأخر"),0))</f>
        <v>4</v>
      </c>
      <c r="F34" s="83">
        <f>IFERROR(VLOOKUP(B34,'👥 بيانات الموظفين'!$B:$H,7,0),0)</f>
        <v>8500</v>
      </c>
      <c r="G34" s="83">
        <f>IFERROR(VLOOKUP(B34,'👥 بيانات الموظفين'!$B:$I,8,0),0)</f>
        <v>2125</v>
      </c>
      <c r="H34" s="83">
        <f>IFERROR(VLOOKUP(B34,'👥 بيانات الموظفين'!$B:$J,9,0),0)</f>
        <v>700</v>
      </c>
      <c r="I34" s="83">
        <f>IF(B34="",0,IFERROR(SUMIFS('➕ الخصومات والمكافآت'!$E:$E,'➕ الخصومات والمكافآت'!$B:$B,B34,'➕ الخصومات والمكافآت'!$F:$F,PayPeriod,'➕ الخصومات والمكافآت'!$C:$C,"مكافأة"),0))</f>
        <v>0</v>
      </c>
      <c r="J34" s="83">
        <f t="shared" si="1"/>
        <v>11557.864583333334</v>
      </c>
      <c r="K34" s="83">
        <f>IF(B34="",0,IFERROR(COUNTIFS('📅 الحضور'!$B:$B,B34,'📅 الحضور'!$L:$L,PayPeriod,'📅 الحضور'!$E:$E,"غائب")*F34/WorkDaysMonth,0))</f>
        <v>0</v>
      </c>
      <c r="L34" s="83">
        <f>IF(B34="",0,IFERROR(SUMIFS('📅 الحضور'!$I:$I,'📅 الحضور'!$B:$B,B34,'📅 الحضور'!$L:$L,PayPeriod)/60/WorkHoursDay*F34/WorkDaysMonth,0))</f>
        <v>0</v>
      </c>
      <c r="M34" s="83">
        <f>IF(B34="",0,IFERROR(SUMIFS('➕ الخصومات والمكافآت'!$E:$E,'➕ الخصومات والمكافآت'!$B:$B,B34,'➕ الخصومات والمكافآت'!$F:$F,PayPeriod,'➕ الخصومات والمكافآت'!$C:$C,"خصم"),0))</f>
        <v>0</v>
      </c>
      <c r="N34" s="83">
        <f t="shared" si="2"/>
        <v>1062.5</v>
      </c>
      <c r="O34" s="95">
        <f t="shared" si="3"/>
        <v>10495.364583333334</v>
      </c>
      <c r="P34" s="57"/>
      <c r="Q34" s="90">
        <f>IF(B34="",0,IFERROR(SUMIFS('📅 الحضور'!$J:$J,'📅 الحضور'!$B:$B,B34,'📅 الحضور'!$L:$L,PayPeriod),0))</f>
        <v>4.3833333333333311</v>
      </c>
      <c r="R34" s="91">
        <f t="shared" si="4"/>
        <v>232.8645833333332</v>
      </c>
      <c r="S34" s="91">
        <f>IF(B34="",0,IF(IFERROR(VLOOKUP(B34,'👥 بيانات الموظفين'!$B:$D,3,0),"")="سعودي",MIN(F34+G34,GosiCeiling)*GosiEmpRate,IF(IFERROR(VLOOKUP(B34,'👥 بيانات الموظفين'!$B:$D,3,0),"")="سعودية",MIN(F34+G34,GosiCeiling)*GosiEmpRate,0)))</f>
        <v>1062.5</v>
      </c>
      <c r="T34" s="91">
        <f>IF(B34="",0,IF(OR(IFERROR(VLOOKUP(B34,'👥 بيانات الموظفين'!$B:$D,3,0),"")="سعودي",IFERROR(VLOOKUP(B34,'👥 بيانات الموظفين'!$B:$D,3,0),"")="سعودية"),MIN(F34+G34,GosiCeiling)*GosiCoRate,(F34+G34)*0.02))</f>
        <v>1275</v>
      </c>
      <c r="U34" s="91">
        <f ca="1">IF(B34="",0,IFERROR(IF(VLOOKUP(B34,'👥 بيانات الموظفين'!$B:$M,12,0)&lt;5,F34/24,F34/12),0))</f>
        <v>354.16666666666669</v>
      </c>
    </row>
    <row r="35" spans="1:21" ht="22.15" customHeight="1" x14ac:dyDescent="0.2">
      <c r="A35" s="53">
        <f t="shared" si="0"/>
        <v>31</v>
      </c>
      <c r="B35" s="53">
        <f>IFERROR('👥 بيانات الموظفين'!B35,"")</f>
        <v>0</v>
      </c>
      <c r="C35" s="53" t="str">
        <f>IFERROR(VLOOKUP(B35,'👥 بيانات الموظفين'!$B:$C,2,0),"")</f>
        <v/>
      </c>
      <c r="D35" s="53" t="str">
        <f>IFERROR(VLOOKUP(B35,'👥 بيانات الموظفين'!$B:$E,4,0),"")</f>
        <v/>
      </c>
      <c r="E35" s="68">
        <f>IF(B35="",0,IFERROR(COUNTIFS('📅 الحضور'!$B:$B,B35,'📅 الحضور'!$L:$L,PayPeriod,'📅 الحضور'!$E:$E,"حاضر")+COUNTIFS('📅 الحضور'!$B:$B,B35,'📅 الحضور'!$L:$L,PayPeriod,'📅 الحضور'!$E:$E,"متأخر"),0))</f>
        <v>0</v>
      </c>
      <c r="F35" s="82">
        <f>IFERROR(VLOOKUP(B35,'👥 بيانات الموظفين'!$B:$H,7,0),0)</f>
        <v>0</v>
      </c>
      <c r="G35" s="82">
        <f>IFERROR(VLOOKUP(B35,'👥 بيانات الموظفين'!$B:$I,8,0),0)</f>
        <v>0</v>
      </c>
      <c r="H35" s="82">
        <f>IFERROR(VLOOKUP(B35,'👥 بيانات الموظفين'!$B:$J,9,0),0)</f>
        <v>0</v>
      </c>
      <c r="I35" s="82">
        <f>IF(B35="",0,IFERROR(SUMIFS('➕ الخصومات والمكافآت'!$E:$E,'➕ الخصومات والمكافآت'!$B:$B,B35,'➕ الخصومات والمكافآت'!$F:$F,PayPeriod,'➕ الخصومات والمكافآت'!$C:$C,"مكافأة"),0))</f>
        <v>0</v>
      </c>
      <c r="J35" s="82">
        <f t="shared" si="1"/>
        <v>0</v>
      </c>
      <c r="K35" s="82">
        <f>IF(B35="",0,IFERROR(COUNTIFS('📅 الحضور'!$B:$B,B35,'📅 الحضور'!$L:$L,PayPeriod,'📅 الحضور'!$E:$E,"غائب")*F35/WorkDaysMonth,0))</f>
        <v>0</v>
      </c>
      <c r="L35" s="82">
        <f>IF(B35="",0,IFERROR(SUMIFS('📅 الحضور'!$I:$I,'📅 الحضور'!$B:$B,B35,'📅 الحضور'!$L:$L,PayPeriod)/60/WorkHoursDay*F35/WorkDaysMonth,0))</f>
        <v>0</v>
      </c>
      <c r="M35" s="82">
        <f>IF(B35="",0,IFERROR(SUMIFS('➕ الخصومات والمكافآت'!$E:$E,'➕ الخصومات والمكافآت'!$B:$B,B35,'➕ الخصومات والمكافآت'!$F:$F,PayPeriod,'➕ الخصومات والمكافآت'!$C:$C,"خصم"),0))</f>
        <v>0</v>
      </c>
      <c r="N35" s="82">
        <f t="shared" si="2"/>
        <v>0</v>
      </c>
      <c r="O35" s="94">
        <f t="shared" si="3"/>
        <v>0</v>
      </c>
      <c r="P35" s="53"/>
      <c r="Q35" s="88">
        <f>IF(B35="",0,IFERROR(SUMIFS('📅 الحضور'!$J:$J,'📅 الحضور'!$B:$B,B35,'📅 الحضور'!$L:$L,PayPeriod),0))</f>
        <v>0</v>
      </c>
      <c r="R35" s="89">
        <f t="shared" si="4"/>
        <v>0</v>
      </c>
      <c r="S35" s="89">
        <f>IF(B35="",0,IF(IFERROR(VLOOKUP(B35,'👥 بيانات الموظفين'!$B:$D,3,0),"")="سعودي",MIN(F35+G35,GosiCeiling)*GosiEmpRate,IF(IFERROR(VLOOKUP(B35,'👥 بيانات الموظفين'!$B:$D,3,0),"")="سعودية",MIN(F35+G35,GosiCeiling)*GosiEmpRate,0)))</f>
        <v>0</v>
      </c>
      <c r="T35" s="89">
        <f>IF(B35="",0,IF(OR(IFERROR(VLOOKUP(B35,'👥 بيانات الموظفين'!$B:$D,3,0),"")="سعودي",IFERROR(VLOOKUP(B35,'👥 بيانات الموظفين'!$B:$D,3,0),"")="سعودية"),MIN(F35+G35,GosiCeiling)*GosiCoRate,(F35+G35)*0.02))</f>
        <v>0</v>
      </c>
      <c r="U35" s="89">
        <f>IF(B35="",0,IFERROR(IF(VLOOKUP(B35,'👥 بيانات الموظفين'!$B:$M,12,0)&lt;5,F35/24,F35/12),0))</f>
        <v>0</v>
      </c>
    </row>
    <row r="36" spans="1:21" ht="22.15" customHeight="1" x14ac:dyDescent="0.2">
      <c r="A36" s="57">
        <f t="shared" si="0"/>
        <v>32</v>
      </c>
      <c r="B36" s="57">
        <f>IFERROR('👥 بيانات الموظفين'!B36,"")</f>
        <v>0</v>
      </c>
      <c r="C36" s="57" t="str">
        <f>IFERROR(VLOOKUP(B36,'👥 بيانات الموظفين'!$B:$C,2,0),"")</f>
        <v/>
      </c>
      <c r="D36" s="57" t="str">
        <f>IFERROR(VLOOKUP(B36,'👥 بيانات الموظفين'!$B:$E,4,0),"")</f>
        <v/>
      </c>
      <c r="E36" s="69">
        <f>IF(B36="",0,IFERROR(COUNTIFS('📅 الحضور'!$B:$B,B36,'📅 الحضور'!$L:$L,PayPeriod,'📅 الحضور'!$E:$E,"حاضر")+COUNTIFS('📅 الحضور'!$B:$B,B36,'📅 الحضور'!$L:$L,PayPeriod,'📅 الحضور'!$E:$E,"متأخر"),0))</f>
        <v>0</v>
      </c>
      <c r="F36" s="83">
        <f>IFERROR(VLOOKUP(B36,'👥 بيانات الموظفين'!$B:$H,7,0),0)</f>
        <v>0</v>
      </c>
      <c r="G36" s="83">
        <f>IFERROR(VLOOKUP(B36,'👥 بيانات الموظفين'!$B:$I,8,0),0)</f>
        <v>0</v>
      </c>
      <c r="H36" s="83">
        <f>IFERROR(VLOOKUP(B36,'👥 بيانات الموظفين'!$B:$J,9,0),0)</f>
        <v>0</v>
      </c>
      <c r="I36" s="83">
        <f>IF(B36="",0,IFERROR(SUMIFS('➕ الخصومات والمكافآت'!$E:$E,'➕ الخصومات والمكافآت'!$B:$B,B36,'➕ الخصومات والمكافآت'!$F:$F,PayPeriod,'➕ الخصومات والمكافآت'!$C:$C,"مكافأة"),0))</f>
        <v>0</v>
      </c>
      <c r="J36" s="83">
        <f t="shared" si="1"/>
        <v>0</v>
      </c>
      <c r="K36" s="83">
        <f>IF(B36="",0,IFERROR(COUNTIFS('📅 الحضور'!$B:$B,B36,'📅 الحضور'!$L:$L,PayPeriod,'📅 الحضور'!$E:$E,"غائب")*F36/WorkDaysMonth,0))</f>
        <v>0</v>
      </c>
      <c r="L36" s="83">
        <f>IF(B36="",0,IFERROR(SUMIFS('📅 الحضور'!$I:$I,'📅 الحضور'!$B:$B,B36,'📅 الحضور'!$L:$L,PayPeriod)/60/WorkHoursDay*F36/WorkDaysMonth,0))</f>
        <v>0</v>
      </c>
      <c r="M36" s="83">
        <f>IF(B36="",0,IFERROR(SUMIFS('➕ الخصومات والمكافآت'!$E:$E,'➕ الخصومات والمكافآت'!$B:$B,B36,'➕ الخصومات والمكافآت'!$F:$F,PayPeriod,'➕ الخصومات والمكافآت'!$C:$C,"خصم"),0))</f>
        <v>0</v>
      </c>
      <c r="N36" s="83">
        <f t="shared" si="2"/>
        <v>0</v>
      </c>
      <c r="O36" s="95">
        <f t="shared" si="3"/>
        <v>0</v>
      </c>
      <c r="P36" s="57"/>
      <c r="Q36" s="90">
        <f>IF(B36="",0,IFERROR(SUMIFS('📅 الحضور'!$J:$J,'📅 الحضور'!$B:$B,B36,'📅 الحضور'!$L:$L,PayPeriod),0))</f>
        <v>0</v>
      </c>
      <c r="R36" s="91">
        <f t="shared" si="4"/>
        <v>0</v>
      </c>
      <c r="S36" s="91">
        <f>IF(B36="",0,IF(IFERROR(VLOOKUP(B36,'👥 بيانات الموظفين'!$B:$D,3,0),"")="سعودي",MIN(F36+G36,GosiCeiling)*GosiEmpRate,IF(IFERROR(VLOOKUP(B36,'👥 بيانات الموظفين'!$B:$D,3,0),"")="سعودية",MIN(F36+G36,GosiCeiling)*GosiEmpRate,0)))</f>
        <v>0</v>
      </c>
      <c r="T36" s="91">
        <f>IF(B36="",0,IF(OR(IFERROR(VLOOKUP(B36,'👥 بيانات الموظفين'!$B:$D,3,0),"")="سعودي",IFERROR(VLOOKUP(B36,'👥 بيانات الموظفين'!$B:$D,3,0),"")="سعودية"),MIN(F36+G36,GosiCeiling)*GosiCoRate,(F36+G36)*0.02))</f>
        <v>0</v>
      </c>
      <c r="U36" s="91">
        <f>IF(B36="",0,IFERROR(IF(VLOOKUP(B36,'👥 بيانات الموظفين'!$B:$M,12,0)&lt;5,F36/24,F36/12),0))</f>
        <v>0</v>
      </c>
    </row>
    <row r="37" spans="1:21" ht="22.15" customHeight="1" x14ac:dyDescent="0.2">
      <c r="A37" s="53">
        <f t="shared" ref="A37:A68" si="5">IF(B37&lt;&gt;"",ROW()-4,"")</f>
        <v>33</v>
      </c>
      <c r="B37" s="53">
        <f>IFERROR('👥 بيانات الموظفين'!B37,"")</f>
        <v>0</v>
      </c>
      <c r="C37" s="53" t="str">
        <f>IFERROR(VLOOKUP(B37,'👥 بيانات الموظفين'!$B:$C,2,0),"")</f>
        <v/>
      </c>
      <c r="D37" s="53" t="str">
        <f>IFERROR(VLOOKUP(B37,'👥 بيانات الموظفين'!$B:$E,4,0),"")</f>
        <v/>
      </c>
      <c r="E37" s="68">
        <f>IF(B37="",0,IFERROR(COUNTIFS('📅 الحضور'!$B:$B,B37,'📅 الحضور'!$L:$L,PayPeriod,'📅 الحضور'!$E:$E,"حاضر")+COUNTIFS('📅 الحضور'!$B:$B,B37,'📅 الحضور'!$L:$L,PayPeriod,'📅 الحضور'!$E:$E,"متأخر"),0))</f>
        <v>0</v>
      </c>
      <c r="F37" s="82">
        <f>IFERROR(VLOOKUP(B37,'👥 بيانات الموظفين'!$B:$H,7,0),0)</f>
        <v>0</v>
      </c>
      <c r="G37" s="82">
        <f>IFERROR(VLOOKUP(B37,'👥 بيانات الموظفين'!$B:$I,8,0),0)</f>
        <v>0</v>
      </c>
      <c r="H37" s="82">
        <f>IFERROR(VLOOKUP(B37,'👥 بيانات الموظفين'!$B:$J,9,0),0)</f>
        <v>0</v>
      </c>
      <c r="I37" s="82">
        <f>IF(B37="",0,IFERROR(SUMIFS('➕ الخصومات والمكافآت'!$E:$E,'➕ الخصومات والمكافآت'!$B:$B,B37,'➕ الخصومات والمكافآت'!$F:$F,PayPeriod,'➕ الخصومات والمكافآت'!$C:$C,"مكافأة"),0))</f>
        <v>0</v>
      </c>
      <c r="J37" s="82">
        <f t="shared" ref="J37:J68" si="6">IF(B37="","",F37+G37+H37+I37+R37)</f>
        <v>0</v>
      </c>
      <c r="K37" s="82">
        <f>IF(B37="",0,IFERROR(COUNTIFS('📅 الحضور'!$B:$B,B37,'📅 الحضور'!$L:$L,PayPeriod,'📅 الحضور'!$E:$E,"غائب")*F37/WorkDaysMonth,0))</f>
        <v>0</v>
      </c>
      <c r="L37" s="82">
        <f>IF(B37="",0,IFERROR(SUMIFS('📅 الحضور'!$I:$I,'📅 الحضور'!$B:$B,B37,'📅 الحضور'!$L:$L,PayPeriod)/60/WorkHoursDay*F37/WorkDaysMonth,0))</f>
        <v>0</v>
      </c>
      <c r="M37" s="82">
        <f>IF(B37="",0,IFERROR(SUMIFS('➕ الخصومات والمكافآت'!$E:$E,'➕ الخصومات والمكافآت'!$B:$B,B37,'➕ الخصومات والمكافآت'!$F:$F,PayPeriod,'➕ الخصومات والمكافآت'!$C:$C,"خصم"),0))</f>
        <v>0</v>
      </c>
      <c r="N37" s="82">
        <f t="shared" ref="N37:N68" si="7">IF(B37="","",K37+L37+M37+S37)</f>
        <v>0</v>
      </c>
      <c r="O37" s="94">
        <f t="shared" ref="O37:O68" si="8">IF(B37="","",J37-N37)</f>
        <v>0</v>
      </c>
      <c r="P37" s="53"/>
      <c r="Q37" s="88">
        <f>IF(B37="",0,IFERROR(SUMIFS('📅 الحضور'!$J:$J,'📅 الحضور'!$B:$B,B37,'📅 الحضور'!$L:$L,PayPeriod),0))</f>
        <v>0</v>
      </c>
      <c r="R37" s="89">
        <f t="shared" ref="R37:R68" si="9">IF(B37="",0,IFERROR(Q37*(F37/WorkHoursMonth)*OTRateRegular,0))</f>
        <v>0</v>
      </c>
      <c r="S37" s="89">
        <f>IF(B37="",0,IF(IFERROR(VLOOKUP(B37,'👥 بيانات الموظفين'!$B:$D,3,0),"")="سعودي",MIN(F37+G37,GosiCeiling)*GosiEmpRate,IF(IFERROR(VLOOKUP(B37,'👥 بيانات الموظفين'!$B:$D,3,0),"")="سعودية",MIN(F37+G37,GosiCeiling)*GosiEmpRate,0)))</f>
        <v>0</v>
      </c>
      <c r="T37" s="89">
        <f>IF(B37="",0,IF(OR(IFERROR(VLOOKUP(B37,'👥 بيانات الموظفين'!$B:$D,3,0),"")="سعودي",IFERROR(VLOOKUP(B37,'👥 بيانات الموظفين'!$B:$D,3,0),"")="سعودية"),MIN(F37+G37,GosiCeiling)*GosiCoRate,(F37+G37)*0.02))</f>
        <v>0</v>
      </c>
      <c r="U37" s="89">
        <f>IF(B37="",0,IFERROR(IF(VLOOKUP(B37,'👥 بيانات الموظفين'!$B:$M,12,0)&lt;5,F37/24,F37/12),0))</f>
        <v>0</v>
      </c>
    </row>
    <row r="38" spans="1:21" ht="22.15" customHeight="1" x14ac:dyDescent="0.2">
      <c r="A38" s="57">
        <f t="shared" si="5"/>
        <v>34</v>
      </c>
      <c r="B38" s="57">
        <f>IFERROR('👥 بيانات الموظفين'!B38,"")</f>
        <v>0</v>
      </c>
      <c r="C38" s="57" t="str">
        <f>IFERROR(VLOOKUP(B38,'👥 بيانات الموظفين'!$B:$C,2,0),"")</f>
        <v/>
      </c>
      <c r="D38" s="57" t="str">
        <f>IFERROR(VLOOKUP(B38,'👥 بيانات الموظفين'!$B:$E,4,0),"")</f>
        <v/>
      </c>
      <c r="E38" s="69">
        <f>IF(B38="",0,IFERROR(COUNTIFS('📅 الحضور'!$B:$B,B38,'📅 الحضور'!$L:$L,PayPeriod,'📅 الحضور'!$E:$E,"حاضر")+COUNTIFS('📅 الحضور'!$B:$B,B38,'📅 الحضور'!$L:$L,PayPeriod,'📅 الحضور'!$E:$E,"متأخر"),0))</f>
        <v>0</v>
      </c>
      <c r="F38" s="83">
        <f>IFERROR(VLOOKUP(B38,'👥 بيانات الموظفين'!$B:$H,7,0),0)</f>
        <v>0</v>
      </c>
      <c r="G38" s="83">
        <f>IFERROR(VLOOKUP(B38,'👥 بيانات الموظفين'!$B:$I,8,0),0)</f>
        <v>0</v>
      </c>
      <c r="H38" s="83">
        <f>IFERROR(VLOOKUP(B38,'👥 بيانات الموظفين'!$B:$J,9,0),0)</f>
        <v>0</v>
      </c>
      <c r="I38" s="83">
        <f>IF(B38="",0,IFERROR(SUMIFS('➕ الخصومات والمكافآت'!$E:$E,'➕ الخصومات والمكافآت'!$B:$B,B38,'➕ الخصومات والمكافآت'!$F:$F,PayPeriod,'➕ الخصومات والمكافآت'!$C:$C,"مكافأة"),0))</f>
        <v>0</v>
      </c>
      <c r="J38" s="83">
        <f t="shared" si="6"/>
        <v>0</v>
      </c>
      <c r="K38" s="83">
        <f>IF(B38="",0,IFERROR(COUNTIFS('📅 الحضور'!$B:$B,B38,'📅 الحضور'!$L:$L,PayPeriod,'📅 الحضور'!$E:$E,"غائب")*F38/WorkDaysMonth,0))</f>
        <v>0</v>
      </c>
      <c r="L38" s="83">
        <f>IF(B38="",0,IFERROR(SUMIFS('📅 الحضور'!$I:$I,'📅 الحضور'!$B:$B,B38,'📅 الحضور'!$L:$L,PayPeriod)/60/WorkHoursDay*F38/WorkDaysMonth,0))</f>
        <v>0</v>
      </c>
      <c r="M38" s="83">
        <f>IF(B38="",0,IFERROR(SUMIFS('➕ الخصومات والمكافآت'!$E:$E,'➕ الخصومات والمكافآت'!$B:$B,B38,'➕ الخصومات والمكافآت'!$F:$F,PayPeriod,'➕ الخصومات والمكافآت'!$C:$C,"خصم"),0))</f>
        <v>0</v>
      </c>
      <c r="N38" s="83">
        <f t="shared" si="7"/>
        <v>0</v>
      </c>
      <c r="O38" s="95">
        <f t="shared" si="8"/>
        <v>0</v>
      </c>
      <c r="P38" s="57"/>
      <c r="Q38" s="90">
        <f>IF(B38="",0,IFERROR(SUMIFS('📅 الحضور'!$J:$J,'📅 الحضور'!$B:$B,B38,'📅 الحضور'!$L:$L,PayPeriod),0))</f>
        <v>0</v>
      </c>
      <c r="R38" s="91">
        <f t="shared" si="9"/>
        <v>0</v>
      </c>
      <c r="S38" s="91">
        <f>IF(B38="",0,IF(IFERROR(VLOOKUP(B38,'👥 بيانات الموظفين'!$B:$D,3,0),"")="سعودي",MIN(F38+G38,GosiCeiling)*GosiEmpRate,IF(IFERROR(VLOOKUP(B38,'👥 بيانات الموظفين'!$B:$D,3,0),"")="سعودية",MIN(F38+G38,GosiCeiling)*GosiEmpRate,0)))</f>
        <v>0</v>
      </c>
      <c r="T38" s="91">
        <f>IF(B38="",0,IF(OR(IFERROR(VLOOKUP(B38,'👥 بيانات الموظفين'!$B:$D,3,0),"")="سعودي",IFERROR(VLOOKUP(B38,'👥 بيانات الموظفين'!$B:$D,3,0),"")="سعودية"),MIN(F38+G38,GosiCeiling)*GosiCoRate,(F38+G38)*0.02))</f>
        <v>0</v>
      </c>
      <c r="U38" s="91">
        <f>IF(B38="",0,IFERROR(IF(VLOOKUP(B38,'👥 بيانات الموظفين'!$B:$M,12,0)&lt;5,F38/24,F38/12),0))</f>
        <v>0</v>
      </c>
    </row>
    <row r="39" spans="1:21" ht="22.15" customHeight="1" x14ac:dyDescent="0.2">
      <c r="A39" s="53">
        <f t="shared" si="5"/>
        <v>35</v>
      </c>
      <c r="B39" s="53">
        <f>IFERROR('👥 بيانات الموظفين'!B39,"")</f>
        <v>0</v>
      </c>
      <c r="C39" s="53" t="str">
        <f>IFERROR(VLOOKUP(B39,'👥 بيانات الموظفين'!$B:$C,2,0),"")</f>
        <v/>
      </c>
      <c r="D39" s="53" t="str">
        <f>IFERROR(VLOOKUP(B39,'👥 بيانات الموظفين'!$B:$E,4,0),"")</f>
        <v/>
      </c>
      <c r="E39" s="68">
        <f>IF(B39="",0,IFERROR(COUNTIFS('📅 الحضور'!$B:$B,B39,'📅 الحضور'!$L:$L,PayPeriod,'📅 الحضور'!$E:$E,"حاضر")+COUNTIFS('📅 الحضور'!$B:$B,B39,'📅 الحضور'!$L:$L,PayPeriod,'📅 الحضور'!$E:$E,"متأخر"),0))</f>
        <v>0</v>
      </c>
      <c r="F39" s="82">
        <f>IFERROR(VLOOKUP(B39,'👥 بيانات الموظفين'!$B:$H,7,0),0)</f>
        <v>0</v>
      </c>
      <c r="G39" s="82">
        <f>IFERROR(VLOOKUP(B39,'👥 بيانات الموظفين'!$B:$I,8,0),0)</f>
        <v>0</v>
      </c>
      <c r="H39" s="82">
        <f>IFERROR(VLOOKUP(B39,'👥 بيانات الموظفين'!$B:$J,9,0),0)</f>
        <v>0</v>
      </c>
      <c r="I39" s="82">
        <f>IF(B39="",0,IFERROR(SUMIFS('➕ الخصومات والمكافآت'!$E:$E,'➕ الخصومات والمكافآت'!$B:$B,B39,'➕ الخصومات والمكافآت'!$F:$F,PayPeriod,'➕ الخصومات والمكافآت'!$C:$C,"مكافأة"),0))</f>
        <v>0</v>
      </c>
      <c r="J39" s="82">
        <f t="shared" si="6"/>
        <v>0</v>
      </c>
      <c r="K39" s="82">
        <f>IF(B39="",0,IFERROR(COUNTIFS('📅 الحضور'!$B:$B,B39,'📅 الحضور'!$L:$L,PayPeriod,'📅 الحضور'!$E:$E,"غائب")*F39/WorkDaysMonth,0))</f>
        <v>0</v>
      </c>
      <c r="L39" s="82">
        <f>IF(B39="",0,IFERROR(SUMIFS('📅 الحضور'!$I:$I,'📅 الحضور'!$B:$B,B39,'📅 الحضور'!$L:$L,PayPeriod)/60/WorkHoursDay*F39/WorkDaysMonth,0))</f>
        <v>0</v>
      </c>
      <c r="M39" s="82">
        <f>IF(B39="",0,IFERROR(SUMIFS('➕ الخصومات والمكافآت'!$E:$E,'➕ الخصومات والمكافآت'!$B:$B,B39,'➕ الخصومات والمكافآت'!$F:$F,PayPeriod,'➕ الخصومات والمكافآت'!$C:$C,"خصم"),0))</f>
        <v>0</v>
      </c>
      <c r="N39" s="82">
        <f t="shared" si="7"/>
        <v>0</v>
      </c>
      <c r="O39" s="94">
        <f t="shared" si="8"/>
        <v>0</v>
      </c>
      <c r="P39" s="53"/>
      <c r="Q39" s="88">
        <f>IF(B39="",0,IFERROR(SUMIFS('📅 الحضور'!$J:$J,'📅 الحضور'!$B:$B,B39,'📅 الحضور'!$L:$L,PayPeriod),0))</f>
        <v>0</v>
      </c>
      <c r="R39" s="89">
        <f t="shared" si="9"/>
        <v>0</v>
      </c>
      <c r="S39" s="89">
        <f>IF(B39="",0,IF(IFERROR(VLOOKUP(B39,'👥 بيانات الموظفين'!$B:$D,3,0),"")="سعودي",MIN(F39+G39,GosiCeiling)*GosiEmpRate,IF(IFERROR(VLOOKUP(B39,'👥 بيانات الموظفين'!$B:$D,3,0),"")="سعودية",MIN(F39+G39,GosiCeiling)*GosiEmpRate,0)))</f>
        <v>0</v>
      </c>
      <c r="T39" s="89">
        <f>IF(B39="",0,IF(OR(IFERROR(VLOOKUP(B39,'👥 بيانات الموظفين'!$B:$D,3,0),"")="سعودي",IFERROR(VLOOKUP(B39,'👥 بيانات الموظفين'!$B:$D,3,0),"")="سعودية"),MIN(F39+G39,GosiCeiling)*GosiCoRate,(F39+G39)*0.02))</f>
        <v>0</v>
      </c>
      <c r="U39" s="89">
        <f>IF(B39="",0,IFERROR(IF(VLOOKUP(B39,'👥 بيانات الموظفين'!$B:$M,12,0)&lt;5,F39/24,F39/12),0))</f>
        <v>0</v>
      </c>
    </row>
    <row r="40" spans="1:21" ht="22.15" customHeight="1" x14ac:dyDescent="0.2">
      <c r="A40" s="57">
        <f t="shared" si="5"/>
        <v>36</v>
      </c>
      <c r="B40" s="57">
        <f>IFERROR('👥 بيانات الموظفين'!B40,"")</f>
        <v>0</v>
      </c>
      <c r="C40" s="57" t="str">
        <f>IFERROR(VLOOKUP(B40,'👥 بيانات الموظفين'!$B:$C,2,0),"")</f>
        <v/>
      </c>
      <c r="D40" s="57" t="str">
        <f>IFERROR(VLOOKUP(B40,'👥 بيانات الموظفين'!$B:$E,4,0),"")</f>
        <v/>
      </c>
      <c r="E40" s="69">
        <f>IF(B40="",0,IFERROR(COUNTIFS('📅 الحضور'!$B:$B,B40,'📅 الحضور'!$L:$L,PayPeriod,'📅 الحضور'!$E:$E,"حاضر")+COUNTIFS('📅 الحضور'!$B:$B,B40,'📅 الحضور'!$L:$L,PayPeriod,'📅 الحضور'!$E:$E,"متأخر"),0))</f>
        <v>0</v>
      </c>
      <c r="F40" s="83">
        <f>IFERROR(VLOOKUP(B40,'👥 بيانات الموظفين'!$B:$H,7,0),0)</f>
        <v>0</v>
      </c>
      <c r="G40" s="83">
        <f>IFERROR(VLOOKUP(B40,'👥 بيانات الموظفين'!$B:$I,8,0),0)</f>
        <v>0</v>
      </c>
      <c r="H40" s="83">
        <f>IFERROR(VLOOKUP(B40,'👥 بيانات الموظفين'!$B:$J,9,0),0)</f>
        <v>0</v>
      </c>
      <c r="I40" s="83">
        <f>IF(B40="",0,IFERROR(SUMIFS('➕ الخصومات والمكافآت'!$E:$E,'➕ الخصومات والمكافآت'!$B:$B,B40,'➕ الخصومات والمكافآت'!$F:$F,PayPeriod,'➕ الخصومات والمكافآت'!$C:$C,"مكافأة"),0))</f>
        <v>0</v>
      </c>
      <c r="J40" s="83">
        <f t="shared" si="6"/>
        <v>0</v>
      </c>
      <c r="K40" s="83">
        <f>IF(B40="",0,IFERROR(COUNTIFS('📅 الحضور'!$B:$B,B40,'📅 الحضور'!$L:$L,PayPeriod,'📅 الحضور'!$E:$E,"غائب")*F40/WorkDaysMonth,0))</f>
        <v>0</v>
      </c>
      <c r="L40" s="83">
        <f>IF(B40="",0,IFERROR(SUMIFS('📅 الحضور'!$I:$I,'📅 الحضور'!$B:$B,B40,'📅 الحضور'!$L:$L,PayPeriod)/60/WorkHoursDay*F40/WorkDaysMonth,0))</f>
        <v>0</v>
      </c>
      <c r="M40" s="83">
        <f>IF(B40="",0,IFERROR(SUMIFS('➕ الخصومات والمكافآت'!$E:$E,'➕ الخصومات والمكافآت'!$B:$B,B40,'➕ الخصومات والمكافآت'!$F:$F,PayPeriod,'➕ الخصومات والمكافآت'!$C:$C,"خصم"),0))</f>
        <v>0</v>
      </c>
      <c r="N40" s="83">
        <f t="shared" si="7"/>
        <v>0</v>
      </c>
      <c r="O40" s="95">
        <f t="shared" si="8"/>
        <v>0</v>
      </c>
      <c r="P40" s="57"/>
      <c r="Q40" s="90">
        <f>IF(B40="",0,IFERROR(SUMIFS('📅 الحضور'!$J:$J,'📅 الحضور'!$B:$B,B40,'📅 الحضور'!$L:$L,PayPeriod),0))</f>
        <v>0</v>
      </c>
      <c r="R40" s="91">
        <f t="shared" si="9"/>
        <v>0</v>
      </c>
      <c r="S40" s="91">
        <f>IF(B40="",0,IF(IFERROR(VLOOKUP(B40,'👥 بيانات الموظفين'!$B:$D,3,0),"")="سعودي",MIN(F40+G40,GosiCeiling)*GosiEmpRate,IF(IFERROR(VLOOKUP(B40,'👥 بيانات الموظفين'!$B:$D,3,0),"")="سعودية",MIN(F40+G40,GosiCeiling)*GosiEmpRate,0)))</f>
        <v>0</v>
      </c>
      <c r="T40" s="91">
        <f>IF(B40="",0,IF(OR(IFERROR(VLOOKUP(B40,'👥 بيانات الموظفين'!$B:$D,3,0),"")="سعودي",IFERROR(VLOOKUP(B40,'👥 بيانات الموظفين'!$B:$D,3,0),"")="سعودية"),MIN(F40+G40,GosiCeiling)*GosiCoRate,(F40+G40)*0.02))</f>
        <v>0</v>
      </c>
      <c r="U40" s="91">
        <f>IF(B40="",0,IFERROR(IF(VLOOKUP(B40,'👥 بيانات الموظفين'!$B:$M,12,0)&lt;5,F40/24,F40/12),0))</f>
        <v>0</v>
      </c>
    </row>
    <row r="41" spans="1:21" ht="22.15" customHeight="1" x14ac:dyDescent="0.2">
      <c r="A41" s="53">
        <f t="shared" si="5"/>
        <v>37</v>
      </c>
      <c r="B41" s="53">
        <f>IFERROR('👥 بيانات الموظفين'!B41,"")</f>
        <v>0</v>
      </c>
      <c r="C41" s="53" t="str">
        <f>IFERROR(VLOOKUP(B41,'👥 بيانات الموظفين'!$B:$C,2,0),"")</f>
        <v/>
      </c>
      <c r="D41" s="53" t="str">
        <f>IFERROR(VLOOKUP(B41,'👥 بيانات الموظفين'!$B:$E,4,0),"")</f>
        <v/>
      </c>
      <c r="E41" s="68">
        <f>IF(B41="",0,IFERROR(COUNTIFS('📅 الحضور'!$B:$B,B41,'📅 الحضور'!$L:$L,PayPeriod,'📅 الحضور'!$E:$E,"حاضر")+COUNTIFS('📅 الحضور'!$B:$B,B41,'📅 الحضور'!$L:$L,PayPeriod,'📅 الحضور'!$E:$E,"متأخر"),0))</f>
        <v>0</v>
      </c>
      <c r="F41" s="82">
        <f>IFERROR(VLOOKUP(B41,'👥 بيانات الموظفين'!$B:$H,7,0),0)</f>
        <v>0</v>
      </c>
      <c r="G41" s="82">
        <f>IFERROR(VLOOKUP(B41,'👥 بيانات الموظفين'!$B:$I,8,0),0)</f>
        <v>0</v>
      </c>
      <c r="H41" s="82">
        <f>IFERROR(VLOOKUP(B41,'👥 بيانات الموظفين'!$B:$J,9,0),0)</f>
        <v>0</v>
      </c>
      <c r="I41" s="82">
        <f>IF(B41="",0,IFERROR(SUMIFS('➕ الخصومات والمكافآت'!$E:$E,'➕ الخصومات والمكافآت'!$B:$B,B41,'➕ الخصومات والمكافآت'!$F:$F,PayPeriod,'➕ الخصومات والمكافآت'!$C:$C,"مكافأة"),0))</f>
        <v>0</v>
      </c>
      <c r="J41" s="82">
        <f t="shared" si="6"/>
        <v>0</v>
      </c>
      <c r="K41" s="82">
        <f>IF(B41="",0,IFERROR(COUNTIFS('📅 الحضور'!$B:$B,B41,'📅 الحضور'!$L:$L,PayPeriod,'📅 الحضور'!$E:$E,"غائب")*F41/WorkDaysMonth,0))</f>
        <v>0</v>
      </c>
      <c r="L41" s="82">
        <f>IF(B41="",0,IFERROR(SUMIFS('📅 الحضور'!$I:$I,'📅 الحضور'!$B:$B,B41,'📅 الحضور'!$L:$L,PayPeriod)/60/WorkHoursDay*F41/WorkDaysMonth,0))</f>
        <v>0</v>
      </c>
      <c r="M41" s="82">
        <f>IF(B41="",0,IFERROR(SUMIFS('➕ الخصومات والمكافآت'!$E:$E,'➕ الخصومات والمكافآت'!$B:$B,B41,'➕ الخصومات والمكافآت'!$F:$F,PayPeriod,'➕ الخصومات والمكافآت'!$C:$C,"خصم"),0))</f>
        <v>0</v>
      </c>
      <c r="N41" s="82">
        <f t="shared" si="7"/>
        <v>0</v>
      </c>
      <c r="O41" s="94">
        <f t="shared" si="8"/>
        <v>0</v>
      </c>
      <c r="P41" s="53"/>
      <c r="Q41" s="88">
        <f>IF(B41="",0,IFERROR(SUMIFS('📅 الحضور'!$J:$J,'📅 الحضور'!$B:$B,B41,'📅 الحضور'!$L:$L,PayPeriod),0))</f>
        <v>0</v>
      </c>
      <c r="R41" s="89">
        <f t="shared" si="9"/>
        <v>0</v>
      </c>
      <c r="S41" s="89">
        <f>IF(B41="",0,IF(IFERROR(VLOOKUP(B41,'👥 بيانات الموظفين'!$B:$D,3,0),"")="سعودي",MIN(F41+G41,GosiCeiling)*GosiEmpRate,IF(IFERROR(VLOOKUP(B41,'👥 بيانات الموظفين'!$B:$D,3,0),"")="سعودية",MIN(F41+G41,GosiCeiling)*GosiEmpRate,0)))</f>
        <v>0</v>
      </c>
      <c r="T41" s="89">
        <f>IF(B41="",0,IF(OR(IFERROR(VLOOKUP(B41,'👥 بيانات الموظفين'!$B:$D,3,0),"")="سعودي",IFERROR(VLOOKUP(B41,'👥 بيانات الموظفين'!$B:$D,3,0),"")="سعودية"),MIN(F41+G41,GosiCeiling)*GosiCoRate,(F41+G41)*0.02))</f>
        <v>0</v>
      </c>
      <c r="U41" s="89">
        <f>IF(B41="",0,IFERROR(IF(VLOOKUP(B41,'👥 بيانات الموظفين'!$B:$M,12,0)&lt;5,F41/24,F41/12),0))</f>
        <v>0</v>
      </c>
    </row>
    <row r="42" spans="1:21" ht="22.15" customHeight="1" x14ac:dyDescent="0.2">
      <c r="A42" s="57">
        <f t="shared" si="5"/>
        <v>38</v>
      </c>
      <c r="B42" s="57">
        <f>IFERROR('👥 بيانات الموظفين'!B42,"")</f>
        <v>0</v>
      </c>
      <c r="C42" s="57" t="str">
        <f>IFERROR(VLOOKUP(B42,'👥 بيانات الموظفين'!$B:$C,2,0),"")</f>
        <v/>
      </c>
      <c r="D42" s="57" t="str">
        <f>IFERROR(VLOOKUP(B42,'👥 بيانات الموظفين'!$B:$E,4,0),"")</f>
        <v/>
      </c>
      <c r="E42" s="69">
        <f>IF(B42="",0,IFERROR(COUNTIFS('📅 الحضور'!$B:$B,B42,'📅 الحضور'!$L:$L,PayPeriod,'📅 الحضور'!$E:$E,"حاضر")+COUNTIFS('📅 الحضور'!$B:$B,B42,'📅 الحضور'!$L:$L,PayPeriod,'📅 الحضور'!$E:$E,"متأخر"),0))</f>
        <v>0</v>
      </c>
      <c r="F42" s="83">
        <f>IFERROR(VLOOKUP(B42,'👥 بيانات الموظفين'!$B:$H,7,0),0)</f>
        <v>0</v>
      </c>
      <c r="G42" s="83">
        <f>IFERROR(VLOOKUP(B42,'👥 بيانات الموظفين'!$B:$I,8,0),0)</f>
        <v>0</v>
      </c>
      <c r="H42" s="83">
        <f>IFERROR(VLOOKUP(B42,'👥 بيانات الموظفين'!$B:$J,9,0),0)</f>
        <v>0</v>
      </c>
      <c r="I42" s="83">
        <f>IF(B42="",0,IFERROR(SUMIFS('➕ الخصومات والمكافآت'!$E:$E,'➕ الخصومات والمكافآت'!$B:$B,B42,'➕ الخصومات والمكافآت'!$F:$F,PayPeriod,'➕ الخصومات والمكافآت'!$C:$C,"مكافأة"),0))</f>
        <v>0</v>
      </c>
      <c r="J42" s="83">
        <f t="shared" si="6"/>
        <v>0</v>
      </c>
      <c r="K42" s="83">
        <f>IF(B42="",0,IFERROR(COUNTIFS('📅 الحضور'!$B:$B,B42,'📅 الحضور'!$L:$L,PayPeriod,'📅 الحضور'!$E:$E,"غائب")*F42/WorkDaysMonth,0))</f>
        <v>0</v>
      </c>
      <c r="L42" s="83">
        <f>IF(B42="",0,IFERROR(SUMIFS('📅 الحضور'!$I:$I,'📅 الحضور'!$B:$B,B42,'📅 الحضور'!$L:$L,PayPeriod)/60/WorkHoursDay*F42/WorkDaysMonth,0))</f>
        <v>0</v>
      </c>
      <c r="M42" s="83">
        <f>IF(B42="",0,IFERROR(SUMIFS('➕ الخصومات والمكافآت'!$E:$E,'➕ الخصومات والمكافآت'!$B:$B,B42,'➕ الخصومات والمكافآت'!$F:$F,PayPeriod,'➕ الخصومات والمكافآت'!$C:$C,"خصم"),0))</f>
        <v>0</v>
      </c>
      <c r="N42" s="83">
        <f t="shared" si="7"/>
        <v>0</v>
      </c>
      <c r="O42" s="95">
        <f t="shared" si="8"/>
        <v>0</v>
      </c>
      <c r="P42" s="57"/>
      <c r="Q42" s="90">
        <f>IF(B42="",0,IFERROR(SUMIFS('📅 الحضور'!$J:$J,'📅 الحضور'!$B:$B,B42,'📅 الحضور'!$L:$L,PayPeriod),0))</f>
        <v>0</v>
      </c>
      <c r="R42" s="91">
        <f t="shared" si="9"/>
        <v>0</v>
      </c>
      <c r="S42" s="91">
        <f>IF(B42="",0,IF(IFERROR(VLOOKUP(B42,'👥 بيانات الموظفين'!$B:$D,3,0),"")="سعودي",MIN(F42+G42,GosiCeiling)*GosiEmpRate,IF(IFERROR(VLOOKUP(B42,'👥 بيانات الموظفين'!$B:$D,3,0),"")="سعودية",MIN(F42+G42,GosiCeiling)*GosiEmpRate,0)))</f>
        <v>0</v>
      </c>
      <c r="T42" s="91">
        <f>IF(B42="",0,IF(OR(IFERROR(VLOOKUP(B42,'👥 بيانات الموظفين'!$B:$D,3,0),"")="سعودي",IFERROR(VLOOKUP(B42,'👥 بيانات الموظفين'!$B:$D,3,0),"")="سعودية"),MIN(F42+G42,GosiCeiling)*GosiCoRate,(F42+G42)*0.02))</f>
        <v>0</v>
      </c>
      <c r="U42" s="91">
        <f>IF(B42="",0,IFERROR(IF(VLOOKUP(B42,'👥 بيانات الموظفين'!$B:$M,12,0)&lt;5,F42/24,F42/12),0))</f>
        <v>0</v>
      </c>
    </row>
    <row r="43" spans="1:21" ht="22.15" customHeight="1" x14ac:dyDescent="0.2">
      <c r="A43" s="53">
        <f t="shared" si="5"/>
        <v>39</v>
      </c>
      <c r="B43" s="53">
        <f>IFERROR('👥 بيانات الموظفين'!B43,"")</f>
        <v>0</v>
      </c>
      <c r="C43" s="53" t="str">
        <f>IFERROR(VLOOKUP(B43,'👥 بيانات الموظفين'!$B:$C,2,0),"")</f>
        <v/>
      </c>
      <c r="D43" s="53" t="str">
        <f>IFERROR(VLOOKUP(B43,'👥 بيانات الموظفين'!$B:$E,4,0),"")</f>
        <v/>
      </c>
      <c r="E43" s="68">
        <f>IF(B43="",0,IFERROR(COUNTIFS('📅 الحضور'!$B:$B,B43,'📅 الحضور'!$L:$L,PayPeriod,'📅 الحضور'!$E:$E,"حاضر")+COUNTIFS('📅 الحضور'!$B:$B,B43,'📅 الحضور'!$L:$L,PayPeriod,'📅 الحضور'!$E:$E,"متأخر"),0))</f>
        <v>0</v>
      </c>
      <c r="F43" s="82">
        <f>IFERROR(VLOOKUP(B43,'👥 بيانات الموظفين'!$B:$H,7,0),0)</f>
        <v>0</v>
      </c>
      <c r="G43" s="82">
        <f>IFERROR(VLOOKUP(B43,'👥 بيانات الموظفين'!$B:$I,8,0),0)</f>
        <v>0</v>
      </c>
      <c r="H43" s="82">
        <f>IFERROR(VLOOKUP(B43,'👥 بيانات الموظفين'!$B:$J,9,0),0)</f>
        <v>0</v>
      </c>
      <c r="I43" s="82">
        <f>IF(B43="",0,IFERROR(SUMIFS('➕ الخصومات والمكافآت'!$E:$E,'➕ الخصومات والمكافآت'!$B:$B,B43,'➕ الخصومات والمكافآت'!$F:$F,PayPeriod,'➕ الخصومات والمكافآت'!$C:$C,"مكافأة"),0))</f>
        <v>0</v>
      </c>
      <c r="J43" s="82">
        <f t="shared" si="6"/>
        <v>0</v>
      </c>
      <c r="K43" s="82">
        <f>IF(B43="",0,IFERROR(COUNTIFS('📅 الحضور'!$B:$B,B43,'📅 الحضور'!$L:$L,PayPeriod,'📅 الحضور'!$E:$E,"غائب")*F43/WorkDaysMonth,0))</f>
        <v>0</v>
      </c>
      <c r="L43" s="82">
        <f>IF(B43="",0,IFERROR(SUMIFS('📅 الحضور'!$I:$I,'📅 الحضور'!$B:$B,B43,'📅 الحضور'!$L:$L,PayPeriod)/60/WorkHoursDay*F43/WorkDaysMonth,0))</f>
        <v>0</v>
      </c>
      <c r="M43" s="82">
        <f>IF(B43="",0,IFERROR(SUMIFS('➕ الخصومات والمكافآت'!$E:$E,'➕ الخصومات والمكافآت'!$B:$B,B43,'➕ الخصومات والمكافآت'!$F:$F,PayPeriod,'➕ الخصومات والمكافآت'!$C:$C,"خصم"),0))</f>
        <v>0</v>
      </c>
      <c r="N43" s="82">
        <f t="shared" si="7"/>
        <v>0</v>
      </c>
      <c r="O43" s="94">
        <f t="shared" si="8"/>
        <v>0</v>
      </c>
      <c r="P43" s="53"/>
      <c r="Q43" s="88">
        <f>IF(B43="",0,IFERROR(SUMIFS('📅 الحضور'!$J:$J,'📅 الحضور'!$B:$B,B43,'📅 الحضور'!$L:$L,PayPeriod),0))</f>
        <v>0</v>
      </c>
      <c r="R43" s="89">
        <f t="shared" si="9"/>
        <v>0</v>
      </c>
      <c r="S43" s="89">
        <f>IF(B43="",0,IF(IFERROR(VLOOKUP(B43,'👥 بيانات الموظفين'!$B:$D,3,0),"")="سعودي",MIN(F43+G43,GosiCeiling)*GosiEmpRate,IF(IFERROR(VLOOKUP(B43,'👥 بيانات الموظفين'!$B:$D,3,0),"")="سعودية",MIN(F43+G43,GosiCeiling)*GosiEmpRate,0)))</f>
        <v>0</v>
      </c>
      <c r="T43" s="89">
        <f>IF(B43="",0,IF(OR(IFERROR(VLOOKUP(B43,'👥 بيانات الموظفين'!$B:$D,3,0),"")="سعودي",IFERROR(VLOOKUP(B43,'👥 بيانات الموظفين'!$B:$D,3,0),"")="سعودية"),MIN(F43+G43,GosiCeiling)*GosiCoRate,(F43+G43)*0.02))</f>
        <v>0</v>
      </c>
      <c r="U43" s="89">
        <f>IF(B43="",0,IFERROR(IF(VLOOKUP(B43,'👥 بيانات الموظفين'!$B:$M,12,0)&lt;5,F43/24,F43/12),0))</f>
        <v>0</v>
      </c>
    </row>
    <row r="44" spans="1:21" ht="22.15" customHeight="1" x14ac:dyDescent="0.2">
      <c r="A44" s="57">
        <f t="shared" si="5"/>
        <v>40</v>
      </c>
      <c r="B44" s="57">
        <f>IFERROR('👥 بيانات الموظفين'!B44,"")</f>
        <v>0</v>
      </c>
      <c r="C44" s="57" t="str">
        <f>IFERROR(VLOOKUP(B44,'👥 بيانات الموظفين'!$B:$C,2,0),"")</f>
        <v/>
      </c>
      <c r="D44" s="57" t="str">
        <f>IFERROR(VLOOKUP(B44,'👥 بيانات الموظفين'!$B:$E,4,0),"")</f>
        <v/>
      </c>
      <c r="E44" s="69">
        <f>IF(B44="",0,IFERROR(COUNTIFS('📅 الحضور'!$B:$B,B44,'📅 الحضور'!$L:$L,PayPeriod,'📅 الحضور'!$E:$E,"حاضر")+COUNTIFS('📅 الحضور'!$B:$B,B44,'📅 الحضور'!$L:$L,PayPeriod,'📅 الحضور'!$E:$E,"متأخر"),0))</f>
        <v>0</v>
      </c>
      <c r="F44" s="83">
        <f>IFERROR(VLOOKUP(B44,'👥 بيانات الموظفين'!$B:$H,7,0),0)</f>
        <v>0</v>
      </c>
      <c r="G44" s="83">
        <f>IFERROR(VLOOKUP(B44,'👥 بيانات الموظفين'!$B:$I,8,0),0)</f>
        <v>0</v>
      </c>
      <c r="H44" s="83">
        <f>IFERROR(VLOOKUP(B44,'👥 بيانات الموظفين'!$B:$J,9,0),0)</f>
        <v>0</v>
      </c>
      <c r="I44" s="83">
        <f>IF(B44="",0,IFERROR(SUMIFS('➕ الخصومات والمكافآت'!$E:$E,'➕ الخصومات والمكافآت'!$B:$B,B44,'➕ الخصومات والمكافآت'!$F:$F,PayPeriod,'➕ الخصومات والمكافآت'!$C:$C,"مكافأة"),0))</f>
        <v>0</v>
      </c>
      <c r="J44" s="83">
        <f t="shared" si="6"/>
        <v>0</v>
      </c>
      <c r="K44" s="83">
        <f>IF(B44="",0,IFERROR(COUNTIFS('📅 الحضور'!$B:$B,B44,'📅 الحضور'!$L:$L,PayPeriod,'📅 الحضور'!$E:$E,"غائب")*F44/WorkDaysMonth,0))</f>
        <v>0</v>
      </c>
      <c r="L44" s="83">
        <f>IF(B44="",0,IFERROR(SUMIFS('📅 الحضور'!$I:$I,'📅 الحضور'!$B:$B,B44,'📅 الحضور'!$L:$L,PayPeriod)/60/WorkHoursDay*F44/WorkDaysMonth,0))</f>
        <v>0</v>
      </c>
      <c r="M44" s="83">
        <f>IF(B44="",0,IFERROR(SUMIFS('➕ الخصومات والمكافآت'!$E:$E,'➕ الخصومات والمكافآت'!$B:$B,B44,'➕ الخصومات والمكافآت'!$F:$F,PayPeriod,'➕ الخصومات والمكافآت'!$C:$C,"خصم"),0))</f>
        <v>0</v>
      </c>
      <c r="N44" s="83">
        <f t="shared" si="7"/>
        <v>0</v>
      </c>
      <c r="O44" s="95">
        <f t="shared" si="8"/>
        <v>0</v>
      </c>
      <c r="P44" s="57"/>
      <c r="Q44" s="90">
        <f>IF(B44="",0,IFERROR(SUMIFS('📅 الحضور'!$J:$J,'📅 الحضور'!$B:$B,B44,'📅 الحضور'!$L:$L,PayPeriod),0))</f>
        <v>0</v>
      </c>
      <c r="R44" s="91">
        <f t="shared" si="9"/>
        <v>0</v>
      </c>
      <c r="S44" s="91">
        <f>IF(B44="",0,IF(IFERROR(VLOOKUP(B44,'👥 بيانات الموظفين'!$B:$D,3,0),"")="سعودي",MIN(F44+G44,GosiCeiling)*GosiEmpRate,IF(IFERROR(VLOOKUP(B44,'👥 بيانات الموظفين'!$B:$D,3,0),"")="سعودية",MIN(F44+G44,GosiCeiling)*GosiEmpRate,0)))</f>
        <v>0</v>
      </c>
      <c r="T44" s="91">
        <f>IF(B44="",0,IF(OR(IFERROR(VLOOKUP(B44,'👥 بيانات الموظفين'!$B:$D,3,0),"")="سعودي",IFERROR(VLOOKUP(B44,'👥 بيانات الموظفين'!$B:$D,3,0),"")="سعودية"),MIN(F44+G44,GosiCeiling)*GosiCoRate,(F44+G44)*0.02))</f>
        <v>0</v>
      </c>
      <c r="U44" s="91">
        <f>IF(B44="",0,IFERROR(IF(VLOOKUP(B44,'👥 بيانات الموظفين'!$B:$M,12,0)&lt;5,F44/24,F44/12),0))</f>
        <v>0</v>
      </c>
    </row>
    <row r="45" spans="1:21" ht="22.15" customHeight="1" x14ac:dyDescent="0.2">
      <c r="A45" s="53">
        <f t="shared" si="5"/>
        <v>41</v>
      </c>
      <c r="B45" s="53">
        <f>IFERROR('👥 بيانات الموظفين'!B45,"")</f>
        <v>0</v>
      </c>
      <c r="C45" s="53" t="str">
        <f>IFERROR(VLOOKUP(B45,'👥 بيانات الموظفين'!$B:$C,2,0),"")</f>
        <v/>
      </c>
      <c r="D45" s="53" t="str">
        <f>IFERROR(VLOOKUP(B45,'👥 بيانات الموظفين'!$B:$E,4,0),"")</f>
        <v/>
      </c>
      <c r="E45" s="68">
        <f>IF(B45="",0,IFERROR(COUNTIFS('📅 الحضور'!$B:$B,B45,'📅 الحضور'!$L:$L,PayPeriod,'📅 الحضور'!$E:$E,"حاضر")+COUNTIFS('📅 الحضور'!$B:$B,B45,'📅 الحضور'!$L:$L,PayPeriod,'📅 الحضور'!$E:$E,"متأخر"),0))</f>
        <v>0</v>
      </c>
      <c r="F45" s="82">
        <f>IFERROR(VLOOKUP(B45,'👥 بيانات الموظفين'!$B:$H,7,0),0)</f>
        <v>0</v>
      </c>
      <c r="G45" s="82">
        <f>IFERROR(VLOOKUP(B45,'👥 بيانات الموظفين'!$B:$I,8,0),0)</f>
        <v>0</v>
      </c>
      <c r="H45" s="82">
        <f>IFERROR(VLOOKUP(B45,'👥 بيانات الموظفين'!$B:$J,9,0),0)</f>
        <v>0</v>
      </c>
      <c r="I45" s="82">
        <f>IF(B45="",0,IFERROR(SUMIFS('➕ الخصومات والمكافآت'!$E:$E,'➕ الخصومات والمكافآت'!$B:$B,B45,'➕ الخصومات والمكافآت'!$F:$F,PayPeriod,'➕ الخصومات والمكافآت'!$C:$C,"مكافأة"),0))</f>
        <v>0</v>
      </c>
      <c r="J45" s="82">
        <f t="shared" si="6"/>
        <v>0</v>
      </c>
      <c r="K45" s="82">
        <f>IF(B45="",0,IFERROR(COUNTIFS('📅 الحضور'!$B:$B,B45,'📅 الحضور'!$L:$L,PayPeriod,'📅 الحضور'!$E:$E,"غائب")*F45/WorkDaysMonth,0))</f>
        <v>0</v>
      </c>
      <c r="L45" s="82">
        <f>IF(B45="",0,IFERROR(SUMIFS('📅 الحضور'!$I:$I,'📅 الحضور'!$B:$B,B45,'📅 الحضور'!$L:$L,PayPeriod)/60/WorkHoursDay*F45/WorkDaysMonth,0))</f>
        <v>0</v>
      </c>
      <c r="M45" s="82">
        <f>IF(B45="",0,IFERROR(SUMIFS('➕ الخصومات والمكافآت'!$E:$E,'➕ الخصومات والمكافآت'!$B:$B,B45,'➕ الخصومات والمكافآت'!$F:$F,PayPeriod,'➕ الخصومات والمكافآت'!$C:$C,"خصم"),0))</f>
        <v>0</v>
      </c>
      <c r="N45" s="82">
        <f t="shared" si="7"/>
        <v>0</v>
      </c>
      <c r="O45" s="94">
        <f t="shared" si="8"/>
        <v>0</v>
      </c>
      <c r="P45" s="53"/>
      <c r="Q45" s="88">
        <f>IF(B45="",0,IFERROR(SUMIFS('📅 الحضور'!$J:$J,'📅 الحضور'!$B:$B,B45,'📅 الحضور'!$L:$L,PayPeriod),0))</f>
        <v>0</v>
      </c>
      <c r="R45" s="89">
        <f t="shared" si="9"/>
        <v>0</v>
      </c>
      <c r="S45" s="89">
        <f>IF(B45="",0,IF(IFERROR(VLOOKUP(B45,'👥 بيانات الموظفين'!$B:$D,3,0),"")="سعودي",MIN(F45+G45,GosiCeiling)*GosiEmpRate,IF(IFERROR(VLOOKUP(B45,'👥 بيانات الموظفين'!$B:$D,3,0),"")="سعودية",MIN(F45+G45,GosiCeiling)*GosiEmpRate,0)))</f>
        <v>0</v>
      </c>
      <c r="T45" s="89">
        <f>IF(B45="",0,IF(OR(IFERROR(VLOOKUP(B45,'👥 بيانات الموظفين'!$B:$D,3,0),"")="سعودي",IFERROR(VLOOKUP(B45,'👥 بيانات الموظفين'!$B:$D,3,0),"")="سعودية"),MIN(F45+G45,GosiCeiling)*GosiCoRate,(F45+G45)*0.02))</f>
        <v>0</v>
      </c>
      <c r="U45" s="89">
        <f>IF(B45="",0,IFERROR(IF(VLOOKUP(B45,'👥 بيانات الموظفين'!$B:$M,12,0)&lt;5,F45/24,F45/12),0))</f>
        <v>0</v>
      </c>
    </row>
    <row r="46" spans="1:21" ht="22.15" customHeight="1" x14ac:dyDescent="0.2">
      <c r="A46" s="57">
        <f t="shared" si="5"/>
        <v>42</v>
      </c>
      <c r="B46" s="57">
        <f>IFERROR('👥 بيانات الموظفين'!B46,"")</f>
        <v>0</v>
      </c>
      <c r="C46" s="57" t="str">
        <f>IFERROR(VLOOKUP(B46,'👥 بيانات الموظفين'!$B:$C,2,0),"")</f>
        <v/>
      </c>
      <c r="D46" s="57" t="str">
        <f>IFERROR(VLOOKUP(B46,'👥 بيانات الموظفين'!$B:$E,4,0),"")</f>
        <v/>
      </c>
      <c r="E46" s="69">
        <f>IF(B46="",0,IFERROR(COUNTIFS('📅 الحضور'!$B:$B,B46,'📅 الحضور'!$L:$L,PayPeriod,'📅 الحضور'!$E:$E,"حاضر")+COUNTIFS('📅 الحضور'!$B:$B,B46,'📅 الحضور'!$L:$L,PayPeriod,'📅 الحضور'!$E:$E,"متأخر"),0))</f>
        <v>0</v>
      </c>
      <c r="F46" s="83">
        <f>IFERROR(VLOOKUP(B46,'👥 بيانات الموظفين'!$B:$H,7,0),0)</f>
        <v>0</v>
      </c>
      <c r="G46" s="83">
        <f>IFERROR(VLOOKUP(B46,'👥 بيانات الموظفين'!$B:$I,8,0),0)</f>
        <v>0</v>
      </c>
      <c r="H46" s="83">
        <f>IFERROR(VLOOKUP(B46,'👥 بيانات الموظفين'!$B:$J,9,0),0)</f>
        <v>0</v>
      </c>
      <c r="I46" s="83">
        <f>IF(B46="",0,IFERROR(SUMIFS('➕ الخصومات والمكافآت'!$E:$E,'➕ الخصومات والمكافآت'!$B:$B,B46,'➕ الخصومات والمكافآت'!$F:$F,PayPeriod,'➕ الخصومات والمكافآت'!$C:$C,"مكافأة"),0))</f>
        <v>0</v>
      </c>
      <c r="J46" s="83">
        <f t="shared" si="6"/>
        <v>0</v>
      </c>
      <c r="K46" s="83">
        <f>IF(B46="",0,IFERROR(COUNTIFS('📅 الحضور'!$B:$B,B46,'📅 الحضور'!$L:$L,PayPeriod,'📅 الحضور'!$E:$E,"غائب")*F46/WorkDaysMonth,0))</f>
        <v>0</v>
      </c>
      <c r="L46" s="83">
        <f>IF(B46="",0,IFERROR(SUMIFS('📅 الحضور'!$I:$I,'📅 الحضور'!$B:$B,B46,'📅 الحضور'!$L:$L,PayPeriod)/60/WorkHoursDay*F46/WorkDaysMonth,0))</f>
        <v>0</v>
      </c>
      <c r="M46" s="83">
        <f>IF(B46="",0,IFERROR(SUMIFS('➕ الخصومات والمكافآت'!$E:$E,'➕ الخصومات والمكافآت'!$B:$B,B46,'➕ الخصومات والمكافآت'!$F:$F,PayPeriod,'➕ الخصومات والمكافآت'!$C:$C,"خصم"),0))</f>
        <v>0</v>
      </c>
      <c r="N46" s="83">
        <f t="shared" si="7"/>
        <v>0</v>
      </c>
      <c r="O46" s="95">
        <f t="shared" si="8"/>
        <v>0</v>
      </c>
      <c r="P46" s="57"/>
      <c r="Q46" s="90">
        <f>IF(B46="",0,IFERROR(SUMIFS('📅 الحضور'!$J:$J,'📅 الحضور'!$B:$B,B46,'📅 الحضور'!$L:$L,PayPeriod),0))</f>
        <v>0</v>
      </c>
      <c r="R46" s="91">
        <f t="shared" si="9"/>
        <v>0</v>
      </c>
      <c r="S46" s="91">
        <f>IF(B46="",0,IF(IFERROR(VLOOKUP(B46,'👥 بيانات الموظفين'!$B:$D,3,0),"")="سعودي",MIN(F46+G46,GosiCeiling)*GosiEmpRate,IF(IFERROR(VLOOKUP(B46,'👥 بيانات الموظفين'!$B:$D,3,0),"")="سعودية",MIN(F46+G46,GosiCeiling)*GosiEmpRate,0)))</f>
        <v>0</v>
      </c>
      <c r="T46" s="91">
        <f>IF(B46="",0,IF(OR(IFERROR(VLOOKUP(B46,'👥 بيانات الموظفين'!$B:$D,3,0),"")="سعودي",IFERROR(VLOOKUP(B46,'👥 بيانات الموظفين'!$B:$D,3,0),"")="سعودية"),MIN(F46+G46,GosiCeiling)*GosiCoRate,(F46+G46)*0.02))</f>
        <v>0</v>
      </c>
      <c r="U46" s="91">
        <f>IF(B46="",0,IFERROR(IF(VLOOKUP(B46,'👥 بيانات الموظفين'!$B:$M,12,0)&lt;5,F46/24,F46/12),0))</f>
        <v>0</v>
      </c>
    </row>
    <row r="47" spans="1:21" ht="22.15" customHeight="1" x14ac:dyDescent="0.2">
      <c r="A47" s="53">
        <f t="shared" si="5"/>
        <v>43</v>
      </c>
      <c r="B47" s="53">
        <f>IFERROR('👥 بيانات الموظفين'!B47,"")</f>
        <v>0</v>
      </c>
      <c r="C47" s="53" t="str">
        <f>IFERROR(VLOOKUP(B47,'👥 بيانات الموظفين'!$B:$C,2,0),"")</f>
        <v/>
      </c>
      <c r="D47" s="53" t="str">
        <f>IFERROR(VLOOKUP(B47,'👥 بيانات الموظفين'!$B:$E,4,0),"")</f>
        <v/>
      </c>
      <c r="E47" s="68">
        <f>IF(B47="",0,IFERROR(COUNTIFS('📅 الحضور'!$B:$B,B47,'📅 الحضور'!$L:$L,PayPeriod,'📅 الحضور'!$E:$E,"حاضر")+COUNTIFS('📅 الحضور'!$B:$B,B47,'📅 الحضور'!$L:$L,PayPeriod,'📅 الحضور'!$E:$E,"متأخر"),0))</f>
        <v>0</v>
      </c>
      <c r="F47" s="82">
        <f>IFERROR(VLOOKUP(B47,'👥 بيانات الموظفين'!$B:$H,7,0),0)</f>
        <v>0</v>
      </c>
      <c r="G47" s="82">
        <f>IFERROR(VLOOKUP(B47,'👥 بيانات الموظفين'!$B:$I,8,0),0)</f>
        <v>0</v>
      </c>
      <c r="H47" s="82">
        <f>IFERROR(VLOOKUP(B47,'👥 بيانات الموظفين'!$B:$J,9,0),0)</f>
        <v>0</v>
      </c>
      <c r="I47" s="82">
        <f>IF(B47="",0,IFERROR(SUMIFS('➕ الخصومات والمكافآت'!$E:$E,'➕ الخصومات والمكافآت'!$B:$B,B47,'➕ الخصومات والمكافآت'!$F:$F,PayPeriod,'➕ الخصومات والمكافآت'!$C:$C,"مكافأة"),0))</f>
        <v>0</v>
      </c>
      <c r="J47" s="82">
        <f t="shared" si="6"/>
        <v>0</v>
      </c>
      <c r="K47" s="82">
        <f>IF(B47="",0,IFERROR(COUNTIFS('📅 الحضور'!$B:$B,B47,'📅 الحضور'!$L:$L,PayPeriod,'📅 الحضور'!$E:$E,"غائب")*F47/WorkDaysMonth,0))</f>
        <v>0</v>
      </c>
      <c r="L47" s="82">
        <f>IF(B47="",0,IFERROR(SUMIFS('📅 الحضور'!$I:$I,'📅 الحضور'!$B:$B,B47,'📅 الحضور'!$L:$L,PayPeriod)/60/WorkHoursDay*F47/WorkDaysMonth,0))</f>
        <v>0</v>
      </c>
      <c r="M47" s="82">
        <f>IF(B47="",0,IFERROR(SUMIFS('➕ الخصومات والمكافآت'!$E:$E,'➕ الخصومات والمكافآت'!$B:$B,B47,'➕ الخصومات والمكافآت'!$F:$F,PayPeriod,'➕ الخصومات والمكافآت'!$C:$C,"خصم"),0))</f>
        <v>0</v>
      </c>
      <c r="N47" s="82">
        <f t="shared" si="7"/>
        <v>0</v>
      </c>
      <c r="O47" s="94">
        <f t="shared" si="8"/>
        <v>0</v>
      </c>
      <c r="P47" s="53"/>
      <c r="Q47" s="88">
        <f>IF(B47="",0,IFERROR(SUMIFS('📅 الحضور'!$J:$J,'📅 الحضور'!$B:$B,B47,'📅 الحضور'!$L:$L,PayPeriod),0))</f>
        <v>0</v>
      </c>
      <c r="R47" s="89">
        <f t="shared" si="9"/>
        <v>0</v>
      </c>
      <c r="S47" s="89">
        <f>IF(B47="",0,IF(IFERROR(VLOOKUP(B47,'👥 بيانات الموظفين'!$B:$D,3,0),"")="سعودي",MIN(F47+G47,GosiCeiling)*GosiEmpRate,IF(IFERROR(VLOOKUP(B47,'👥 بيانات الموظفين'!$B:$D,3,0),"")="سعودية",MIN(F47+G47,GosiCeiling)*GosiEmpRate,0)))</f>
        <v>0</v>
      </c>
      <c r="T47" s="89">
        <f>IF(B47="",0,IF(OR(IFERROR(VLOOKUP(B47,'👥 بيانات الموظفين'!$B:$D,3,0),"")="سعودي",IFERROR(VLOOKUP(B47,'👥 بيانات الموظفين'!$B:$D,3,0),"")="سعودية"),MIN(F47+G47,GosiCeiling)*GosiCoRate,(F47+G47)*0.02))</f>
        <v>0</v>
      </c>
      <c r="U47" s="89">
        <f>IF(B47="",0,IFERROR(IF(VLOOKUP(B47,'👥 بيانات الموظفين'!$B:$M,12,0)&lt;5,F47/24,F47/12),0))</f>
        <v>0</v>
      </c>
    </row>
    <row r="48" spans="1:21" ht="22.15" customHeight="1" x14ac:dyDescent="0.2">
      <c r="A48" s="57">
        <f t="shared" si="5"/>
        <v>44</v>
      </c>
      <c r="B48" s="57">
        <f>IFERROR('👥 بيانات الموظفين'!B48,"")</f>
        <v>0</v>
      </c>
      <c r="C48" s="57" t="str">
        <f>IFERROR(VLOOKUP(B48,'👥 بيانات الموظفين'!$B:$C,2,0),"")</f>
        <v/>
      </c>
      <c r="D48" s="57" t="str">
        <f>IFERROR(VLOOKUP(B48,'👥 بيانات الموظفين'!$B:$E,4,0),"")</f>
        <v/>
      </c>
      <c r="E48" s="69">
        <f>IF(B48="",0,IFERROR(COUNTIFS('📅 الحضور'!$B:$B,B48,'📅 الحضور'!$L:$L,PayPeriod,'📅 الحضور'!$E:$E,"حاضر")+COUNTIFS('📅 الحضور'!$B:$B,B48,'📅 الحضور'!$L:$L,PayPeriod,'📅 الحضور'!$E:$E,"متأخر"),0))</f>
        <v>0</v>
      </c>
      <c r="F48" s="83">
        <f>IFERROR(VLOOKUP(B48,'👥 بيانات الموظفين'!$B:$H,7,0),0)</f>
        <v>0</v>
      </c>
      <c r="G48" s="83">
        <f>IFERROR(VLOOKUP(B48,'👥 بيانات الموظفين'!$B:$I,8,0),0)</f>
        <v>0</v>
      </c>
      <c r="H48" s="83">
        <f>IFERROR(VLOOKUP(B48,'👥 بيانات الموظفين'!$B:$J,9,0),0)</f>
        <v>0</v>
      </c>
      <c r="I48" s="83">
        <f>IF(B48="",0,IFERROR(SUMIFS('➕ الخصومات والمكافآت'!$E:$E,'➕ الخصومات والمكافآت'!$B:$B,B48,'➕ الخصومات والمكافآت'!$F:$F,PayPeriod,'➕ الخصومات والمكافآت'!$C:$C,"مكافأة"),0))</f>
        <v>0</v>
      </c>
      <c r="J48" s="83">
        <f t="shared" si="6"/>
        <v>0</v>
      </c>
      <c r="K48" s="83">
        <f>IF(B48="",0,IFERROR(COUNTIFS('📅 الحضور'!$B:$B,B48,'📅 الحضور'!$L:$L,PayPeriod,'📅 الحضور'!$E:$E,"غائب")*F48/WorkDaysMonth,0))</f>
        <v>0</v>
      </c>
      <c r="L48" s="83">
        <f>IF(B48="",0,IFERROR(SUMIFS('📅 الحضور'!$I:$I,'📅 الحضور'!$B:$B,B48,'📅 الحضور'!$L:$L,PayPeriod)/60/WorkHoursDay*F48/WorkDaysMonth,0))</f>
        <v>0</v>
      </c>
      <c r="M48" s="83">
        <f>IF(B48="",0,IFERROR(SUMIFS('➕ الخصومات والمكافآت'!$E:$E,'➕ الخصومات والمكافآت'!$B:$B,B48,'➕ الخصومات والمكافآت'!$F:$F,PayPeriod,'➕ الخصومات والمكافآت'!$C:$C,"خصم"),0))</f>
        <v>0</v>
      </c>
      <c r="N48" s="83">
        <f t="shared" si="7"/>
        <v>0</v>
      </c>
      <c r="O48" s="95">
        <f t="shared" si="8"/>
        <v>0</v>
      </c>
      <c r="P48" s="57"/>
      <c r="Q48" s="90">
        <f>IF(B48="",0,IFERROR(SUMIFS('📅 الحضور'!$J:$J,'📅 الحضور'!$B:$B,B48,'📅 الحضور'!$L:$L,PayPeriod),0))</f>
        <v>0</v>
      </c>
      <c r="R48" s="91">
        <f t="shared" si="9"/>
        <v>0</v>
      </c>
      <c r="S48" s="91">
        <f>IF(B48="",0,IF(IFERROR(VLOOKUP(B48,'👥 بيانات الموظفين'!$B:$D,3,0),"")="سعودي",MIN(F48+G48,GosiCeiling)*GosiEmpRate,IF(IFERROR(VLOOKUP(B48,'👥 بيانات الموظفين'!$B:$D,3,0),"")="سعودية",MIN(F48+G48,GosiCeiling)*GosiEmpRate,0)))</f>
        <v>0</v>
      </c>
      <c r="T48" s="91">
        <f>IF(B48="",0,IF(OR(IFERROR(VLOOKUP(B48,'👥 بيانات الموظفين'!$B:$D,3,0),"")="سعودي",IFERROR(VLOOKUP(B48,'👥 بيانات الموظفين'!$B:$D,3,0),"")="سعودية"),MIN(F48+G48,GosiCeiling)*GosiCoRate,(F48+G48)*0.02))</f>
        <v>0</v>
      </c>
      <c r="U48" s="91">
        <f>IF(B48="",0,IFERROR(IF(VLOOKUP(B48,'👥 بيانات الموظفين'!$B:$M,12,0)&lt;5,F48/24,F48/12),0))</f>
        <v>0</v>
      </c>
    </row>
    <row r="49" spans="1:21" ht="22.15" customHeight="1" x14ac:dyDescent="0.2">
      <c r="A49" s="53">
        <f t="shared" si="5"/>
        <v>45</v>
      </c>
      <c r="B49" s="53">
        <f>IFERROR('👥 بيانات الموظفين'!B49,"")</f>
        <v>0</v>
      </c>
      <c r="C49" s="53" t="str">
        <f>IFERROR(VLOOKUP(B49,'👥 بيانات الموظفين'!$B:$C,2,0),"")</f>
        <v/>
      </c>
      <c r="D49" s="53" t="str">
        <f>IFERROR(VLOOKUP(B49,'👥 بيانات الموظفين'!$B:$E,4,0),"")</f>
        <v/>
      </c>
      <c r="E49" s="68">
        <f>IF(B49="",0,IFERROR(COUNTIFS('📅 الحضور'!$B:$B,B49,'📅 الحضور'!$L:$L,PayPeriod,'📅 الحضور'!$E:$E,"حاضر")+COUNTIFS('📅 الحضور'!$B:$B,B49,'📅 الحضور'!$L:$L,PayPeriod,'📅 الحضور'!$E:$E,"متأخر"),0))</f>
        <v>0</v>
      </c>
      <c r="F49" s="82">
        <f>IFERROR(VLOOKUP(B49,'👥 بيانات الموظفين'!$B:$H,7,0),0)</f>
        <v>0</v>
      </c>
      <c r="G49" s="82">
        <f>IFERROR(VLOOKUP(B49,'👥 بيانات الموظفين'!$B:$I,8,0),0)</f>
        <v>0</v>
      </c>
      <c r="H49" s="82">
        <f>IFERROR(VLOOKUP(B49,'👥 بيانات الموظفين'!$B:$J,9,0),0)</f>
        <v>0</v>
      </c>
      <c r="I49" s="82">
        <f>IF(B49="",0,IFERROR(SUMIFS('➕ الخصومات والمكافآت'!$E:$E,'➕ الخصومات والمكافآت'!$B:$B,B49,'➕ الخصومات والمكافآت'!$F:$F,PayPeriod,'➕ الخصومات والمكافآت'!$C:$C,"مكافأة"),0))</f>
        <v>0</v>
      </c>
      <c r="J49" s="82">
        <f t="shared" si="6"/>
        <v>0</v>
      </c>
      <c r="K49" s="82">
        <f>IF(B49="",0,IFERROR(COUNTIFS('📅 الحضور'!$B:$B,B49,'📅 الحضور'!$L:$L,PayPeriod,'📅 الحضور'!$E:$E,"غائب")*F49/WorkDaysMonth,0))</f>
        <v>0</v>
      </c>
      <c r="L49" s="82">
        <f>IF(B49="",0,IFERROR(SUMIFS('📅 الحضور'!$I:$I,'📅 الحضور'!$B:$B,B49,'📅 الحضور'!$L:$L,PayPeriod)/60/WorkHoursDay*F49/WorkDaysMonth,0))</f>
        <v>0</v>
      </c>
      <c r="M49" s="82">
        <f>IF(B49="",0,IFERROR(SUMIFS('➕ الخصومات والمكافآت'!$E:$E,'➕ الخصومات والمكافآت'!$B:$B,B49,'➕ الخصومات والمكافآت'!$F:$F,PayPeriod,'➕ الخصومات والمكافآت'!$C:$C,"خصم"),0))</f>
        <v>0</v>
      </c>
      <c r="N49" s="82">
        <f t="shared" si="7"/>
        <v>0</v>
      </c>
      <c r="O49" s="94">
        <f t="shared" si="8"/>
        <v>0</v>
      </c>
      <c r="P49" s="53"/>
      <c r="Q49" s="88">
        <f>IF(B49="",0,IFERROR(SUMIFS('📅 الحضور'!$J:$J,'📅 الحضور'!$B:$B,B49,'📅 الحضور'!$L:$L,PayPeriod),0))</f>
        <v>0</v>
      </c>
      <c r="R49" s="89">
        <f t="shared" si="9"/>
        <v>0</v>
      </c>
      <c r="S49" s="89">
        <f>IF(B49="",0,IF(IFERROR(VLOOKUP(B49,'👥 بيانات الموظفين'!$B:$D,3,0),"")="سعودي",MIN(F49+G49,GosiCeiling)*GosiEmpRate,IF(IFERROR(VLOOKUP(B49,'👥 بيانات الموظفين'!$B:$D,3,0),"")="سعودية",MIN(F49+G49,GosiCeiling)*GosiEmpRate,0)))</f>
        <v>0</v>
      </c>
      <c r="T49" s="89">
        <f>IF(B49="",0,IF(OR(IFERROR(VLOOKUP(B49,'👥 بيانات الموظفين'!$B:$D,3,0),"")="سعودي",IFERROR(VLOOKUP(B49,'👥 بيانات الموظفين'!$B:$D,3,0),"")="سعودية"),MIN(F49+G49,GosiCeiling)*GosiCoRate,(F49+G49)*0.02))</f>
        <v>0</v>
      </c>
      <c r="U49" s="89">
        <f>IF(B49="",0,IFERROR(IF(VLOOKUP(B49,'👥 بيانات الموظفين'!$B:$M,12,0)&lt;5,F49/24,F49/12),0))</f>
        <v>0</v>
      </c>
    </row>
    <row r="50" spans="1:21" ht="22.15" customHeight="1" x14ac:dyDescent="0.2">
      <c r="A50" s="57">
        <f t="shared" si="5"/>
        <v>46</v>
      </c>
      <c r="B50" s="57">
        <f>IFERROR('👥 بيانات الموظفين'!B50,"")</f>
        <v>0</v>
      </c>
      <c r="C50" s="57" t="str">
        <f>IFERROR(VLOOKUP(B50,'👥 بيانات الموظفين'!$B:$C,2,0),"")</f>
        <v/>
      </c>
      <c r="D50" s="57" t="str">
        <f>IFERROR(VLOOKUP(B50,'👥 بيانات الموظفين'!$B:$E,4,0),"")</f>
        <v/>
      </c>
      <c r="E50" s="69">
        <f>IF(B50="",0,IFERROR(COUNTIFS('📅 الحضور'!$B:$B,B50,'📅 الحضور'!$L:$L,PayPeriod,'📅 الحضور'!$E:$E,"حاضر")+COUNTIFS('📅 الحضور'!$B:$B,B50,'📅 الحضور'!$L:$L,PayPeriod,'📅 الحضور'!$E:$E,"متأخر"),0))</f>
        <v>0</v>
      </c>
      <c r="F50" s="83">
        <f>IFERROR(VLOOKUP(B50,'👥 بيانات الموظفين'!$B:$H,7,0),0)</f>
        <v>0</v>
      </c>
      <c r="G50" s="83">
        <f>IFERROR(VLOOKUP(B50,'👥 بيانات الموظفين'!$B:$I,8,0),0)</f>
        <v>0</v>
      </c>
      <c r="H50" s="83">
        <f>IFERROR(VLOOKUP(B50,'👥 بيانات الموظفين'!$B:$J,9,0),0)</f>
        <v>0</v>
      </c>
      <c r="I50" s="83">
        <f>IF(B50="",0,IFERROR(SUMIFS('➕ الخصومات والمكافآت'!$E:$E,'➕ الخصومات والمكافآت'!$B:$B,B50,'➕ الخصومات والمكافآت'!$F:$F,PayPeriod,'➕ الخصومات والمكافآت'!$C:$C,"مكافأة"),0))</f>
        <v>0</v>
      </c>
      <c r="J50" s="83">
        <f t="shared" si="6"/>
        <v>0</v>
      </c>
      <c r="K50" s="83">
        <f>IF(B50="",0,IFERROR(COUNTIFS('📅 الحضور'!$B:$B,B50,'📅 الحضور'!$L:$L,PayPeriod,'📅 الحضور'!$E:$E,"غائب")*F50/WorkDaysMonth,0))</f>
        <v>0</v>
      </c>
      <c r="L50" s="83">
        <f>IF(B50="",0,IFERROR(SUMIFS('📅 الحضور'!$I:$I,'📅 الحضور'!$B:$B,B50,'📅 الحضور'!$L:$L,PayPeriod)/60/WorkHoursDay*F50/WorkDaysMonth,0))</f>
        <v>0</v>
      </c>
      <c r="M50" s="83">
        <f>IF(B50="",0,IFERROR(SUMIFS('➕ الخصومات والمكافآت'!$E:$E,'➕ الخصومات والمكافآت'!$B:$B,B50,'➕ الخصومات والمكافآت'!$F:$F,PayPeriod,'➕ الخصومات والمكافآت'!$C:$C,"خصم"),0))</f>
        <v>0</v>
      </c>
      <c r="N50" s="83">
        <f t="shared" si="7"/>
        <v>0</v>
      </c>
      <c r="O50" s="95">
        <f t="shared" si="8"/>
        <v>0</v>
      </c>
      <c r="P50" s="57"/>
      <c r="Q50" s="90">
        <f>IF(B50="",0,IFERROR(SUMIFS('📅 الحضور'!$J:$J,'📅 الحضور'!$B:$B,B50,'📅 الحضور'!$L:$L,PayPeriod),0))</f>
        <v>0</v>
      </c>
      <c r="R50" s="91">
        <f t="shared" si="9"/>
        <v>0</v>
      </c>
      <c r="S50" s="91">
        <f>IF(B50="",0,IF(IFERROR(VLOOKUP(B50,'👥 بيانات الموظفين'!$B:$D,3,0),"")="سعودي",MIN(F50+G50,GosiCeiling)*GosiEmpRate,IF(IFERROR(VLOOKUP(B50,'👥 بيانات الموظفين'!$B:$D,3,0),"")="سعودية",MIN(F50+G50,GosiCeiling)*GosiEmpRate,0)))</f>
        <v>0</v>
      </c>
      <c r="T50" s="91">
        <f>IF(B50="",0,IF(OR(IFERROR(VLOOKUP(B50,'👥 بيانات الموظفين'!$B:$D,3,0),"")="سعودي",IFERROR(VLOOKUP(B50,'👥 بيانات الموظفين'!$B:$D,3,0),"")="سعودية"),MIN(F50+G50,GosiCeiling)*GosiCoRate,(F50+G50)*0.02))</f>
        <v>0</v>
      </c>
      <c r="U50" s="91">
        <f>IF(B50="",0,IFERROR(IF(VLOOKUP(B50,'👥 بيانات الموظفين'!$B:$M,12,0)&lt;5,F50/24,F50/12),0))</f>
        <v>0</v>
      </c>
    </row>
    <row r="51" spans="1:21" ht="22.15" customHeight="1" x14ac:dyDescent="0.2">
      <c r="A51" s="53">
        <f t="shared" si="5"/>
        <v>47</v>
      </c>
      <c r="B51" s="53">
        <f>IFERROR('👥 بيانات الموظفين'!B51,"")</f>
        <v>0</v>
      </c>
      <c r="C51" s="53" t="str">
        <f>IFERROR(VLOOKUP(B51,'👥 بيانات الموظفين'!$B:$C,2,0),"")</f>
        <v/>
      </c>
      <c r="D51" s="53" t="str">
        <f>IFERROR(VLOOKUP(B51,'👥 بيانات الموظفين'!$B:$E,4,0),"")</f>
        <v/>
      </c>
      <c r="E51" s="68">
        <f>IF(B51="",0,IFERROR(COUNTIFS('📅 الحضور'!$B:$B,B51,'📅 الحضور'!$L:$L,PayPeriod,'📅 الحضور'!$E:$E,"حاضر")+COUNTIFS('📅 الحضور'!$B:$B,B51,'📅 الحضور'!$L:$L,PayPeriod,'📅 الحضور'!$E:$E,"متأخر"),0))</f>
        <v>0</v>
      </c>
      <c r="F51" s="82">
        <f>IFERROR(VLOOKUP(B51,'👥 بيانات الموظفين'!$B:$H,7,0),0)</f>
        <v>0</v>
      </c>
      <c r="G51" s="82">
        <f>IFERROR(VLOOKUP(B51,'👥 بيانات الموظفين'!$B:$I,8,0),0)</f>
        <v>0</v>
      </c>
      <c r="H51" s="82">
        <f>IFERROR(VLOOKUP(B51,'👥 بيانات الموظفين'!$B:$J,9,0),0)</f>
        <v>0</v>
      </c>
      <c r="I51" s="82">
        <f>IF(B51="",0,IFERROR(SUMIFS('➕ الخصومات والمكافآت'!$E:$E,'➕ الخصومات والمكافآت'!$B:$B,B51,'➕ الخصومات والمكافآت'!$F:$F,PayPeriod,'➕ الخصومات والمكافآت'!$C:$C,"مكافأة"),0))</f>
        <v>0</v>
      </c>
      <c r="J51" s="82">
        <f t="shared" si="6"/>
        <v>0</v>
      </c>
      <c r="K51" s="82">
        <f>IF(B51="",0,IFERROR(COUNTIFS('📅 الحضور'!$B:$B,B51,'📅 الحضور'!$L:$L,PayPeriod,'📅 الحضور'!$E:$E,"غائب")*F51/WorkDaysMonth,0))</f>
        <v>0</v>
      </c>
      <c r="L51" s="82">
        <f>IF(B51="",0,IFERROR(SUMIFS('📅 الحضور'!$I:$I,'📅 الحضور'!$B:$B,B51,'📅 الحضور'!$L:$L,PayPeriod)/60/WorkHoursDay*F51/WorkDaysMonth,0))</f>
        <v>0</v>
      </c>
      <c r="M51" s="82">
        <f>IF(B51="",0,IFERROR(SUMIFS('➕ الخصومات والمكافآت'!$E:$E,'➕ الخصومات والمكافآت'!$B:$B,B51,'➕ الخصومات والمكافآت'!$F:$F,PayPeriod,'➕ الخصومات والمكافآت'!$C:$C,"خصم"),0))</f>
        <v>0</v>
      </c>
      <c r="N51" s="82">
        <f t="shared" si="7"/>
        <v>0</v>
      </c>
      <c r="O51" s="94">
        <f t="shared" si="8"/>
        <v>0</v>
      </c>
      <c r="P51" s="53"/>
      <c r="Q51" s="88">
        <f>IF(B51="",0,IFERROR(SUMIFS('📅 الحضور'!$J:$J,'📅 الحضور'!$B:$B,B51,'📅 الحضور'!$L:$L,PayPeriod),0))</f>
        <v>0</v>
      </c>
      <c r="R51" s="89">
        <f t="shared" si="9"/>
        <v>0</v>
      </c>
      <c r="S51" s="89">
        <f>IF(B51="",0,IF(IFERROR(VLOOKUP(B51,'👥 بيانات الموظفين'!$B:$D,3,0),"")="سعودي",MIN(F51+G51,GosiCeiling)*GosiEmpRate,IF(IFERROR(VLOOKUP(B51,'👥 بيانات الموظفين'!$B:$D,3,0),"")="سعودية",MIN(F51+G51,GosiCeiling)*GosiEmpRate,0)))</f>
        <v>0</v>
      </c>
      <c r="T51" s="89">
        <f>IF(B51="",0,IF(OR(IFERROR(VLOOKUP(B51,'👥 بيانات الموظفين'!$B:$D,3,0),"")="سعودي",IFERROR(VLOOKUP(B51,'👥 بيانات الموظفين'!$B:$D,3,0),"")="سعودية"),MIN(F51+G51,GosiCeiling)*GosiCoRate,(F51+G51)*0.02))</f>
        <v>0</v>
      </c>
      <c r="U51" s="89">
        <f>IF(B51="",0,IFERROR(IF(VLOOKUP(B51,'👥 بيانات الموظفين'!$B:$M,12,0)&lt;5,F51/24,F51/12),0))</f>
        <v>0</v>
      </c>
    </row>
    <row r="52" spans="1:21" ht="22.15" customHeight="1" x14ac:dyDescent="0.2">
      <c r="A52" s="57">
        <f t="shared" si="5"/>
        <v>48</v>
      </c>
      <c r="B52" s="57">
        <f>IFERROR('👥 بيانات الموظفين'!B52,"")</f>
        <v>0</v>
      </c>
      <c r="C52" s="57" t="str">
        <f>IFERROR(VLOOKUP(B52,'👥 بيانات الموظفين'!$B:$C,2,0),"")</f>
        <v/>
      </c>
      <c r="D52" s="57" t="str">
        <f>IFERROR(VLOOKUP(B52,'👥 بيانات الموظفين'!$B:$E,4,0),"")</f>
        <v/>
      </c>
      <c r="E52" s="69">
        <f>IF(B52="",0,IFERROR(COUNTIFS('📅 الحضور'!$B:$B,B52,'📅 الحضور'!$L:$L,PayPeriod,'📅 الحضور'!$E:$E,"حاضر")+COUNTIFS('📅 الحضور'!$B:$B,B52,'📅 الحضور'!$L:$L,PayPeriod,'📅 الحضور'!$E:$E,"متأخر"),0))</f>
        <v>0</v>
      </c>
      <c r="F52" s="83">
        <f>IFERROR(VLOOKUP(B52,'👥 بيانات الموظفين'!$B:$H,7,0),0)</f>
        <v>0</v>
      </c>
      <c r="G52" s="83">
        <f>IFERROR(VLOOKUP(B52,'👥 بيانات الموظفين'!$B:$I,8,0),0)</f>
        <v>0</v>
      </c>
      <c r="H52" s="83">
        <f>IFERROR(VLOOKUP(B52,'👥 بيانات الموظفين'!$B:$J,9,0),0)</f>
        <v>0</v>
      </c>
      <c r="I52" s="83">
        <f>IF(B52="",0,IFERROR(SUMIFS('➕ الخصومات والمكافآت'!$E:$E,'➕ الخصومات والمكافآت'!$B:$B,B52,'➕ الخصومات والمكافآت'!$F:$F,PayPeriod,'➕ الخصومات والمكافآت'!$C:$C,"مكافأة"),0))</f>
        <v>0</v>
      </c>
      <c r="J52" s="83">
        <f t="shared" si="6"/>
        <v>0</v>
      </c>
      <c r="K52" s="83">
        <f>IF(B52="",0,IFERROR(COUNTIFS('📅 الحضور'!$B:$B,B52,'📅 الحضور'!$L:$L,PayPeriod,'📅 الحضور'!$E:$E,"غائب")*F52/WorkDaysMonth,0))</f>
        <v>0</v>
      </c>
      <c r="L52" s="83">
        <f>IF(B52="",0,IFERROR(SUMIFS('📅 الحضور'!$I:$I,'📅 الحضور'!$B:$B,B52,'📅 الحضور'!$L:$L,PayPeriod)/60/WorkHoursDay*F52/WorkDaysMonth,0))</f>
        <v>0</v>
      </c>
      <c r="M52" s="83">
        <f>IF(B52="",0,IFERROR(SUMIFS('➕ الخصومات والمكافآت'!$E:$E,'➕ الخصومات والمكافآت'!$B:$B,B52,'➕ الخصومات والمكافآت'!$F:$F,PayPeriod,'➕ الخصومات والمكافآت'!$C:$C,"خصم"),0))</f>
        <v>0</v>
      </c>
      <c r="N52" s="83">
        <f t="shared" si="7"/>
        <v>0</v>
      </c>
      <c r="O52" s="95">
        <f t="shared" si="8"/>
        <v>0</v>
      </c>
      <c r="P52" s="57"/>
      <c r="Q52" s="90">
        <f>IF(B52="",0,IFERROR(SUMIFS('📅 الحضور'!$J:$J,'📅 الحضور'!$B:$B,B52,'📅 الحضور'!$L:$L,PayPeriod),0))</f>
        <v>0</v>
      </c>
      <c r="R52" s="91">
        <f t="shared" si="9"/>
        <v>0</v>
      </c>
      <c r="S52" s="91">
        <f>IF(B52="",0,IF(IFERROR(VLOOKUP(B52,'👥 بيانات الموظفين'!$B:$D,3,0),"")="سعودي",MIN(F52+G52,GosiCeiling)*GosiEmpRate,IF(IFERROR(VLOOKUP(B52,'👥 بيانات الموظفين'!$B:$D,3,0),"")="سعودية",MIN(F52+G52,GosiCeiling)*GosiEmpRate,0)))</f>
        <v>0</v>
      </c>
      <c r="T52" s="91">
        <f>IF(B52="",0,IF(OR(IFERROR(VLOOKUP(B52,'👥 بيانات الموظفين'!$B:$D,3,0),"")="سعودي",IFERROR(VLOOKUP(B52,'👥 بيانات الموظفين'!$B:$D,3,0),"")="سعودية"),MIN(F52+G52,GosiCeiling)*GosiCoRate,(F52+G52)*0.02))</f>
        <v>0</v>
      </c>
      <c r="U52" s="91">
        <f>IF(B52="",0,IFERROR(IF(VLOOKUP(B52,'👥 بيانات الموظفين'!$B:$M,12,0)&lt;5,F52/24,F52/12),0))</f>
        <v>0</v>
      </c>
    </row>
    <row r="53" spans="1:21" ht="22.15" customHeight="1" x14ac:dyDescent="0.2">
      <c r="A53" s="53">
        <f t="shared" si="5"/>
        <v>49</v>
      </c>
      <c r="B53" s="53">
        <f>IFERROR('👥 بيانات الموظفين'!B53,"")</f>
        <v>0</v>
      </c>
      <c r="C53" s="53" t="str">
        <f>IFERROR(VLOOKUP(B53,'👥 بيانات الموظفين'!$B:$C,2,0),"")</f>
        <v/>
      </c>
      <c r="D53" s="53" t="str">
        <f>IFERROR(VLOOKUP(B53,'👥 بيانات الموظفين'!$B:$E,4,0),"")</f>
        <v/>
      </c>
      <c r="E53" s="68">
        <f>IF(B53="",0,IFERROR(COUNTIFS('📅 الحضور'!$B:$B,B53,'📅 الحضور'!$L:$L,PayPeriod,'📅 الحضور'!$E:$E,"حاضر")+COUNTIFS('📅 الحضور'!$B:$B,B53,'📅 الحضور'!$L:$L,PayPeriod,'📅 الحضور'!$E:$E,"متأخر"),0))</f>
        <v>0</v>
      </c>
      <c r="F53" s="82">
        <f>IFERROR(VLOOKUP(B53,'👥 بيانات الموظفين'!$B:$H,7,0),0)</f>
        <v>0</v>
      </c>
      <c r="G53" s="82">
        <f>IFERROR(VLOOKUP(B53,'👥 بيانات الموظفين'!$B:$I,8,0),0)</f>
        <v>0</v>
      </c>
      <c r="H53" s="82">
        <f>IFERROR(VLOOKUP(B53,'👥 بيانات الموظفين'!$B:$J,9,0),0)</f>
        <v>0</v>
      </c>
      <c r="I53" s="82">
        <f>IF(B53="",0,IFERROR(SUMIFS('➕ الخصومات والمكافآت'!$E:$E,'➕ الخصومات والمكافآت'!$B:$B,B53,'➕ الخصومات والمكافآت'!$F:$F,PayPeriod,'➕ الخصومات والمكافآت'!$C:$C,"مكافأة"),0))</f>
        <v>0</v>
      </c>
      <c r="J53" s="82">
        <f t="shared" si="6"/>
        <v>0</v>
      </c>
      <c r="K53" s="82">
        <f>IF(B53="",0,IFERROR(COUNTIFS('📅 الحضور'!$B:$B,B53,'📅 الحضور'!$L:$L,PayPeriod,'📅 الحضور'!$E:$E,"غائب")*F53/WorkDaysMonth,0))</f>
        <v>0</v>
      </c>
      <c r="L53" s="82">
        <f>IF(B53="",0,IFERROR(SUMIFS('📅 الحضور'!$I:$I,'📅 الحضور'!$B:$B,B53,'📅 الحضور'!$L:$L,PayPeriod)/60/WorkHoursDay*F53/WorkDaysMonth,0))</f>
        <v>0</v>
      </c>
      <c r="M53" s="82">
        <f>IF(B53="",0,IFERROR(SUMIFS('➕ الخصومات والمكافآت'!$E:$E,'➕ الخصومات والمكافآت'!$B:$B,B53,'➕ الخصومات والمكافآت'!$F:$F,PayPeriod,'➕ الخصومات والمكافآت'!$C:$C,"خصم"),0))</f>
        <v>0</v>
      </c>
      <c r="N53" s="82">
        <f t="shared" si="7"/>
        <v>0</v>
      </c>
      <c r="O53" s="94">
        <f t="shared" si="8"/>
        <v>0</v>
      </c>
      <c r="P53" s="53"/>
      <c r="Q53" s="88">
        <f>IF(B53="",0,IFERROR(SUMIFS('📅 الحضور'!$J:$J,'📅 الحضور'!$B:$B,B53,'📅 الحضور'!$L:$L,PayPeriod),0))</f>
        <v>0</v>
      </c>
      <c r="R53" s="89">
        <f t="shared" si="9"/>
        <v>0</v>
      </c>
      <c r="S53" s="89">
        <f>IF(B53="",0,IF(IFERROR(VLOOKUP(B53,'👥 بيانات الموظفين'!$B:$D,3,0),"")="سعودي",MIN(F53+G53,GosiCeiling)*GosiEmpRate,IF(IFERROR(VLOOKUP(B53,'👥 بيانات الموظفين'!$B:$D,3,0),"")="سعودية",MIN(F53+G53,GosiCeiling)*GosiEmpRate,0)))</f>
        <v>0</v>
      </c>
      <c r="T53" s="89">
        <f>IF(B53="",0,IF(OR(IFERROR(VLOOKUP(B53,'👥 بيانات الموظفين'!$B:$D,3,0),"")="سعودي",IFERROR(VLOOKUP(B53,'👥 بيانات الموظفين'!$B:$D,3,0),"")="سعودية"),MIN(F53+G53,GosiCeiling)*GosiCoRate,(F53+G53)*0.02))</f>
        <v>0</v>
      </c>
      <c r="U53" s="89">
        <f>IF(B53="",0,IFERROR(IF(VLOOKUP(B53,'👥 بيانات الموظفين'!$B:$M,12,0)&lt;5,F53/24,F53/12),0))</f>
        <v>0</v>
      </c>
    </row>
    <row r="54" spans="1:21" ht="22.15" customHeight="1" x14ac:dyDescent="0.2">
      <c r="A54" s="57">
        <f t="shared" si="5"/>
        <v>50</v>
      </c>
      <c r="B54" s="57">
        <f>IFERROR('👥 بيانات الموظفين'!B54,"")</f>
        <v>0</v>
      </c>
      <c r="C54" s="57" t="str">
        <f>IFERROR(VLOOKUP(B54,'👥 بيانات الموظفين'!$B:$C,2,0),"")</f>
        <v/>
      </c>
      <c r="D54" s="57" t="str">
        <f>IFERROR(VLOOKUP(B54,'👥 بيانات الموظفين'!$B:$E,4,0),"")</f>
        <v/>
      </c>
      <c r="E54" s="69">
        <f>IF(B54="",0,IFERROR(COUNTIFS('📅 الحضور'!$B:$B,B54,'📅 الحضور'!$L:$L,PayPeriod,'📅 الحضور'!$E:$E,"حاضر")+COUNTIFS('📅 الحضور'!$B:$B,B54,'📅 الحضور'!$L:$L,PayPeriod,'📅 الحضور'!$E:$E,"متأخر"),0))</f>
        <v>0</v>
      </c>
      <c r="F54" s="83">
        <f>IFERROR(VLOOKUP(B54,'👥 بيانات الموظفين'!$B:$H,7,0),0)</f>
        <v>0</v>
      </c>
      <c r="G54" s="83">
        <f>IFERROR(VLOOKUP(B54,'👥 بيانات الموظفين'!$B:$I,8,0),0)</f>
        <v>0</v>
      </c>
      <c r="H54" s="83">
        <f>IFERROR(VLOOKUP(B54,'👥 بيانات الموظفين'!$B:$J,9,0),0)</f>
        <v>0</v>
      </c>
      <c r="I54" s="83">
        <f>IF(B54="",0,IFERROR(SUMIFS('➕ الخصومات والمكافآت'!$E:$E,'➕ الخصومات والمكافآت'!$B:$B,B54,'➕ الخصومات والمكافآت'!$F:$F,PayPeriod,'➕ الخصومات والمكافآت'!$C:$C,"مكافأة"),0))</f>
        <v>0</v>
      </c>
      <c r="J54" s="83">
        <f t="shared" si="6"/>
        <v>0</v>
      </c>
      <c r="K54" s="83">
        <f>IF(B54="",0,IFERROR(COUNTIFS('📅 الحضور'!$B:$B,B54,'📅 الحضور'!$L:$L,PayPeriod,'📅 الحضور'!$E:$E,"غائب")*F54/WorkDaysMonth,0))</f>
        <v>0</v>
      </c>
      <c r="L54" s="83">
        <f>IF(B54="",0,IFERROR(SUMIFS('📅 الحضور'!$I:$I,'📅 الحضور'!$B:$B,B54,'📅 الحضور'!$L:$L,PayPeriod)/60/WorkHoursDay*F54/WorkDaysMonth,0))</f>
        <v>0</v>
      </c>
      <c r="M54" s="83">
        <f>IF(B54="",0,IFERROR(SUMIFS('➕ الخصومات والمكافآت'!$E:$E,'➕ الخصومات والمكافآت'!$B:$B,B54,'➕ الخصومات والمكافآت'!$F:$F,PayPeriod,'➕ الخصومات والمكافآت'!$C:$C,"خصم"),0))</f>
        <v>0</v>
      </c>
      <c r="N54" s="83">
        <f t="shared" si="7"/>
        <v>0</v>
      </c>
      <c r="O54" s="95">
        <f t="shared" si="8"/>
        <v>0</v>
      </c>
      <c r="P54" s="57"/>
      <c r="Q54" s="90">
        <f>IF(B54="",0,IFERROR(SUMIFS('📅 الحضور'!$J:$J,'📅 الحضور'!$B:$B,B54,'📅 الحضور'!$L:$L,PayPeriod),0))</f>
        <v>0</v>
      </c>
      <c r="R54" s="91">
        <f t="shared" si="9"/>
        <v>0</v>
      </c>
      <c r="S54" s="91">
        <f>IF(B54="",0,IF(IFERROR(VLOOKUP(B54,'👥 بيانات الموظفين'!$B:$D,3,0),"")="سعودي",MIN(F54+G54,GosiCeiling)*GosiEmpRate,IF(IFERROR(VLOOKUP(B54,'👥 بيانات الموظفين'!$B:$D,3,0),"")="سعودية",MIN(F54+G54,GosiCeiling)*GosiEmpRate,0)))</f>
        <v>0</v>
      </c>
      <c r="T54" s="91">
        <f>IF(B54="",0,IF(OR(IFERROR(VLOOKUP(B54,'👥 بيانات الموظفين'!$B:$D,3,0),"")="سعودي",IFERROR(VLOOKUP(B54,'👥 بيانات الموظفين'!$B:$D,3,0),"")="سعودية"),MIN(F54+G54,GosiCeiling)*GosiCoRate,(F54+G54)*0.02))</f>
        <v>0</v>
      </c>
      <c r="U54" s="91">
        <f>IF(B54="",0,IFERROR(IF(VLOOKUP(B54,'👥 بيانات الموظفين'!$B:$M,12,0)&lt;5,F54/24,F54/12),0))</f>
        <v>0</v>
      </c>
    </row>
    <row r="55" spans="1:21" ht="22.15" customHeight="1" x14ac:dyDescent="0.2">
      <c r="A55" s="53">
        <f t="shared" si="5"/>
        <v>51</v>
      </c>
      <c r="B55" s="53">
        <f>IFERROR('👥 بيانات الموظفين'!B55,"")</f>
        <v>0</v>
      </c>
      <c r="C55" s="53" t="str">
        <f>IFERROR(VLOOKUP(B55,'👥 بيانات الموظفين'!$B:$C,2,0),"")</f>
        <v/>
      </c>
      <c r="D55" s="53" t="str">
        <f>IFERROR(VLOOKUP(B55,'👥 بيانات الموظفين'!$B:$E,4,0),"")</f>
        <v/>
      </c>
      <c r="E55" s="68">
        <f>IF(B55="",0,IFERROR(COUNTIFS('📅 الحضور'!$B:$B,B55,'📅 الحضور'!$L:$L,PayPeriod,'📅 الحضور'!$E:$E,"حاضر")+COUNTIFS('📅 الحضور'!$B:$B,B55,'📅 الحضور'!$L:$L,PayPeriod,'📅 الحضور'!$E:$E,"متأخر"),0))</f>
        <v>0</v>
      </c>
      <c r="F55" s="82">
        <f>IFERROR(VLOOKUP(B55,'👥 بيانات الموظفين'!$B:$H,7,0),0)</f>
        <v>0</v>
      </c>
      <c r="G55" s="82">
        <f>IFERROR(VLOOKUP(B55,'👥 بيانات الموظفين'!$B:$I,8,0),0)</f>
        <v>0</v>
      </c>
      <c r="H55" s="82">
        <f>IFERROR(VLOOKUP(B55,'👥 بيانات الموظفين'!$B:$J,9,0),0)</f>
        <v>0</v>
      </c>
      <c r="I55" s="82">
        <f>IF(B55="",0,IFERROR(SUMIFS('➕ الخصومات والمكافآت'!$E:$E,'➕ الخصومات والمكافآت'!$B:$B,B55,'➕ الخصومات والمكافآت'!$F:$F,PayPeriod,'➕ الخصومات والمكافآت'!$C:$C,"مكافأة"),0))</f>
        <v>0</v>
      </c>
      <c r="J55" s="82">
        <f t="shared" si="6"/>
        <v>0</v>
      </c>
      <c r="K55" s="82">
        <f>IF(B55="",0,IFERROR(COUNTIFS('📅 الحضور'!$B:$B,B55,'📅 الحضور'!$L:$L,PayPeriod,'📅 الحضور'!$E:$E,"غائب")*F55/WorkDaysMonth,0))</f>
        <v>0</v>
      </c>
      <c r="L55" s="82">
        <f>IF(B55="",0,IFERROR(SUMIFS('📅 الحضور'!$I:$I,'📅 الحضور'!$B:$B,B55,'📅 الحضور'!$L:$L,PayPeriod)/60/WorkHoursDay*F55/WorkDaysMonth,0))</f>
        <v>0</v>
      </c>
      <c r="M55" s="82">
        <f>IF(B55="",0,IFERROR(SUMIFS('➕ الخصومات والمكافآت'!$E:$E,'➕ الخصومات والمكافآت'!$B:$B,B55,'➕ الخصومات والمكافآت'!$F:$F,PayPeriod,'➕ الخصومات والمكافآت'!$C:$C,"خصم"),0))</f>
        <v>0</v>
      </c>
      <c r="N55" s="82">
        <f t="shared" si="7"/>
        <v>0</v>
      </c>
      <c r="O55" s="94">
        <f t="shared" si="8"/>
        <v>0</v>
      </c>
      <c r="P55" s="53"/>
      <c r="Q55" s="88">
        <f>IF(B55="",0,IFERROR(SUMIFS('📅 الحضور'!$J:$J,'📅 الحضور'!$B:$B,B55,'📅 الحضور'!$L:$L,PayPeriod),0))</f>
        <v>0</v>
      </c>
      <c r="R55" s="89">
        <f t="shared" si="9"/>
        <v>0</v>
      </c>
      <c r="S55" s="89">
        <f>IF(B55="",0,IF(IFERROR(VLOOKUP(B55,'👥 بيانات الموظفين'!$B:$D,3,0),"")="سعودي",MIN(F55+G55,GosiCeiling)*GosiEmpRate,IF(IFERROR(VLOOKUP(B55,'👥 بيانات الموظفين'!$B:$D,3,0),"")="سعودية",MIN(F55+G55,GosiCeiling)*GosiEmpRate,0)))</f>
        <v>0</v>
      </c>
      <c r="T55" s="89">
        <f>IF(B55="",0,IF(OR(IFERROR(VLOOKUP(B55,'👥 بيانات الموظفين'!$B:$D,3,0),"")="سعودي",IFERROR(VLOOKUP(B55,'👥 بيانات الموظفين'!$B:$D,3,0),"")="سعودية"),MIN(F55+G55,GosiCeiling)*GosiCoRate,(F55+G55)*0.02))</f>
        <v>0</v>
      </c>
      <c r="U55" s="89">
        <f>IF(B55="",0,IFERROR(IF(VLOOKUP(B55,'👥 بيانات الموظفين'!$B:$M,12,0)&lt;5,F55/24,F55/12),0))</f>
        <v>0</v>
      </c>
    </row>
    <row r="56" spans="1:21" ht="22.15" customHeight="1" x14ac:dyDescent="0.2">
      <c r="A56" s="57">
        <f t="shared" si="5"/>
        <v>52</v>
      </c>
      <c r="B56" s="57">
        <f>IFERROR('👥 بيانات الموظفين'!B56,"")</f>
        <v>0</v>
      </c>
      <c r="C56" s="57" t="str">
        <f>IFERROR(VLOOKUP(B56,'👥 بيانات الموظفين'!$B:$C,2,0),"")</f>
        <v/>
      </c>
      <c r="D56" s="57" t="str">
        <f>IFERROR(VLOOKUP(B56,'👥 بيانات الموظفين'!$B:$E,4,0),"")</f>
        <v/>
      </c>
      <c r="E56" s="69">
        <f>IF(B56="",0,IFERROR(COUNTIFS('📅 الحضور'!$B:$B,B56,'📅 الحضور'!$L:$L,PayPeriod,'📅 الحضور'!$E:$E,"حاضر")+COUNTIFS('📅 الحضور'!$B:$B,B56,'📅 الحضور'!$L:$L,PayPeriod,'📅 الحضور'!$E:$E,"متأخر"),0))</f>
        <v>0</v>
      </c>
      <c r="F56" s="83">
        <f>IFERROR(VLOOKUP(B56,'👥 بيانات الموظفين'!$B:$H,7,0),0)</f>
        <v>0</v>
      </c>
      <c r="G56" s="83">
        <f>IFERROR(VLOOKUP(B56,'👥 بيانات الموظفين'!$B:$I,8,0),0)</f>
        <v>0</v>
      </c>
      <c r="H56" s="83">
        <f>IFERROR(VLOOKUP(B56,'👥 بيانات الموظفين'!$B:$J,9,0),0)</f>
        <v>0</v>
      </c>
      <c r="I56" s="83">
        <f>IF(B56="",0,IFERROR(SUMIFS('➕ الخصومات والمكافآت'!$E:$E,'➕ الخصومات والمكافآت'!$B:$B,B56,'➕ الخصومات والمكافآت'!$F:$F,PayPeriod,'➕ الخصومات والمكافآت'!$C:$C,"مكافأة"),0))</f>
        <v>0</v>
      </c>
      <c r="J56" s="83">
        <f t="shared" si="6"/>
        <v>0</v>
      </c>
      <c r="K56" s="83">
        <f>IF(B56="",0,IFERROR(COUNTIFS('📅 الحضور'!$B:$B,B56,'📅 الحضور'!$L:$L,PayPeriod,'📅 الحضور'!$E:$E,"غائب")*F56/WorkDaysMonth,0))</f>
        <v>0</v>
      </c>
      <c r="L56" s="83">
        <f>IF(B56="",0,IFERROR(SUMIFS('📅 الحضور'!$I:$I,'📅 الحضور'!$B:$B,B56,'📅 الحضور'!$L:$L,PayPeriod)/60/WorkHoursDay*F56/WorkDaysMonth,0))</f>
        <v>0</v>
      </c>
      <c r="M56" s="83">
        <f>IF(B56="",0,IFERROR(SUMIFS('➕ الخصومات والمكافآت'!$E:$E,'➕ الخصومات والمكافآت'!$B:$B,B56,'➕ الخصومات والمكافآت'!$F:$F,PayPeriod,'➕ الخصومات والمكافآت'!$C:$C,"خصم"),0))</f>
        <v>0</v>
      </c>
      <c r="N56" s="83">
        <f t="shared" si="7"/>
        <v>0</v>
      </c>
      <c r="O56" s="95">
        <f t="shared" si="8"/>
        <v>0</v>
      </c>
      <c r="P56" s="57"/>
      <c r="Q56" s="90">
        <f>IF(B56="",0,IFERROR(SUMIFS('📅 الحضور'!$J:$J,'📅 الحضور'!$B:$B,B56,'📅 الحضور'!$L:$L,PayPeriod),0))</f>
        <v>0</v>
      </c>
      <c r="R56" s="91">
        <f t="shared" si="9"/>
        <v>0</v>
      </c>
      <c r="S56" s="91">
        <f>IF(B56="",0,IF(IFERROR(VLOOKUP(B56,'👥 بيانات الموظفين'!$B:$D,3,0),"")="سعودي",MIN(F56+G56,GosiCeiling)*GosiEmpRate,IF(IFERROR(VLOOKUP(B56,'👥 بيانات الموظفين'!$B:$D,3,0),"")="سعودية",MIN(F56+G56,GosiCeiling)*GosiEmpRate,0)))</f>
        <v>0</v>
      </c>
      <c r="T56" s="91">
        <f>IF(B56="",0,IF(OR(IFERROR(VLOOKUP(B56,'👥 بيانات الموظفين'!$B:$D,3,0),"")="سعودي",IFERROR(VLOOKUP(B56,'👥 بيانات الموظفين'!$B:$D,3,0),"")="سعودية"),MIN(F56+G56,GosiCeiling)*GosiCoRate,(F56+G56)*0.02))</f>
        <v>0</v>
      </c>
      <c r="U56" s="91">
        <f>IF(B56="",0,IFERROR(IF(VLOOKUP(B56,'👥 بيانات الموظفين'!$B:$M,12,0)&lt;5,F56/24,F56/12),0))</f>
        <v>0</v>
      </c>
    </row>
    <row r="57" spans="1:21" ht="22.15" customHeight="1" x14ac:dyDescent="0.2">
      <c r="A57" s="53">
        <f t="shared" si="5"/>
        <v>53</v>
      </c>
      <c r="B57" s="53">
        <f>IFERROR('👥 بيانات الموظفين'!B57,"")</f>
        <v>0</v>
      </c>
      <c r="C57" s="53" t="str">
        <f>IFERROR(VLOOKUP(B57,'👥 بيانات الموظفين'!$B:$C,2,0),"")</f>
        <v/>
      </c>
      <c r="D57" s="53" t="str">
        <f>IFERROR(VLOOKUP(B57,'👥 بيانات الموظفين'!$B:$E,4,0),"")</f>
        <v/>
      </c>
      <c r="E57" s="68">
        <f>IF(B57="",0,IFERROR(COUNTIFS('📅 الحضور'!$B:$B,B57,'📅 الحضور'!$L:$L,PayPeriod,'📅 الحضور'!$E:$E,"حاضر")+COUNTIFS('📅 الحضور'!$B:$B,B57,'📅 الحضور'!$L:$L,PayPeriod,'📅 الحضور'!$E:$E,"متأخر"),0))</f>
        <v>0</v>
      </c>
      <c r="F57" s="82">
        <f>IFERROR(VLOOKUP(B57,'👥 بيانات الموظفين'!$B:$H,7,0),0)</f>
        <v>0</v>
      </c>
      <c r="G57" s="82">
        <f>IFERROR(VLOOKUP(B57,'👥 بيانات الموظفين'!$B:$I,8,0),0)</f>
        <v>0</v>
      </c>
      <c r="H57" s="82">
        <f>IFERROR(VLOOKUP(B57,'👥 بيانات الموظفين'!$B:$J,9,0),0)</f>
        <v>0</v>
      </c>
      <c r="I57" s="82">
        <f>IF(B57="",0,IFERROR(SUMIFS('➕ الخصومات والمكافآت'!$E:$E,'➕ الخصومات والمكافآت'!$B:$B,B57,'➕ الخصومات والمكافآت'!$F:$F,PayPeriod,'➕ الخصومات والمكافآت'!$C:$C,"مكافأة"),0))</f>
        <v>0</v>
      </c>
      <c r="J57" s="82">
        <f t="shared" si="6"/>
        <v>0</v>
      </c>
      <c r="K57" s="82">
        <f>IF(B57="",0,IFERROR(COUNTIFS('📅 الحضور'!$B:$B,B57,'📅 الحضور'!$L:$L,PayPeriod,'📅 الحضور'!$E:$E,"غائب")*F57/WorkDaysMonth,0))</f>
        <v>0</v>
      </c>
      <c r="L57" s="82">
        <f>IF(B57="",0,IFERROR(SUMIFS('📅 الحضور'!$I:$I,'📅 الحضور'!$B:$B,B57,'📅 الحضور'!$L:$L,PayPeriod)/60/WorkHoursDay*F57/WorkDaysMonth,0))</f>
        <v>0</v>
      </c>
      <c r="M57" s="82">
        <f>IF(B57="",0,IFERROR(SUMIFS('➕ الخصومات والمكافآت'!$E:$E,'➕ الخصومات والمكافآت'!$B:$B,B57,'➕ الخصومات والمكافآت'!$F:$F,PayPeriod,'➕ الخصومات والمكافآت'!$C:$C,"خصم"),0))</f>
        <v>0</v>
      </c>
      <c r="N57" s="82">
        <f t="shared" si="7"/>
        <v>0</v>
      </c>
      <c r="O57" s="94">
        <f t="shared" si="8"/>
        <v>0</v>
      </c>
      <c r="P57" s="53"/>
      <c r="Q57" s="88">
        <f>IF(B57="",0,IFERROR(SUMIFS('📅 الحضور'!$J:$J,'📅 الحضور'!$B:$B,B57,'📅 الحضور'!$L:$L,PayPeriod),0))</f>
        <v>0</v>
      </c>
      <c r="R57" s="89">
        <f t="shared" si="9"/>
        <v>0</v>
      </c>
      <c r="S57" s="89">
        <f>IF(B57="",0,IF(IFERROR(VLOOKUP(B57,'👥 بيانات الموظفين'!$B:$D,3,0),"")="سعودي",MIN(F57+G57,GosiCeiling)*GosiEmpRate,IF(IFERROR(VLOOKUP(B57,'👥 بيانات الموظفين'!$B:$D,3,0),"")="سعودية",MIN(F57+G57,GosiCeiling)*GosiEmpRate,0)))</f>
        <v>0</v>
      </c>
      <c r="T57" s="89">
        <f>IF(B57="",0,IF(OR(IFERROR(VLOOKUP(B57,'👥 بيانات الموظفين'!$B:$D,3,0),"")="سعودي",IFERROR(VLOOKUP(B57,'👥 بيانات الموظفين'!$B:$D,3,0),"")="سعودية"),MIN(F57+G57,GosiCeiling)*GosiCoRate,(F57+G57)*0.02))</f>
        <v>0</v>
      </c>
      <c r="U57" s="89">
        <f>IF(B57="",0,IFERROR(IF(VLOOKUP(B57,'👥 بيانات الموظفين'!$B:$M,12,0)&lt;5,F57/24,F57/12),0))</f>
        <v>0</v>
      </c>
    </row>
    <row r="58" spans="1:21" ht="22.15" customHeight="1" x14ac:dyDescent="0.2">
      <c r="A58" s="57">
        <f t="shared" si="5"/>
        <v>54</v>
      </c>
      <c r="B58" s="57">
        <f>IFERROR('👥 بيانات الموظفين'!B58,"")</f>
        <v>0</v>
      </c>
      <c r="C58" s="57" t="str">
        <f>IFERROR(VLOOKUP(B58,'👥 بيانات الموظفين'!$B:$C,2,0),"")</f>
        <v/>
      </c>
      <c r="D58" s="57" t="str">
        <f>IFERROR(VLOOKUP(B58,'👥 بيانات الموظفين'!$B:$E,4,0),"")</f>
        <v/>
      </c>
      <c r="E58" s="69">
        <f>IF(B58="",0,IFERROR(COUNTIFS('📅 الحضور'!$B:$B,B58,'📅 الحضور'!$L:$L,PayPeriod,'📅 الحضور'!$E:$E,"حاضر")+COUNTIFS('📅 الحضور'!$B:$B,B58,'📅 الحضور'!$L:$L,PayPeriod,'📅 الحضور'!$E:$E,"متأخر"),0))</f>
        <v>0</v>
      </c>
      <c r="F58" s="83">
        <f>IFERROR(VLOOKUP(B58,'👥 بيانات الموظفين'!$B:$H,7,0),0)</f>
        <v>0</v>
      </c>
      <c r="G58" s="83">
        <f>IFERROR(VLOOKUP(B58,'👥 بيانات الموظفين'!$B:$I,8,0),0)</f>
        <v>0</v>
      </c>
      <c r="H58" s="83">
        <f>IFERROR(VLOOKUP(B58,'👥 بيانات الموظفين'!$B:$J,9,0),0)</f>
        <v>0</v>
      </c>
      <c r="I58" s="83">
        <f>IF(B58="",0,IFERROR(SUMIFS('➕ الخصومات والمكافآت'!$E:$E,'➕ الخصومات والمكافآت'!$B:$B,B58,'➕ الخصومات والمكافآت'!$F:$F,PayPeriod,'➕ الخصومات والمكافآت'!$C:$C,"مكافأة"),0))</f>
        <v>0</v>
      </c>
      <c r="J58" s="83">
        <f t="shared" si="6"/>
        <v>0</v>
      </c>
      <c r="K58" s="83">
        <f>IF(B58="",0,IFERROR(COUNTIFS('📅 الحضور'!$B:$B,B58,'📅 الحضور'!$L:$L,PayPeriod,'📅 الحضور'!$E:$E,"غائب")*F58/WorkDaysMonth,0))</f>
        <v>0</v>
      </c>
      <c r="L58" s="83">
        <f>IF(B58="",0,IFERROR(SUMIFS('📅 الحضور'!$I:$I,'📅 الحضور'!$B:$B,B58,'📅 الحضور'!$L:$L,PayPeriod)/60/WorkHoursDay*F58/WorkDaysMonth,0))</f>
        <v>0</v>
      </c>
      <c r="M58" s="83">
        <f>IF(B58="",0,IFERROR(SUMIFS('➕ الخصومات والمكافآت'!$E:$E,'➕ الخصومات والمكافآت'!$B:$B,B58,'➕ الخصومات والمكافآت'!$F:$F,PayPeriod,'➕ الخصومات والمكافآت'!$C:$C,"خصم"),0))</f>
        <v>0</v>
      </c>
      <c r="N58" s="83">
        <f t="shared" si="7"/>
        <v>0</v>
      </c>
      <c r="O58" s="95">
        <f t="shared" si="8"/>
        <v>0</v>
      </c>
      <c r="P58" s="57"/>
      <c r="Q58" s="90">
        <f>IF(B58="",0,IFERROR(SUMIFS('📅 الحضور'!$J:$J,'📅 الحضور'!$B:$B,B58,'📅 الحضور'!$L:$L,PayPeriod),0))</f>
        <v>0</v>
      </c>
      <c r="R58" s="91">
        <f t="shared" si="9"/>
        <v>0</v>
      </c>
      <c r="S58" s="91">
        <f>IF(B58="",0,IF(IFERROR(VLOOKUP(B58,'👥 بيانات الموظفين'!$B:$D,3,0),"")="سعودي",MIN(F58+G58,GosiCeiling)*GosiEmpRate,IF(IFERROR(VLOOKUP(B58,'👥 بيانات الموظفين'!$B:$D,3,0),"")="سعودية",MIN(F58+G58,GosiCeiling)*GosiEmpRate,0)))</f>
        <v>0</v>
      </c>
      <c r="T58" s="91">
        <f>IF(B58="",0,IF(OR(IFERROR(VLOOKUP(B58,'👥 بيانات الموظفين'!$B:$D,3,0),"")="سعودي",IFERROR(VLOOKUP(B58,'👥 بيانات الموظفين'!$B:$D,3,0),"")="سعودية"),MIN(F58+G58,GosiCeiling)*GosiCoRate,(F58+G58)*0.02))</f>
        <v>0</v>
      </c>
      <c r="U58" s="91">
        <f>IF(B58="",0,IFERROR(IF(VLOOKUP(B58,'👥 بيانات الموظفين'!$B:$M,12,0)&lt;5,F58/24,F58/12),0))</f>
        <v>0</v>
      </c>
    </row>
    <row r="59" spans="1:21" ht="22.15" customHeight="1" x14ac:dyDescent="0.2">
      <c r="A59" s="53">
        <f t="shared" si="5"/>
        <v>55</v>
      </c>
      <c r="B59" s="53">
        <f>IFERROR('👥 بيانات الموظفين'!B59,"")</f>
        <v>0</v>
      </c>
      <c r="C59" s="53" t="str">
        <f>IFERROR(VLOOKUP(B59,'👥 بيانات الموظفين'!$B:$C,2,0),"")</f>
        <v/>
      </c>
      <c r="D59" s="53" t="str">
        <f>IFERROR(VLOOKUP(B59,'👥 بيانات الموظفين'!$B:$E,4,0),"")</f>
        <v/>
      </c>
      <c r="E59" s="68">
        <f>IF(B59="",0,IFERROR(COUNTIFS('📅 الحضور'!$B:$B,B59,'📅 الحضور'!$L:$L,PayPeriod,'📅 الحضور'!$E:$E,"حاضر")+COUNTIFS('📅 الحضور'!$B:$B,B59,'📅 الحضور'!$L:$L,PayPeriod,'📅 الحضور'!$E:$E,"متأخر"),0))</f>
        <v>0</v>
      </c>
      <c r="F59" s="82">
        <f>IFERROR(VLOOKUP(B59,'👥 بيانات الموظفين'!$B:$H,7,0),0)</f>
        <v>0</v>
      </c>
      <c r="G59" s="82">
        <f>IFERROR(VLOOKUP(B59,'👥 بيانات الموظفين'!$B:$I,8,0),0)</f>
        <v>0</v>
      </c>
      <c r="H59" s="82">
        <f>IFERROR(VLOOKUP(B59,'👥 بيانات الموظفين'!$B:$J,9,0),0)</f>
        <v>0</v>
      </c>
      <c r="I59" s="82">
        <f>IF(B59="",0,IFERROR(SUMIFS('➕ الخصومات والمكافآت'!$E:$E,'➕ الخصومات والمكافآت'!$B:$B,B59,'➕ الخصومات والمكافآت'!$F:$F,PayPeriod,'➕ الخصومات والمكافآت'!$C:$C,"مكافأة"),0))</f>
        <v>0</v>
      </c>
      <c r="J59" s="82">
        <f t="shared" si="6"/>
        <v>0</v>
      </c>
      <c r="K59" s="82">
        <f>IF(B59="",0,IFERROR(COUNTIFS('📅 الحضور'!$B:$B,B59,'📅 الحضور'!$L:$L,PayPeriod,'📅 الحضور'!$E:$E,"غائب")*F59/WorkDaysMonth,0))</f>
        <v>0</v>
      </c>
      <c r="L59" s="82">
        <f>IF(B59="",0,IFERROR(SUMIFS('📅 الحضور'!$I:$I,'📅 الحضور'!$B:$B,B59,'📅 الحضور'!$L:$L,PayPeriod)/60/WorkHoursDay*F59/WorkDaysMonth,0))</f>
        <v>0</v>
      </c>
      <c r="M59" s="82">
        <f>IF(B59="",0,IFERROR(SUMIFS('➕ الخصومات والمكافآت'!$E:$E,'➕ الخصومات والمكافآت'!$B:$B,B59,'➕ الخصومات والمكافآت'!$F:$F,PayPeriod,'➕ الخصومات والمكافآت'!$C:$C,"خصم"),0))</f>
        <v>0</v>
      </c>
      <c r="N59" s="82">
        <f t="shared" si="7"/>
        <v>0</v>
      </c>
      <c r="O59" s="94">
        <f t="shared" si="8"/>
        <v>0</v>
      </c>
      <c r="P59" s="53"/>
      <c r="Q59" s="88">
        <f>IF(B59="",0,IFERROR(SUMIFS('📅 الحضور'!$J:$J,'📅 الحضور'!$B:$B,B59,'📅 الحضور'!$L:$L,PayPeriod),0))</f>
        <v>0</v>
      </c>
      <c r="R59" s="89">
        <f t="shared" si="9"/>
        <v>0</v>
      </c>
      <c r="S59" s="89">
        <f>IF(B59="",0,IF(IFERROR(VLOOKUP(B59,'👥 بيانات الموظفين'!$B:$D,3,0),"")="سعودي",MIN(F59+G59,GosiCeiling)*GosiEmpRate,IF(IFERROR(VLOOKUP(B59,'👥 بيانات الموظفين'!$B:$D,3,0),"")="سعودية",MIN(F59+G59,GosiCeiling)*GosiEmpRate,0)))</f>
        <v>0</v>
      </c>
      <c r="T59" s="89">
        <f>IF(B59="",0,IF(OR(IFERROR(VLOOKUP(B59,'👥 بيانات الموظفين'!$B:$D,3,0),"")="سعودي",IFERROR(VLOOKUP(B59,'👥 بيانات الموظفين'!$B:$D,3,0),"")="سعودية"),MIN(F59+G59,GosiCeiling)*GosiCoRate,(F59+G59)*0.02))</f>
        <v>0</v>
      </c>
      <c r="U59" s="89">
        <f>IF(B59="",0,IFERROR(IF(VLOOKUP(B59,'👥 بيانات الموظفين'!$B:$M,12,0)&lt;5,F59/24,F59/12),0))</f>
        <v>0</v>
      </c>
    </row>
    <row r="60" spans="1:21" ht="22.15" customHeight="1" x14ac:dyDescent="0.2">
      <c r="A60" s="57">
        <f t="shared" si="5"/>
        <v>56</v>
      </c>
      <c r="B60" s="57">
        <f>IFERROR('👥 بيانات الموظفين'!B60,"")</f>
        <v>0</v>
      </c>
      <c r="C60" s="57" t="str">
        <f>IFERROR(VLOOKUP(B60,'👥 بيانات الموظفين'!$B:$C,2,0),"")</f>
        <v/>
      </c>
      <c r="D60" s="57" t="str">
        <f>IFERROR(VLOOKUP(B60,'👥 بيانات الموظفين'!$B:$E,4,0),"")</f>
        <v/>
      </c>
      <c r="E60" s="69">
        <f>IF(B60="",0,IFERROR(COUNTIFS('📅 الحضور'!$B:$B,B60,'📅 الحضور'!$L:$L,PayPeriod,'📅 الحضور'!$E:$E,"حاضر")+COUNTIFS('📅 الحضور'!$B:$B,B60,'📅 الحضور'!$L:$L,PayPeriod,'📅 الحضور'!$E:$E,"متأخر"),0))</f>
        <v>0</v>
      </c>
      <c r="F60" s="83">
        <f>IFERROR(VLOOKUP(B60,'👥 بيانات الموظفين'!$B:$H,7,0),0)</f>
        <v>0</v>
      </c>
      <c r="G60" s="83">
        <f>IFERROR(VLOOKUP(B60,'👥 بيانات الموظفين'!$B:$I,8,0),0)</f>
        <v>0</v>
      </c>
      <c r="H60" s="83">
        <f>IFERROR(VLOOKUP(B60,'👥 بيانات الموظفين'!$B:$J,9,0),0)</f>
        <v>0</v>
      </c>
      <c r="I60" s="83">
        <f>IF(B60="",0,IFERROR(SUMIFS('➕ الخصومات والمكافآت'!$E:$E,'➕ الخصومات والمكافآت'!$B:$B,B60,'➕ الخصومات والمكافآت'!$F:$F,PayPeriod,'➕ الخصومات والمكافآت'!$C:$C,"مكافأة"),0))</f>
        <v>0</v>
      </c>
      <c r="J60" s="83">
        <f t="shared" si="6"/>
        <v>0</v>
      </c>
      <c r="K60" s="83">
        <f>IF(B60="",0,IFERROR(COUNTIFS('📅 الحضور'!$B:$B,B60,'📅 الحضور'!$L:$L,PayPeriod,'📅 الحضور'!$E:$E,"غائب")*F60/WorkDaysMonth,0))</f>
        <v>0</v>
      </c>
      <c r="L60" s="83">
        <f>IF(B60="",0,IFERROR(SUMIFS('📅 الحضور'!$I:$I,'📅 الحضور'!$B:$B,B60,'📅 الحضور'!$L:$L,PayPeriod)/60/WorkHoursDay*F60/WorkDaysMonth,0))</f>
        <v>0</v>
      </c>
      <c r="M60" s="83">
        <f>IF(B60="",0,IFERROR(SUMIFS('➕ الخصومات والمكافآت'!$E:$E,'➕ الخصومات والمكافآت'!$B:$B,B60,'➕ الخصومات والمكافآت'!$F:$F,PayPeriod,'➕ الخصومات والمكافآت'!$C:$C,"خصم"),0))</f>
        <v>0</v>
      </c>
      <c r="N60" s="83">
        <f t="shared" si="7"/>
        <v>0</v>
      </c>
      <c r="O60" s="95">
        <f t="shared" si="8"/>
        <v>0</v>
      </c>
      <c r="P60" s="57"/>
      <c r="Q60" s="90">
        <f>IF(B60="",0,IFERROR(SUMIFS('📅 الحضور'!$J:$J,'📅 الحضور'!$B:$B,B60,'📅 الحضور'!$L:$L,PayPeriod),0))</f>
        <v>0</v>
      </c>
      <c r="R60" s="91">
        <f t="shared" si="9"/>
        <v>0</v>
      </c>
      <c r="S60" s="91">
        <f>IF(B60="",0,IF(IFERROR(VLOOKUP(B60,'👥 بيانات الموظفين'!$B:$D,3,0),"")="سعودي",MIN(F60+G60,GosiCeiling)*GosiEmpRate,IF(IFERROR(VLOOKUP(B60,'👥 بيانات الموظفين'!$B:$D,3,0),"")="سعودية",MIN(F60+G60,GosiCeiling)*GosiEmpRate,0)))</f>
        <v>0</v>
      </c>
      <c r="T60" s="91">
        <f>IF(B60="",0,IF(OR(IFERROR(VLOOKUP(B60,'👥 بيانات الموظفين'!$B:$D,3,0),"")="سعودي",IFERROR(VLOOKUP(B60,'👥 بيانات الموظفين'!$B:$D,3,0),"")="سعودية"),MIN(F60+G60,GosiCeiling)*GosiCoRate,(F60+G60)*0.02))</f>
        <v>0</v>
      </c>
      <c r="U60" s="91">
        <f>IF(B60="",0,IFERROR(IF(VLOOKUP(B60,'👥 بيانات الموظفين'!$B:$M,12,0)&lt;5,F60/24,F60/12),0))</f>
        <v>0</v>
      </c>
    </row>
    <row r="61" spans="1:21" ht="22.15" customHeight="1" x14ac:dyDescent="0.2">
      <c r="A61" s="53">
        <f t="shared" si="5"/>
        <v>57</v>
      </c>
      <c r="B61" s="53">
        <f>IFERROR('👥 بيانات الموظفين'!B61,"")</f>
        <v>0</v>
      </c>
      <c r="C61" s="53" t="str">
        <f>IFERROR(VLOOKUP(B61,'👥 بيانات الموظفين'!$B:$C,2,0),"")</f>
        <v/>
      </c>
      <c r="D61" s="53" t="str">
        <f>IFERROR(VLOOKUP(B61,'👥 بيانات الموظفين'!$B:$E,4,0),"")</f>
        <v/>
      </c>
      <c r="E61" s="68">
        <f>IF(B61="",0,IFERROR(COUNTIFS('📅 الحضور'!$B:$B,B61,'📅 الحضور'!$L:$L,PayPeriod,'📅 الحضور'!$E:$E,"حاضر")+COUNTIFS('📅 الحضور'!$B:$B,B61,'📅 الحضور'!$L:$L,PayPeriod,'📅 الحضور'!$E:$E,"متأخر"),0))</f>
        <v>0</v>
      </c>
      <c r="F61" s="82">
        <f>IFERROR(VLOOKUP(B61,'👥 بيانات الموظفين'!$B:$H,7,0),0)</f>
        <v>0</v>
      </c>
      <c r="G61" s="82">
        <f>IFERROR(VLOOKUP(B61,'👥 بيانات الموظفين'!$B:$I,8,0),0)</f>
        <v>0</v>
      </c>
      <c r="H61" s="82">
        <f>IFERROR(VLOOKUP(B61,'👥 بيانات الموظفين'!$B:$J,9,0),0)</f>
        <v>0</v>
      </c>
      <c r="I61" s="82">
        <f>IF(B61="",0,IFERROR(SUMIFS('➕ الخصومات والمكافآت'!$E:$E,'➕ الخصومات والمكافآت'!$B:$B,B61,'➕ الخصومات والمكافآت'!$F:$F,PayPeriod,'➕ الخصومات والمكافآت'!$C:$C,"مكافأة"),0))</f>
        <v>0</v>
      </c>
      <c r="J61" s="82">
        <f t="shared" si="6"/>
        <v>0</v>
      </c>
      <c r="K61" s="82">
        <f>IF(B61="",0,IFERROR(COUNTIFS('📅 الحضور'!$B:$B,B61,'📅 الحضور'!$L:$L,PayPeriod,'📅 الحضور'!$E:$E,"غائب")*F61/WorkDaysMonth,0))</f>
        <v>0</v>
      </c>
      <c r="L61" s="82">
        <f>IF(B61="",0,IFERROR(SUMIFS('📅 الحضور'!$I:$I,'📅 الحضور'!$B:$B,B61,'📅 الحضور'!$L:$L,PayPeriod)/60/WorkHoursDay*F61/WorkDaysMonth,0))</f>
        <v>0</v>
      </c>
      <c r="M61" s="82">
        <f>IF(B61="",0,IFERROR(SUMIFS('➕ الخصومات والمكافآت'!$E:$E,'➕ الخصومات والمكافآت'!$B:$B,B61,'➕ الخصومات والمكافآت'!$F:$F,PayPeriod,'➕ الخصومات والمكافآت'!$C:$C,"خصم"),0))</f>
        <v>0</v>
      </c>
      <c r="N61" s="82">
        <f t="shared" si="7"/>
        <v>0</v>
      </c>
      <c r="O61" s="94">
        <f t="shared" si="8"/>
        <v>0</v>
      </c>
      <c r="P61" s="53"/>
      <c r="Q61" s="88">
        <f>IF(B61="",0,IFERROR(SUMIFS('📅 الحضور'!$J:$J,'📅 الحضور'!$B:$B,B61,'📅 الحضور'!$L:$L,PayPeriod),0))</f>
        <v>0</v>
      </c>
      <c r="R61" s="89">
        <f t="shared" si="9"/>
        <v>0</v>
      </c>
      <c r="S61" s="89">
        <f>IF(B61="",0,IF(IFERROR(VLOOKUP(B61,'👥 بيانات الموظفين'!$B:$D,3,0),"")="سعودي",MIN(F61+G61,GosiCeiling)*GosiEmpRate,IF(IFERROR(VLOOKUP(B61,'👥 بيانات الموظفين'!$B:$D,3,0),"")="سعودية",MIN(F61+G61,GosiCeiling)*GosiEmpRate,0)))</f>
        <v>0</v>
      </c>
      <c r="T61" s="89">
        <f>IF(B61="",0,IF(OR(IFERROR(VLOOKUP(B61,'👥 بيانات الموظفين'!$B:$D,3,0),"")="سعودي",IFERROR(VLOOKUP(B61,'👥 بيانات الموظفين'!$B:$D,3,0),"")="سعودية"),MIN(F61+G61,GosiCeiling)*GosiCoRate,(F61+G61)*0.02))</f>
        <v>0</v>
      </c>
      <c r="U61" s="89">
        <f>IF(B61="",0,IFERROR(IF(VLOOKUP(B61,'👥 بيانات الموظفين'!$B:$M,12,0)&lt;5,F61/24,F61/12),0))</f>
        <v>0</v>
      </c>
    </row>
    <row r="62" spans="1:21" ht="22.15" customHeight="1" x14ac:dyDescent="0.2">
      <c r="A62" s="57">
        <f t="shared" si="5"/>
        <v>58</v>
      </c>
      <c r="B62" s="57">
        <f>IFERROR('👥 بيانات الموظفين'!B62,"")</f>
        <v>0</v>
      </c>
      <c r="C62" s="57" t="str">
        <f>IFERROR(VLOOKUP(B62,'👥 بيانات الموظفين'!$B:$C,2,0),"")</f>
        <v/>
      </c>
      <c r="D62" s="57" t="str">
        <f>IFERROR(VLOOKUP(B62,'👥 بيانات الموظفين'!$B:$E,4,0),"")</f>
        <v/>
      </c>
      <c r="E62" s="69">
        <f>IF(B62="",0,IFERROR(COUNTIFS('📅 الحضور'!$B:$B,B62,'📅 الحضور'!$L:$L,PayPeriod,'📅 الحضور'!$E:$E,"حاضر")+COUNTIFS('📅 الحضور'!$B:$B,B62,'📅 الحضور'!$L:$L,PayPeriod,'📅 الحضور'!$E:$E,"متأخر"),0))</f>
        <v>0</v>
      </c>
      <c r="F62" s="83">
        <f>IFERROR(VLOOKUP(B62,'👥 بيانات الموظفين'!$B:$H,7,0),0)</f>
        <v>0</v>
      </c>
      <c r="G62" s="83">
        <f>IFERROR(VLOOKUP(B62,'👥 بيانات الموظفين'!$B:$I,8,0),0)</f>
        <v>0</v>
      </c>
      <c r="H62" s="83">
        <f>IFERROR(VLOOKUP(B62,'👥 بيانات الموظفين'!$B:$J,9,0),0)</f>
        <v>0</v>
      </c>
      <c r="I62" s="83">
        <f>IF(B62="",0,IFERROR(SUMIFS('➕ الخصومات والمكافآت'!$E:$E,'➕ الخصومات والمكافآت'!$B:$B,B62,'➕ الخصومات والمكافآت'!$F:$F,PayPeriod,'➕ الخصومات والمكافآت'!$C:$C,"مكافأة"),0))</f>
        <v>0</v>
      </c>
      <c r="J62" s="83">
        <f t="shared" si="6"/>
        <v>0</v>
      </c>
      <c r="K62" s="83">
        <f>IF(B62="",0,IFERROR(COUNTIFS('📅 الحضور'!$B:$B,B62,'📅 الحضور'!$L:$L,PayPeriod,'📅 الحضور'!$E:$E,"غائب")*F62/WorkDaysMonth,0))</f>
        <v>0</v>
      </c>
      <c r="L62" s="83">
        <f>IF(B62="",0,IFERROR(SUMIFS('📅 الحضور'!$I:$I,'📅 الحضور'!$B:$B,B62,'📅 الحضور'!$L:$L,PayPeriod)/60/WorkHoursDay*F62/WorkDaysMonth,0))</f>
        <v>0</v>
      </c>
      <c r="M62" s="83">
        <f>IF(B62="",0,IFERROR(SUMIFS('➕ الخصومات والمكافآت'!$E:$E,'➕ الخصومات والمكافآت'!$B:$B,B62,'➕ الخصومات والمكافآت'!$F:$F,PayPeriod,'➕ الخصومات والمكافآت'!$C:$C,"خصم"),0))</f>
        <v>0</v>
      </c>
      <c r="N62" s="83">
        <f t="shared" si="7"/>
        <v>0</v>
      </c>
      <c r="O62" s="95">
        <f t="shared" si="8"/>
        <v>0</v>
      </c>
      <c r="P62" s="57"/>
      <c r="Q62" s="90">
        <f>IF(B62="",0,IFERROR(SUMIFS('📅 الحضور'!$J:$J,'📅 الحضور'!$B:$B,B62,'📅 الحضور'!$L:$L,PayPeriod),0))</f>
        <v>0</v>
      </c>
      <c r="R62" s="91">
        <f t="shared" si="9"/>
        <v>0</v>
      </c>
      <c r="S62" s="91">
        <f>IF(B62="",0,IF(IFERROR(VLOOKUP(B62,'👥 بيانات الموظفين'!$B:$D,3,0),"")="سعودي",MIN(F62+G62,GosiCeiling)*GosiEmpRate,IF(IFERROR(VLOOKUP(B62,'👥 بيانات الموظفين'!$B:$D,3,0),"")="سعودية",MIN(F62+G62,GosiCeiling)*GosiEmpRate,0)))</f>
        <v>0</v>
      </c>
      <c r="T62" s="91">
        <f>IF(B62="",0,IF(OR(IFERROR(VLOOKUP(B62,'👥 بيانات الموظفين'!$B:$D,3,0),"")="سعودي",IFERROR(VLOOKUP(B62,'👥 بيانات الموظفين'!$B:$D,3,0),"")="سعودية"),MIN(F62+G62,GosiCeiling)*GosiCoRate,(F62+G62)*0.02))</f>
        <v>0</v>
      </c>
      <c r="U62" s="91">
        <f>IF(B62="",0,IFERROR(IF(VLOOKUP(B62,'👥 بيانات الموظفين'!$B:$M,12,0)&lt;5,F62/24,F62/12),0))</f>
        <v>0</v>
      </c>
    </row>
    <row r="63" spans="1:21" ht="22.15" customHeight="1" x14ac:dyDescent="0.2">
      <c r="A63" s="53">
        <f t="shared" si="5"/>
        <v>59</v>
      </c>
      <c r="B63" s="53">
        <f>IFERROR('👥 بيانات الموظفين'!B63,"")</f>
        <v>0</v>
      </c>
      <c r="C63" s="53" t="str">
        <f>IFERROR(VLOOKUP(B63,'👥 بيانات الموظفين'!$B:$C,2,0),"")</f>
        <v/>
      </c>
      <c r="D63" s="53" t="str">
        <f>IFERROR(VLOOKUP(B63,'👥 بيانات الموظفين'!$B:$E,4,0),"")</f>
        <v/>
      </c>
      <c r="E63" s="68">
        <f>IF(B63="",0,IFERROR(COUNTIFS('📅 الحضور'!$B:$B,B63,'📅 الحضور'!$L:$L,PayPeriod,'📅 الحضور'!$E:$E,"حاضر")+COUNTIFS('📅 الحضور'!$B:$B,B63,'📅 الحضور'!$L:$L,PayPeriod,'📅 الحضور'!$E:$E,"متأخر"),0))</f>
        <v>0</v>
      </c>
      <c r="F63" s="82">
        <f>IFERROR(VLOOKUP(B63,'👥 بيانات الموظفين'!$B:$H,7,0),0)</f>
        <v>0</v>
      </c>
      <c r="G63" s="82">
        <f>IFERROR(VLOOKUP(B63,'👥 بيانات الموظفين'!$B:$I,8,0),0)</f>
        <v>0</v>
      </c>
      <c r="H63" s="82">
        <f>IFERROR(VLOOKUP(B63,'👥 بيانات الموظفين'!$B:$J,9,0),0)</f>
        <v>0</v>
      </c>
      <c r="I63" s="82">
        <f>IF(B63="",0,IFERROR(SUMIFS('➕ الخصومات والمكافآت'!$E:$E,'➕ الخصومات والمكافآت'!$B:$B,B63,'➕ الخصومات والمكافآت'!$F:$F,PayPeriod,'➕ الخصومات والمكافآت'!$C:$C,"مكافأة"),0))</f>
        <v>0</v>
      </c>
      <c r="J63" s="82">
        <f t="shared" si="6"/>
        <v>0</v>
      </c>
      <c r="K63" s="82">
        <f>IF(B63="",0,IFERROR(COUNTIFS('📅 الحضور'!$B:$B,B63,'📅 الحضور'!$L:$L,PayPeriod,'📅 الحضور'!$E:$E,"غائب")*F63/WorkDaysMonth,0))</f>
        <v>0</v>
      </c>
      <c r="L63" s="82">
        <f>IF(B63="",0,IFERROR(SUMIFS('📅 الحضور'!$I:$I,'📅 الحضور'!$B:$B,B63,'📅 الحضور'!$L:$L,PayPeriod)/60/WorkHoursDay*F63/WorkDaysMonth,0))</f>
        <v>0</v>
      </c>
      <c r="M63" s="82">
        <f>IF(B63="",0,IFERROR(SUMIFS('➕ الخصومات والمكافآت'!$E:$E,'➕ الخصومات والمكافآت'!$B:$B,B63,'➕ الخصومات والمكافآت'!$F:$F,PayPeriod,'➕ الخصومات والمكافآت'!$C:$C,"خصم"),0))</f>
        <v>0</v>
      </c>
      <c r="N63" s="82">
        <f t="shared" si="7"/>
        <v>0</v>
      </c>
      <c r="O63" s="94">
        <f t="shared" si="8"/>
        <v>0</v>
      </c>
      <c r="P63" s="53"/>
      <c r="Q63" s="88">
        <f>IF(B63="",0,IFERROR(SUMIFS('📅 الحضور'!$J:$J,'📅 الحضور'!$B:$B,B63,'📅 الحضور'!$L:$L,PayPeriod),0))</f>
        <v>0</v>
      </c>
      <c r="R63" s="89">
        <f t="shared" si="9"/>
        <v>0</v>
      </c>
      <c r="S63" s="89">
        <f>IF(B63="",0,IF(IFERROR(VLOOKUP(B63,'👥 بيانات الموظفين'!$B:$D,3,0),"")="سعودي",MIN(F63+G63,GosiCeiling)*GosiEmpRate,IF(IFERROR(VLOOKUP(B63,'👥 بيانات الموظفين'!$B:$D,3,0),"")="سعودية",MIN(F63+G63,GosiCeiling)*GosiEmpRate,0)))</f>
        <v>0</v>
      </c>
      <c r="T63" s="89">
        <f>IF(B63="",0,IF(OR(IFERROR(VLOOKUP(B63,'👥 بيانات الموظفين'!$B:$D,3,0),"")="سعودي",IFERROR(VLOOKUP(B63,'👥 بيانات الموظفين'!$B:$D,3,0),"")="سعودية"),MIN(F63+G63,GosiCeiling)*GosiCoRate,(F63+G63)*0.02))</f>
        <v>0</v>
      </c>
      <c r="U63" s="89">
        <f>IF(B63="",0,IFERROR(IF(VLOOKUP(B63,'👥 بيانات الموظفين'!$B:$M,12,0)&lt;5,F63/24,F63/12),0))</f>
        <v>0</v>
      </c>
    </row>
    <row r="64" spans="1:21" ht="22.15" customHeight="1" x14ac:dyDescent="0.2">
      <c r="A64" s="57">
        <f t="shared" si="5"/>
        <v>60</v>
      </c>
      <c r="B64" s="57">
        <f>IFERROR('👥 بيانات الموظفين'!B64,"")</f>
        <v>0</v>
      </c>
      <c r="C64" s="57" t="str">
        <f>IFERROR(VLOOKUP(B64,'👥 بيانات الموظفين'!$B:$C,2,0),"")</f>
        <v/>
      </c>
      <c r="D64" s="57" t="str">
        <f>IFERROR(VLOOKUP(B64,'👥 بيانات الموظفين'!$B:$E,4,0),"")</f>
        <v/>
      </c>
      <c r="E64" s="69">
        <f>IF(B64="",0,IFERROR(COUNTIFS('📅 الحضور'!$B:$B,B64,'📅 الحضور'!$L:$L,PayPeriod,'📅 الحضور'!$E:$E,"حاضر")+COUNTIFS('📅 الحضور'!$B:$B,B64,'📅 الحضور'!$L:$L,PayPeriod,'📅 الحضور'!$E:$E,"متأخر"),0))</f>
        <v>0</v>
      </c>
      <c r="F64" s="83">
        <f>IFERROR(VLOOKUP(B64,'👥 بيانات الموظفين'!$B:$H,7,0),0)</f>
        <v>0</v>
      </c>
      <c r="G64" s="83">
        <f>IFERROR(VLOOKUP(B64,'👥 بيانات الموظفين'!$B:$I,8,0),0)</f>
        <v>0</v>
      </c>
      <c r="H64" s="83">
        <f>IFERROR(VLOOKUP(B64,'👥 بيانات الموظفين'!$B:$J,9,0),0)</f>
        <v>0</v>
      </c>
      <c r="I64" s="83">
        <f>IF(B64="",0,IFERROR(SUMIFS('➕ الخصومات والمكافآت'!$E:$E,'➕ الخصومات والمكافآت'!$B:$B,B64,'➕ الخصومات والمكافآت'!$F:$F,PayPeriod,'➕ الخصومات والمكافآت'!$C:$C,"مكافأة"),0))</f>
        <v>0</v>
      </c>
      <c r="J64" s="83">
        <f t="shared" si="6"/>
        <v>0</v>
      </c>
      <c r="K64" s="83">
        <f>IF(B64="",0,IFERROR(COUNTIFS('📅 الحضور'!$B:$B,B64,'📅 الحضور'!$L:$L,PayPeriod,'📅 الحضور'!$E:$E,"غائب")*F64/WorkDaysMonth,0))</f>
        <v>0</v>
      </c>
      <c r="L64" s="83">
        <f>IF(B64="",0,IFERROR(SUMIFS('📅 الحضور'!$I:$I,'📅 الحضور'!$B:$B,B64,'📅 الحضور'!$L:$L,PayPeriod)/60/WorkHoursDay*F64/WorkDaysMonth,0))</f>
        <v>0</v>
      </c>
      <c r="M64" s="83">
        <f>IF(B64="",0,IFERROR(SUMIFS('➕ الخصومات والمكافآت'!$E:$E,'➕ الخصومات والمكافآت'!$B:$B,B64,'➕ الخصومات والمكافآت'!$F:$F,PayPeriod,'➕ الخصومات والمكافآت'!$C:$C,"خصم"),0))</f>
        <v>0</v>
      </c>
      <c r="N64" s="83">
        <f t="shared" si="7"/>
        <v>0</v>
      </c>
      <c r="O64" s="95">
        <f t="shared" si="8"/>
        <v>0</v>
      </c>
      <c r="P64" s="57"/>
      <c r="Q64" s="90">
        <f>IF(B64="",0,IFERROR(SUMIFS('📅 الحضور'!$J:$J,'📅 الحضور'!$B:$B,B64,'📅 الحضور'!$L:$L,PayPeriod),0))</f>
        <v>0</v>
      </c>
      <c r="R64" s="91">
        <f t="shared" si="9"/>
        <v>0</v>
      </c>
      <c r="S64" s="91">
        <f>IF(B64="",0,IF(IFERROR(VLOOKUP(B64,'👥 بيانات الموظفين'!$B:$D,3,0),"")="سعودي",MIN(F64+G64,GosiCeiling)*GosiEmpRate,IF(IFERROR(VLOOKUP(B64,'👥 بيانات الموظفين'!$B:$D,3,0),"")="سعودية",MIN(F64+G64,GosiCeiling)*GosiEmpRate,0)))</f>
        <v>0</v>
      </c>
      <c r="T64" s="91">
        <f>IF(B64="",0,IF(OR(IFERROR(VLOOKUP(B64,'👥 بيانات الموظفين'!$B:$D,3,0),"")="سعودي",IFERROR(VLOOKUP(B64,'👥 بيانات الموظفين'!$B:$D,3,0),"")="سعودية"),MIN(F64+G64,GosiCeiling)*GosiCoRate,(F64+G64)*0.02))</f>
        <v>0</v>
      </c>
      <c r="U64" s="91">
        <f>IF(B64="",0,IFERROR(IF(VLOOKUP(B64,'👥 بيانات الموظفين'!$B:$M,12,0)&lt;5,F64/24,F64/12),0))</f>
        <v>0</v>
      </c>
    </row>
    <row r="65" spans="1:21" ht="22.15" customHeight="1" x14ac:dyDescent="0.2">
      <c r="A65" s="53">
        <f t="shared" si="5"/>
        <v>61</v>
      </c>
      <c r="B65" s="53">
        <f>IFERROR('👥 بيانات الموظفين'!B65,"")</f>
        <v>0</v>
      </c>
      <c r="C65" s="53" t="str">
        <f>IFERROR(VLOOKUP(B65,'👥 بيانات الموظفين'!$B:$C,2,0),"")</f>
        <v/>
      </c>
      <c r="D65" s="53" t="str">
        <f>IFERROR(VLOOKUP(B65,'👥 بيانات الموظفين'!$B:$E,4,0),"")</f>
        <v/>
      </c>
      <c r="E65" s="68">
        <f>IF(B65="",0,IFERROR(COUNTIFS('📅 الحضور'!$B:$B,B65,'📅 الحضور'!$L:$L,PayPeriod,'📅 الحضور'!$E:$E,"حاضر")+COUNTIFS('📅 الحضور'!$B:$B,B65,'📅 الحضور'!$L:$L,PayPeriod,'📅 الحضور'!$E:$E,"متأخر"),0))</f>
        <v>0</v>
      </c>
      <c r="F65" s="82">
        <f>IFERROR(VLOOKUP(B65,'👥 بيانات الموظفين'!$B:$H,7,0),0)</f>
        <v>0</v>
      </c>
      <c r="G65" s="82">
        <f>IFERROR(VLOOKUP(B65,'👥 بيانات الموظفين'!$B:$I,8,0),0)</f>
        <v>0</v>
      </c>
      <c r="H65" s="82">
        <f>IFERROR(VLOOKUP(B65,'👥 بيانات الموظفين'!$B:$J,9,0),0)</f>
        <v>0</v>
      </c>
      <c r="I65" s="82">
        <f>IF(B65="",0,IFERROR(SUMIFS('➕ الخصومات والمكافآت'!$E:$E,'➕ الخصومات والمكافآت'!$B:$B,B65,'➕ الخصومات والمكافآت'!$F:$F,PayPeriod,'➕ الخصومات والمكافآت'!$C:$C,"مكافأة"),0))</f>
        <v>0</v>
      </c>
      <c r="J65" s="82">
        <f t="shared" si="6"/>
        <v>0</v>
      </c>
      <c r="K65" s="82">
        <f>IF(B65="",0,IFERROR(COUNTIFS('📅 الحضور'!$B:$B,B65,'📅 الحضور'!$L:$L,PayPeriod,'📅 الحضور'!$E:$E,"غائب")*F65/WorkDaysMonth,0))</f>
        <v>0</v>
      </c>
      <c r="L65" s="82">
        <f>IF(B65="",0,IFERROR(SUMIFS('📅 الحضور'!$I:$I,'📅 الحضور'!$B:$B,B65,'📅 الحضور'!$L:$L,PayPeriod)/60/WorkHoursDay*F65/WorkDaysMonth,0))</f>
        <v>0</v>
      </c>
      <c r="M65" s="82">
        <f>IF(B65="",0,IFERROR(SUMIFS('➕ الخصومات والمكافآت'!$E:$E,'➕ الخصومات والمكافآت'!$B:$B,B65,'➕ الخصومات والمكافآت'!$F:$F,PayPeriod,'➕ الخصومات والمكافآت'!$C:$C,"خصم"),0))</f>
        <v>0</v>
      </c>
      <c r="N65" s="82">
        <f t="shared" si="7"/>
        <v>0</v>
      </c>
      <c r="O65" s="94">
        <f t="shared" si="8"/>
        <v>0</v>
      </c>
      <c r="P65" s="53"/>
      <c r="Q65" s="88">
        <f>IF(B65="",0,IFERROR(SUMIFS('📅 الحضور'!$J:$J,'📅 الحضور'!$B:$B,B65,'📅 الحضور'!$L:$L,PayPeriod),0))</f>
        <v>0</v>
      </c>
      <c r="R65" s="89">
        <f t="shared" si="9"/>
        <v>0</v>
      </c>
      <c r="S65" s="89">
        <f>IF(B65="",0,IF(IFERROR(VLOOKUP(B65,'👥 بيانات الموظفين'!$B:$D,3,0),"")="سعودي",MIN(F65+G65,GosiCeiling)*GosiEmpRate,IF(IFERROR(VLOOKUP(B65,'👥 بيانات الموظفين'!$B:$D,3,0),"")="سعودية",MIN(F65+G65,GosiCeiling)*GosiEmpRate,0)))</f>
        <v>0</v>
      </c>
      <c r="T65" s="89">
        <f>IF(B65="",0,IF(OR(IFERROR(VLOOKUP(B65,'👥 بيانات الموظفين'!$B:$D,3,0),"")="سعودي",IFERROR(VLOOKUP(B65,'👥 بيانات الموظفين'!$B:$D,3,0),"")="سعودية"),MIN(F65+G65,GosiCeiling)*GosiCoRate,(F65+G65)*0.02))</f>
        <v>0</v>
      </c>
      <c r="U65" s="89">
        <f>IF(B65="",0,IFERROR(IF(VLOOKUP(B65,'👥 بيانات الموظفين'!$B:$M,12,0)&lt;5,F65/24,F65/12),0))</f>
        <v>0</v>
      </c>
    </row>
    <row r="66" spans="1:21" ht="22.15" customHeight="1" x14ac:dyDescent="0.2">
      <c r="A66" s="57">
        <f t="shared" si="5"/>
        <v>62</v>
      </c>
      <c r="B66" s="57">
        <f>IFERROR('👥 بيانات الموظفين'!B66,"")</f>
        <v>0</v>
      </c>
      <c r="C66" s="57" t="str">
        <f>IFERROR(VLOOKUP(B66,'👥 بيانات الموظفين'!$B:$C,2,0),"")</f>
        <v/>
      </c>
      <c r="D66" s="57" t="str">
        <f>IFERROR(VLOOKUP(B66,'👥 بيانات الموظفين'!$B:$E,4,0),"")</f>
        <v/>
      </c>
      <c r="E66" s="69">
        <f>IF(B66="",0,IFERROR(COUNTIFS('📅 الحضور'!$B:$B,B66,'📅 الحضور'!$L:$L,PayPeriod,'📅 الحضور'!$E:$E,"حاضر")+COUNTIFS('📅 الحضور'!$B:$B,B66,'📅 الحضور'!$L:$L,PayPeriod,'📅 الحضور'!$E:$E,"متأخر"),0))</f>
        <v>0</v>
      </c>
      <c r="F66" s="83">
        <f>IFERROR(VLOOKUP(B66,'👥 بيانات الموظفين'!$B:$H,7,0),0)</f>
        <v>0</v>
      </c>
      <c r="G66" s="83">
        <f>IFERROR(VLOOKUP(B66,'👥 بيانات الموظفين'!$B:$I,8,0),0)</f>
        <v>0</v>
      </c>
      <c r="H66" s="83">
        <f>IFERROR(VLOOKUP(B66,'👥 بيانات الموظفين'!$B:$J,9,0),0)</f>
        <v>0</v>
      </c>
      <c r="I66" s="83">
        <f>IF(B66="",0,IFERROR(SUMIFS('➕ الخصومات والمكافآت'!$E:$E,'➕ الخصومات والمكافآت'!$B:$B,B66,'➕ الخصومات والمكافآت'!$F:$F,PayPeriod,'➕ الخصومات والمكافآت'!$C:$C,"مكافأة"),0))</f>
        <v>0</v>
      </c>
      <c r="J66" s="83">
        <f t="shared" si="6"/>
        <v>0</v>
      </c>
      <c r="K66" s="83">
        <f>IF(B66="",0,IFERROR(COUNTIFS('📅 الحضور'!$B:$B,B66,'📅 الحضور'!$L:$L,PayPeriod,'📅 الحضور'!$E:$E,"غائب")*F66/WorkDaysMonth,0))</f>
        <v>0</v>
      </c>
      <c r="L66" s="83">
        <f>IF(B66="",0,IFERROR(SUMIFS('📅 الحضور'!$I:$I,'📅 الحضور'!$B:$B,B66,'📅 الحضور'!$L:$L,PayPeriod)/60/WorkHoursDay*F66/WorkDaysMonth,0))</f>
        <v>0</v>
      </c>
      <c r="M66" s="83">
        <f>IF(B66="",0,IFERROR(SUMIFS('➕ الخصومات والمكافآت'!$E:$E,'➕ الخصومات والمكافآت'!$B:$B,B66,'➕ الخصومات والمكافآت'!$F:$F,PayPeriod,'➕ الخصومات والمكافآت'!$C:$C,"خصم"),0))</f>
        <v>0</v>
      </c>
      <c r="N66" s="83">
        <f t="shared" si="7"/>
        <v>0</v>
      </c>
      <c r="O66" s="95">
        <f t="shared" si="8"/>
        <v>0</v>
      </c>
      <c r="P66" s="57"/>
      <c r="Q66" s="90">
        <f>IF(B66="",0,IFERROR(SUMIFS('📅 الحضور'!$J:$J,'📅 الحضور'!$B:$B,B66,'📅 الحضور'!$L:$L,PayPeriod),0))</f>
        <v>0</v>
      </c>
      <c r="R66" s="91">
        <f t="shared" si="9"/>
        <v>0</v>
      </c>
      <c r="S66" s="91">
        <f>IF(B66="",0,IF(IFERROR(VLOOKUP(B66,'👥 بيانات الموظفين'!$B:$D,3,0),"")="سعودي",MIN(F66+G66,GosiCeiling)*GosiEmpRate,IF(IFERROR(VLOOKUP(B66,'👥 بيانات الموظفين'!$B:$D,3,0),"")="سعودية",MIN(F66+G66,GosiCeiling)*GosiEmpRate,0)))</f>
        <v>0</v>
      </c>
      <c r="T66" s="91">
        <f>IF(B66="",0,IF(OR(IFERROR(VLOOKUP(B66,'👥 بيانات الموظفين'!$B:$D,3,0),"")="سعودي",IFERROR(VLOOKUP(B66,'👥 بيانات الموظفين'!$B:$D,3,0),"")="سعودية"),MIN(F66+G66,GosiCeiling)*GosiCoRate,(F66+G66)*0.02))</f>
        <v>0</v>
      </c>
      <c r="U66" s="91">
        <f>IF(B66="",0,IFERROR(IF(VLOOKUP(B66,'👥 بيانات الموظفين'!$B:$M,12,0)&lt;5,F66/24,F66/12),0))</f>
        <v>0</v>
      </c>
    </row>
    <row r="67" spans="1:21" ht="22.15" customHeight="1" x14ac:dyDescent="0.2">
      <c r="A67" s="53">
        <f t="shared" si="5"/>
        <v>63</v>
      </c>
      <c r="B67" s="53">
        <f>IFERROR('👥 بيانات الموظفين'!B67,"")</f>
        <v>0</v>
      </c>
      <c r="C67" s="53" t="str">
        <f>IFERROR(VLOOKUP(B67,'👥 بيانات الموظفين'!$B:$C,2,0),"")</f>
        <v/>
      </c>
      <c r="D67" s="53" t="str">
        <f>IFERROR(VLOOKUP(B67,'👥 بيانات الموظفين'!$B:$E,4,0),"")</f>
        <v/>
      </c>
      <c r="E67" s="68">
        <f>IF(B67="",0,IFERROR(COUNTIFS('📅 الحضور'!$B:$B,B67,'📅 الحضور'!$L:$L,PayPeriod,'📅 الحضور'!$E:$E,"حاضر")+COUNTIFS('📅 الحضور'!$B:$B,B67,'📅 الحضور'!$L:$L,PayPeriod,'📅 الحضور'!$E:$E,"متأخر"),0))</f>
        <v>0</v>
      </c>
      <c r="F67" s="82">
        <f>IFERROR(VLOOKUP(B67,'👥 بيانات الموظفين'!$B:$H,7,0),0)</f>
        <v>0</v>
      </c>
      <c r="G67" s="82">
        <f>IFERROR(VLOOKUP(B67,'👥 بيانات الموظفين'!$B:$I,8,0),0)</f>
        <v>0</v>
      </c>
      <c r="H67" s="82">
        <f>IFERROR(VLOOKUP(B67,'👥 بيانات الموظفين'!$B:$J,9,0),0)</f>
        <v>0</v>
      </c>
      <c r="I67" s="82">
        <f>IF(B67="",0,IFERROR(SUMIFS('➕ الخصومات والمكافآت'!$E:$E,'➕ الخصومات والمكافآت'!$B:$B,B67,'➕ الخصومات والمكافآت'!$F:$F,PayPeriod,'➕ الخصومات والمكافآت'!$C:$C,"مكافأة"),0))</f>
        <v>0</v>
      </c>
      <c r="J67" s="82">
        <f t="shared" si="6"/>
        <v>0</v>
      </c>
      <c r="K67" s="82">
        <f>IF(B67="",0,IFERROR(COUNTIFS('📅 الحضور'!$B:$B,B67,'📅 الحضور'!$L:$L,PayPeriod,'📅 الحضور'!$E:$E,"غائب")*F67/WorkDaysMonth,0))</f>
        <v>0</v>
      </c>
      <c r="L67" s="82">
        <f>IF(B67="",0,IFERROR(SUMIFS('📅 الحضور'!$I:$I,'📅 الحضور'!$B:$B,B67,'📅 الحضور'!$L:$L,PayPeriod)/60/WorkHoursDay*F67/WorkDaysMonth,0))</f>
        <v>0</v>
      </c>
      <c r="M67" s="82">
        <f>IF(B67="",0,IFERROR(SUMIFS('➕ الخصومات والمكافآت'!$E:$E,'➕ الخصومات والمكافآت'!$B:$B,B67,'➕ الخصومات والمكافآت'!$F:$F,PayPeriod,'➕ الخصومات والمكافآت'!$C:$C,"خصم"),0))</f>
        <v>0</v>
      </c>
      <c r="N67" s="82">
        <f t="shared" si="7"/>
        <v>0</v>
      </c>
      <c r="O67" s="94">
        <f t="shared" si="8"/>
        <v>0</v>
      </c>
      <c r="P67" s="53"/>
      <c r="Q67" s="88">
        <f>IF(B67="",0,IFERROR(SUMIFS('📅 الحضور'!$J:$J,'📅 الحضور'!$B:$B,B67,'📅 الحضور'!$L:$L,PayPeriod),0))</f>
        <v>0</v>
      </c>
      <c r="R67" s="89">
        <f t="shared" si="9"/>
        <v>0</v>
      </c>
      <c r="S67" s="89">
        <f>IF(B67="",0,IF(IFERROR(VLOOKUP(B67,'👥 بيانات الموظفين'!$B:$D,3,0),"")="سعودي",MIN(F67+G67,GosiCeiling)*GosiEmpRate,IF(IFERROR(VLOOKUP(B67,'👥 بيانات الموظفين'!$B:$D,3,0),"")="سعودية",MIN(F67+G67,GosiCeiling)*GosiEmpRate,0)))</f>
        <v>0</v>
      </c>
      <c r="T67" s="89">
        <f>IF(B67="",0,IF(OR(IFERROR(VLOOKUP(B67,'👥 بيانات الموظفين'!$B:$D,3,0),"")="سعودي",IFERROR(VLOOKUP(B67,'👥 بيانات الموظفين'!$B:$D,3,0),"")="سعودية"),MIN(F67+G67,GosiCeiling)*GosiCoRate,(F67+G67)*0.02))</f>
        <v>0</v>
      </c>
      <c r="U67" s="89">
        <f>IF(B67="",0,IFERROR(IF(VLOOKUP(B67,'👥 بيانات الموظفين'!$B:$M,12,0)&lt;5,F67/24,F67/12),0))</f>
        <v>0</v>
      </c>
    </row>
    <row r="68" spans="1:21" ht="22.15" customHeight="1" x14ac:dyDescent="0.2">
      <c r="A68" s="57">
        <f t="shared" si="5"/>
        <v>64</v>
      </c>
      <c r="B68" s="57">
        <f>IFERROR('👥 بيانات الموظفين'!B68,"")</f>
        <v>0</v>
      </c>
      <c r="C68" s="57" t="str">
        <f>IFERROR(VLOOKUP(B68,'👥 بيانات الموظفين'!$B:$C,2,0),"")</f>
        <v/>
      </c>
      <c r="D68" s="57" t="str">
        <f>IFERROR(VLOOKUP(B68,'👥 بيانات الموظفين'!$B:$E,4,0),"")</f>
        <v/>
      </c>
      <c r="E68" s="69">
        <f>IF(B68="",0,IFERROR(COUNTIFS('📅 الحضور'!$B:$B,B68,'📅 الحضور'!$L:$L,PayPeriod,'📅 الحضور'!$E:$E,"حاضر")+COUNTIFS('📅 الحضور'!$B:$B,B68,'📅 الحضور'!$L:$L,PayPeriod,'📅 الحضور'!$E:$E,"متأخر"),0))</f>
        <v>0</v>
      </c>
      <c r="F68" s="83">
        <f>IFERROR(VLOOKUP(B68,'👥 بيانات الموظفين'!$B:$H,7,0),0)</f>
        <v>0</v>
      </c>
      <c r="G68" s="83">
        <f>IFERROR(VLOOKUP(B68,'👥 بيانات الموظفين'!$B:$I,8,0),0)</f>
        <v>0</v>
      </c>
      <c r="H68" s="83">
        <f>IFERROR(VLOOKUP(B68,'👥 بيانات الموظفين'!$B:$J,9,0),0)</f>
        <v>0</v>
      </c>
      <c r="I68" s="83">
        <f>IF(B68="",0,IFERROR(SUMIFS('➕ الخصومات والمكافآت'!$E:$E,'➕ الخصومات والمكافآت'!$B:$B,B68,'➕ الخصومات والمكافآت'!$F:$F,PayPeriod,'➕ الخصومات والمكافآت'!$C:$C,"مكافأة"),0))</f>
        <v>0</v>
      </c>
      <c r="J68" s="83">
        <f t="shared" si="6"/>
        <v>0</v>
      </c>
      <c r="K68" s="83">
        <f>IF(B68="",0,IFERROR(COUNTIFS('📅 الحضور'!$B:$B,B68,'📅 الحضور'!$L:$L,PayPeriod,'📅 الحضور'!$E:$E,"غائب")*F68/WorkDaysMonth,0))</f>
        <v>0</v>
      </c>
      <c r="L68" s="83">
        <f>IF(B68="",0,IFERROR(SUMIFS('📅 الحضور'!$I:$I,'📅 الحضور'!$B:$B,B68,'📅 الحضور'!$L:$L,PayPeriod)/60/WorkHoursDay*F68/WorkDaysMonth,0))</f>
        <v>0</v>
      </c>
      <c r="M68" s="83">
        <f>IF(B68="",0,IFERROR(SUMIFS('➕ الخصومات والمكافآت'!$E:$E,'➕ الخصومات والمكافآت'!$B:$B,B68,'➕ الخصومات والمكافآت'!$F:$F,PayPeriod,'➕ الخصومات والمكافآت'!$C:$C,"خصم"),0))</f>
        <v>0</v>
      </c>
      <c r="N68" s="83">
        <f t="shared" si="7"/>
        <v>0</v>
      </c>
      <c r="O68" s="95">
        <f t="shared" si="8"/>
        <v>0</v>
      </c>
      <c r="P68" s="57"/>
      <c r="Q68" s="90">
        <f>IF(B68="",0,IFERROR(SUMIFS('📅 الحضور'!$J:$J,'📅 الحضور'!$B:$B,B68,'📅 الحضور'!$L:$L,PayPeriod),0))</f>
        <v>0</v>
      </c>
      <c r="R68" s="91">
        <f t="shared" si="9"/>
        <v>0</v>
      </c>
      <c r="S68" s="91">
        <f>IF(B68="",0,IF(IFERROR(VLOOKUP(B68,'👥 بيانات الموظفين'!$B:$D,3,0),"")="سعودي",MIN(F68+G68,GosiCeiling)*GosiEmpRate,IF(IFERROR(VLOOKUP(B68,'👥 بيانات الموظفين'!$B:$D,3,0),"")="سعودية",MIN(F68+G68,GosiCeiling)*GosiEmpRate,0)))</f>
        <v>0</v>
      </c>
      <c r="T68" s="91">
        <f>IF(B68="",0,IF(OR(IFERROR(VLOOKUP(B68,'👥 بيانات الموظفين'!$B:$D,3,0),"")="سعودي",IFERROR(VLOOKUP(B68,'👥 بيانات الموظفين'!$B:$D,3,0),"")="سعودية"),MIN(F68+G68,GosiCeiling)*GosiCoRate,(F68+G68)*0.02))</f>
        <v>0</v>
      </c>
      <c r="U68" s="91">
        <f>IF(B68="",0,IFERROR(IF(VLOOKUP(B68,'👥 بيانات الموظفين'!$B:$M,12,0)&lt;5,F68/24,F68/12),0))</f>
        <v>0</v>
      </c>
    </row>
    <row r="69" spans="1:21" ht="22.15" customHeight="1" x14ac:dyDescent="0.2">
      <c r="A69" s="53">
        <f t="shared" ref="A69:A100" si="10">IF(B69&lt;&gt;"",ROW()-4,"")</f>
        <v>65</v>
      </c>
      <c r="B69" s="53">
        <f>IFERROR('👥 بيانات الموظفين'!B69,"")</f>
        <v>0</v>
      </c>
      <c r="C69" s="53" t="str">
        <f>IFERROR(VLOOKUP(B69,'👥 بيانات الموظفين'!$B:$C,2,0),"")</f>
        <v/>
      </c>
      <c r="D69" s="53" t="str">
        <f>IFERROR(VLOOKUP(B69,'👥 بيانات الموظفين'!$B:$E,4,0),"")</f>
        <v/>
      </c>
      <c r="E69" s="68">
        <f>IF(B69="",0,IFERROR(COUNTIFS('📅 الحضور'!$B:$B,B69,'📅 الحضور'!$L:$L,PayPeriod,'📅 الحضور'!$E:$E,"حاضر")+COUNTIFS('📅 الحضور'!$B:$B,B69,'📅 الحضور'!$L:$L,PayPeriod,'📅 الحضور'!$E:$E,"متأخر"),0))</f>
        <v>0</v>
      </c>
      <c r="F69" s="82">
        <f>IFERROR(VLOOKUP(B69,'👥 بيانات الموظفين'!$B:$H,7,0),0)</f>
        <v>0</v>
      </c>
      <c r="G69" s="82">
        <f>IFERROR(VLOOKUP(B69,'👥 بيانات الموظفين'!$B:$I,8,0),0)</f>
        <v>0</v>
      </c>
      <c r="H69" s="82">
        <f>IFERROR(VLOOKUP(B69,'👥 بيانات الموظفين'!$B:$J,9,0),0)</f>
        <v>0</v>
      </c>
      <c r="I69" s="82">
        <f>IF(B69="",0,IFERROR(SUMIFS('➕ الخصومات والمكافآت'!$E:$E,'➕ الخصومات والمكافآت'!$B:$B,B69,'➕ الخصومات والمكافآت'!$F:$F,PayPeriod,'➕ الخصومات والمكافآت'!$C:$C,"مكافأة"),0))</f>
        <v>0</v>
      </c>
      <c r="J69" s="82">
        <f t="shared" ref="J69:J100" si="11">IF(B69="","",F69+G69+H69+I69+R69)</f>
        <v>0</v>
      </c>
      <c r="K69" s="82">
        <f>IF(B69="",0,IFERROR(COUNTIFS('📅 الحضور'!$B:$B,B69,'📅 الحضور'!$L:$L,PayPeriod,'📅 الحضور'!$E:$E,"غائب")*F69/WorkDaysMonth,0))</f>
        <v>0</v>
      </c>
      <c r="L69" s="82">
        <f>IF(B69="",0,IFERROR(SUMIFS('📅 الحضور'!$I:$I,'📅 الحضور'!$B:$B,B69,'📅 الحضور'!$L:$L,PayPeriod)/60/WorkHoursDay*F69/WorkDaysMonth,0))</f>
        <v>0</v>
      </c>
      <c r="M69" s="82">
        <f>IF(B69="",0,IFERROR(SUMIFS('➕ الخصومات والمكافآت'!$E:$E,'➕ الخصومات والمكافآت'!$B:$B,B69,'➕ الخصومات والمكافآت'!$F:$F,PayPeriod,'➕ الخصومات والمكافآت'!$C:$C,"خصم"),0))</f>
        <v>0</v>
      </c>
      <c r="N69" s="82">
        <f t="shared" ref="N69:N100" si="12">IF(B69="","",K69+L69+M69+S69)</f>
        <v>0</v>
      </c>
      <c r="O69" s="94">
        <f t="shared" ref="O69:O100" si="13">IF(B69="","",J69-N69)</f>
        <v>0</v>
      </c>
      <c r="P69" s="53"/>
      <c r="Q69" s="88">
        <f>IF(B69="",0,IFERROR(SUMIFS('📅 الحضور'!$J:$J,'📅 الحضور'!$B:$B,B69,'📅 الحضور'!$L:$L,PayPeriod),0))</f>
        <v>0</v>
      </c>
      <c r="R69" s="89">
        <f t="shared" ref="R69:R100" si="14">IF(B69="",0,IFERROR(Q69*(F69/WorkHoursMonth)*OTRateRegular,0))</f>
        <v>0</v>
      </c>
      <c r="S69" s="89">
        <f>IF(B69="",0,IF(IFERROR(VLOOKUP(B69,'👥 بيانات الموظفين'!$B:$D,3,0),"")="سعودي",MIN(F69+G69,GosiCeiling)*GosiEmpRate,IF(IFERROR(VLOOKUP(B69,'👥 بيانات الموظفين'!$B:$D,3,0),"")="سعودية",MIN(F69+G69,GosiCeiling)*GosiEmpRate,0)))</f>
        <v>0</v>
      </c>
      <c r="T69" s="89">
        <f>IF(B69="",0,IF(OR(IFERROR(VLOOKUP(B69,'👥 بيانات الموظفين'!$B:$D,3,0),"")="سعودي",IFERROR(VLOOKUP(B69,'👥 بيانات الموظفين'!$B:$D,3,0),"")="سعودية"),MIN(F69+G69,GosiCeiling)*GosiCoRate,(F69+G69)*0.02))</f>
        <v>0</v>
      </c>
      <c r="U69" s="89">
        <f>IF(B69="",0,IFERROR(IF(VLOOKUP(B69,'👥 بيانات الموظفين'!$B:$M,12,0)&lt;5,F69/24,F69/12),0))</f>
        <v>0</v>
      </c>
    </row>
    <row r="70" spans="1:21" ht="22.15" customHeight="1" x14ac:dyDescent="0.2">
      <c r="A70" s="57">
        <f t="shared" si="10"/>
        <v>66</v>
      </c>
      <c r="B70" s="57">
        <f>IFERROR('👥 بيانات الموظفين'!B70,"")</f>
        <v>0</v>
      </c>
      <c r="C70" s="57" t="str">
        <f>IFERROR(VLOOKUP(B70,'👥 بيانات الموظفين'!$B:$C,2,0),"")</f>
        <v/>
      </c>
      <c r="D70" s="57" t="str">
        <f>IFERROR(VLOOKUP(B70,'👥 بيانات الموظفين'!$B:$E,4,0),"")</f>
        <v/>
      </c>
      <c r="E70" s="69">
        <f>IF(B70="",0,IFERROR(COUNTIFS('📅 الحضور'!$B:$B,B70,'📅 الحضور'!$L:$L,PayPeriod,'📅 الحضور'!$E:$E,"حاضر")+COUNTIFS('📅 الحضور'!$B:$B,B70,'📅 الحضور'!$L:$L,PayPeriod,'📅 الحضور'!$E:$E,"متأخر"),0))</f>
        <v>0</v>
      </c>
      <c r="F70" s="83">
        <f>IFERROR(VLOOKUP(B70,'👥 بيانات الموظفين'!$B:$H,7,0),0)</f>
        <v>0</v>
      </c>
      <c r="G70" s="83">
        <f>IFERROR(VLOOKUP(B70,'👥 بيانات الموظفين'!$B:$I,8,0),0)</f>
        <v>0</v>
      </c>
      <c r="H70" s="83">
        <f>IFERROR(VLOOKUP(B70,'👥 بيانات الموظفين'!$B:$J,9,0),0)</f>
        <v>0</v>
      </c>
      <c r="I70" s="83">
        <f>IF(B70="",0,IFERROR(SUMIFS('➕ الخصومات والمكافآت'!$E:$E,'➕ الخصومات والمكافآت'!$B:$B,B70,'➕ الخصومات والمكافآت'!$F:$F,PayPeriod,'➕ الخصومات والمكافآت'!$C:$C,"مكافأة"),0))</f>
        <v>0</v>
      </c>
      <c r="J70" s="83">
        <f t="shared" si="11"/>
        <v>0</v>
      </c>
      <c r="K70" s="83">
        <f>IF(B70="",0,IFERROR(COUNTIFS('📅 الحضور'!$B:$B,B70,'📅 الحضور'!$L:$L,PayPeriod,'📅 الحضور'!$E:$E,"غائب")*F70/WorkDaysMonth,0))</f>
        <v>0</v>
      </c>
      <c r="L70" s="83">
        <f>IF(B70="",0,IFERROR(SUMIFS('📅 الحضور'!$I:$I,'📅 الحضور'!$B:$B,B70,'📅 الحضور'!$L:$L,PayPeriod)/60/WorkHoursDay*F70/WorkDaysMonth,0))</f>
        <v>0</v>
      </c>
      <c r="M70" s="83">
        <f>IF(B70="",0,IFERROR(SUMIFS('➕ الخصومات والمكافآت'!$E:$E,'➕ الخصومات والمكافآت'!$B:$B,B70,'➕ الخصومات والمكافآت'!$F:$F,PayPeriod,'➕ الخصومات والمكافآت'!$C:$C,"خصم"),0))</f>
        <v>0</v>
      </c>
      <c r="N70" s="83">
        <f t="shared" si="12"/>
        <v>0</v>
      </c>
      <c r="O70" s="95">
        <f t="shared" si="13"/>
        <v>0</v>
      </c>
      <c r="P70" s="57"/>
      <c r="Q70" s="90">
        <f>IF(B70="",0,IFERROR(SUMIFS('📅 الحضور'!$J:$J,'📅 الحضور'!$B:$B,B70,'📅 الحضور'!$L:$L,PayPeriod),0))</f>
        <v>0</v>
      </c>
      <c r="R70" s="91">
        <f t="shared" si="14"/>
        <v>0</v>
      </c>
      <c r="S70" s="91">
        <f>IF(B70="",0,IF(IFERROR(VLOOKUP(B70,'👥 بيانات الموظفين'!$B:$D,3,0),"")="سعودي",MIN(F70+G70,GosiCeiling)*GosiEmpRate,IF(IFERROR(VLOOKUP(B70,'👥 بيانات الموظفين'!$B:$D,3,0),"")="سعودية",MIN(F70+G70,GosiCeiling)*GosiEmpRate,0)))</f>
        <v>0</v>
      </c>
      <c r="T70" s="91">
        <f>IF(B70="",0,IF(OR(IFERROR(VLOOKUP(B70,'👥 بيانات الموظفين'!$B:$D,3,0),"")="سعودي",IFERROR(VLOOKUP(B70,'👥 بيانات الموظفين'!$B:$D,3,0),"")="سعودية"),MIN(F70+G70,GosiCeiling)*GosiCoRate,(F70+G70)*0.02))</f>
        <v>0</v>
      </c>
      <c r="U70" s="91">
        <f>IF(B70="",0,IFERROR(IF(VLOOKUP(B70,'👥 بيانات الموظفين'!$B:$M,12,0)&lt;5,F70/24,F70/12),0))</f>
        <v>0</v>
      </c>
    </row>
    <row r="71" spans="1:21" ht="22.15" customHeight="1" x14ac:dyDescent="0.2">
      <c r="A71" s="53">
        <f t="shared" si="10"/>
        <v>67</v>
      </c>
      <c r="B71" s="53">
        <f>IFERROR('👥 بيانات الموظفين'!B71,"")</f>
        <v>0</v>
      </c>
      <c r="C71" s="53" t="str">
        <f>IFERROR(VLOOKUP(B71,'👥 بيانات الموظفين'!$B:$C,2,0),"")</f>
        <v/>
      </c>
      <c r="D71" s="53" t="str">
        <f>IFERROR(VLOOKUP(B71,'👥 بيانات الموظفين'!$B:$E,4,0),"")</f>
        <v/>
      </c>
      <c r="E71" s="68">
        <f>IF(B71="",0,IFERROR(COUNTIFS('📅 الحضور'!$B:$B,B71,'📅 الحضور'!$L:$L,PayPeriod,'📅 الحضور'!$E:$E,"حاضر")+COUNTIFS('📅 الحضور'!$B:$B,B71,'📅 الحضور'!$L:$L,PayPeriod,'📅 الحضور'!$E:$E,"متأخر"),0))</f>
        <v>0</v>
      </c>
      <c r="F71" s="82">
        <f>IFERROR(VLOOKUP(B71,'👥 بيانات الموظفين'!$B:$H,7,0),0)</f>
        <v>0</v>
      </c>
      <c r="G71" s="82">
        <f>IFERROR(VLOOKUP(B71,'👥 بيانات الموظفين'!$B:$I,8,0),0)</f>
        <v>0</v>
      </c>
      <c r="H71" s="82">
        <f>IFERROR(VLOOKUP(B71,'👥 بيانات الموظفين'!$B:$J,9,0),0)</f>
        <v>0</v>
      </c>
      <c r="I71" s="82">
        <f>IF(B71="",0,IFERROR(SUMIFS('➕ الخصومات والمكافآت'!$E:$E,'➕ الخصومات والمكافآت'!$B:$B,B71,'➕ الخصومات والمكافآت'!$F:$F,PayPeriod,'➕ الخصومات والمكافآت'!$C:$C,"مكافأة"),0))</f>
        <v>0</v>
      </c>
      <c r="J71" s="82">
        <f t="shared" si="11"/>
        <v>0</v>
      </c>
      <c r="K71" s="82">
        <f>IF(B71="",0,IFERROR(COUNTIFS('📅 الحضور'!$B:$B,B71,'📅 الحضور'!$L:$L,PayPeriod,'📅 الحضور'!$E:$E,"غائب")*F71/WorkDaysMonth,0))</f>
        <v>0</v>
      </c>
      <c r="L71" s="82">
        <f>IF(B71="",0,IFERROR(SUMIFS('📅 الحضور'!$I:$I,'📅 الحضور'!$B:$B,B71,'📅 الحضور'!$L:$L,PayPeriod)/60/WorkHoursDay*F71/WorkDaysMonth,0))</f>
        <v>0</v>
      </c>
      <c r="M71" s="82">
        <f>IF(B71="",0,IFERROR(SUMIFS('➕ الخصومات والمكافآت'!$E:$E,'➕ الخصومات والمكافآت'!$B:$B,B71,'➕ الخصومات والمكافآت'!$F:$F,PayPeriod,'➕ الخصومات والمكافآت'!$C:$C,"خصم"),0))</f>
        <v>0</v>
      </c>
      <c r="N71" s="82">
        <f t="shared" si="12"/>
        <v>0</v>
      </c>
      <c r="O71" s="94">
        <f t="shared" si="13"/>
        <v>0</v>
      </c>
      <c r="P71" s="53"/>
      <c r="Q71" s="88">
        <f>IF(B71="",0,IFERROR(SUMIFS('📅 الحضور'!$J:$J,'📅 الحضور'!$B:$B,B71,'📅 الحضور'!$L:$L,PayPeriod),0))</f>
        <v>0</v>
      </c>
      <c r="R71" s="89">
        <f t="shared" si="14"/>
        <v>0</v>
      </c>
      <c r="S71" s="89">
        <f>IF(B71="",0,IF(IFERROR(VLOOKUP(B71,'👥 بيانات الموظفين'!$B:$D,3,0),"")="سعودي",MIN(F71+G71,GosiCeiling)*GosiEmpRate,IF(IFERROR(VLOOKUP(B71,'👥 بيانات الموظفين'!$B:$D,3,0),"")="سعودية",MIN(F71+G71,GosiCeiling)*GosiEmpRate,0)))</f>
        <v>0</v>
      </c>
      <c r="T71" s="89">
        <f>IF(B71="",0,IF(OR(IFERROR(VLOOKUP(B71,'👥 بيانات الموظفين'!$B:$D,3,0),"")="سعودي",IFERROR(VLOOKUP(B71,'👥 بيانات الموظفين'!$B:$D,3,0),"")="سعودية"),MIN(F71+G71,GosiCeiling)*GosiCoRate,(F71+G71)*0.02))</f>
        <v>0</v>
      </c>
      <c r="U71" s="89">
        <f>IF(B71="",0,IFERROR(IF(VLOOKUP(B71,'👥 بيانات الموظفين'!$B:$M,12,0)&lt;5,F71/24,F71/12),0))</f>
        <v>0</v>
      </c>
    </row>
    <row r="72" spans="1:21" ht="22.15" customHeight="1" x14ac:dyDescent="0.2">
      <c r="A72" s="57">
        <f t="shared" si="10"/>
        <v>68</v>
      </c>
      <c r="B72" s="57">
        <f>IFERROR('👥 بيانات الموظفين'!B72,"")</f>
        <v>0</v>
      </c>
      <c r="C72" s="57" t="str">
        <f>IFERROR(VLOOKUP(B72,'👥 بيانات الموظفين'!$B:$C,2,0),"")</f>
        <v/>
      </c>
      <c r="D72" s="57" t="str">
        <f>IFERROR(VLOOKUP(B72,'👥 بيانات الموظفين'!$B:$E,4,0),"")</f>
        <v/>
      </c>
      <c r="E72" s="69">
        <f>IF(B72="",0,IFERROR(COUNTIFS('📅 الحضور'!$B:$B,B72,'📅 الحضور'!$L:$L,PayPeriod,'📅 الحضور'!$E:$E,"حاضر")+COUNTIFS('📅 الحضور'!$B:$B,B72,'📅 الحضور'!$L:$L,PayPeriod,'📅 الحضور'!$E:$E,"متأخر"),0))</f>
        <v>0</v>
      </c>
      <c r="F72" s="83">
        <f>IFERROR(VLOOKUP(B72,'👥 بيانات الموظفين'!$B:$H,7,0),0)</f>
        <v>0</v>
      </c>
      <c r="G72" s="83">
        <f>IFERROR(VLOOKUP(B72,'👥 بيانات الموظفين'!$B:$I,8,0),0)</f>
        <v>0</v>
      </c>
      <c r="H72" s="83">
        <f>IFERROR(VLOOKUP(B72,'👥 بيانات الموظفين'!$B:$J,9,0),0)</f>
        <v>0</v>
      </c>
      <c r="I72" s="83">
        <f>IF(B72="",0,IFERROR(SUMIFS('➕ الخصومات والمكافآت'!$E:$E,'➕ الخصومات والمكافآت'!$B:$B,B72,'➕ الخصومات والمكافآت'!$F:$F,PayPeriod,'➕ الخصومات والمكافآت'!$C:$C,"مكافأة"),0))</f>
        <v>0</v>
      </c>
      <c r="J72" s="83">
        <f t="shared" si="11"/>
        <v>0</v>
      </c>
      <c r="K72" s="83">
        <f>IF(B72="",0,IFERROR(COUNTIFS('📅 الحضور'!$B:$B,B72,'📅 الحضور'!$L:$L,PayPeriod,'📅 الحضور'!$E:$E,"غائب")*F72/WorkDaysMonth,0))</f>
        <v>0</v>
      </c>
      <c r="L72" s="83">
        <f>IF(B72="",0,IFERROR(SUMIFS('📅 الحضور'!$I:$I,'📅 الحضور'!$B:$B,B72,'📅 الحضور'!$L:$L,PayPeriod)/60/WorkHoursDay*F72/WorkDaysMonth,0))</f>
        <v>0</v>
      </c>
      <c r="M72" s="83">
        <f>IF(B72="",0,IFERROR(SUMIFS('➕ الخصومات والمكافآت'!$E:$E,'➕ الخصومات والمكافآت'!$B:$B,B72,'➕ الخصومات والمكافآت'!$F:$F,PayPeriod,'➕ الخصومات والمكافآت'!$C:$C,"خصم"),0))</f>
        <v>0</v>
      </c>
      <c r="N72" s="83">
        <f t="shared" si="12"/>
        <v>0</v>
      </c>
      <c r="O72" s="95">
        <f t="shared" si="13"/>
        <v>0</v>
      </c>
      <c r="P72" s="57"/>
      <c r="Q72" s="90">
        <f>IF(B72="",0,IFERROR(SUMIFS('📅 الحضور'!$J:$J,'📅 الحضور'!$B:$B,B72,'📅 الحضور'!$L:$L,PayPeriod),0))</f>
        <v>0</v>
      </c>
      <c r="R72" s="91">
        <f t="shared" si="14"/>
        <v>0</v>
      </c>
      <c r="S72" s="91">
        <f>IF(B72="",0,IF(IFERROR(VLOOKUP(B72,'👥 بيانات الموظفين'!$B:$D,3,0),"")="سعودي",MIN(F72+G72,GosiCeiling)*GosiEmpRate,IF(IFERROR(VLOOKUP(B72,'👥 بيانات الموظفين'!$B:$D,3,0),"")="سعودية",MIN(F72+G72,GosiCeiling)*GosiEmpRate,0)))</f>
        <v>0</v>
      </c>
      <c r="T72" s="91">
        <f>IF(B72="",0,IF(OR(IFERROR(VLOOKUP(B72,'👥 بيانات الموظفين'!$B:$D,3,0),"")="سعودي",IFERROR(VLOOKUP(B72,'👥 بيانات الموظفين'!$B:$D,3,0),"")="سعودية"),MIN(F72+G72,GosiCeiling)*GosiCoRate,(F72+G72)*0.02))</f>
        <v>0</v>
      </c>
      <c r="U72" s="91">
        <f>IF(B72="",0,IFERROR(IF(VLOOKUP(B72,'👥 بيانات الموظفين'!$B:$M,12,0)&lt;5,F72/24,F72/12),0))</f>
        <v>0</v>
      </c>
    </row>
    <row r="73" spans="1:21" ht="22.15" customHeight="1" x14ac:dyDescent="0.2">
      <c r="A73" s="53">
        <f t="shared" si="10"/>
        <v>69</v>
      </c>
      <c r="B73" s="53">
        <f>IFERROR('👥 بيانات الموظفين'!B73,"")</f>
        <v>0</v>
      </c>
      <c r="C73" s="53" t="str">
        <f>IFERROR(VLOOKUP(B73,'👥 بيانات الموظفين'!$B:$C,2,0),"")</f>
        <v/>
      </c>
      <c r="D73" s="53" t="str">
        <f>IFERROR(VLOOKUP(B73,'👥 بيانات الموظفين'!$B:$E,4,0),"")</f>
        <v/>
      </c>
      <c r="E73" s="68">
        <f>IF(B73="",0,IFERROR(COUNTIFS('📅 الحضور'!$B:$B,B73,'📅 الحضور'!$L:$L,PayPeriod,'📅 الحضور'!$E:$E,"حاضر")+COUNTIFS('📅 الحضور'!$B:$B,B73,'📅 الحضور'!$L:$L,PayPeriod,'📅 الحضور'!$E:$E,"متأخر"),0))</f>
        <v>0</v>
      </c>
      <c r="F73" s="82">
        <f>IFERROR(VLOOKUP(B73,'👥 بيانات الموظفين'!$B:$H,7,0),0)</f>
        <v>0</v>
      </c>
      <c r="G73" s="82">
        <f>IFERROR(VLOOKUP(B73,'👥 بيانات الموظفين'!$B:$I,8,0),0)</f>
        <v>0</v>
      </c>
      <c r="H73" s="82">
        <f>IFERROR(VLOOKUP(B73,'👥 بيانات الموظفين'!$B:$J,9,0),0)</f>
        <v>0</v>
      </c>
      <c r="I73" s="82">
        <f>IF(B73="",0,IFERROR(SUMIFS('➕ الخصومات والمكافآت'!$E:$E,'➕ الخصومات والمكافآت'!$B:$B,B73,'➕ الخصومات والمكافآت'!$F:$F,PayPeriod,'➕ الخصومات والمكافآت'!$C:$C,"مكافأة"),0))</f>
        <v>0</v>
      </c>
      <c r="J73" s="82">
        <f t="shared" si="11"/>
        <v>0</v>
      </c>
      <c r="K73" s="82">
        <f>IF(B73="",0,IFERROR(COUNTIFS('📅 الحضور'!$B:$B,B73,'📅 الحضور'!$L:$L,PayPeriod,'📅 الحضور'!$E:$E,"غائب")*F73/WorkDaysMonth,0))</f>
        <v>0</v>
      </c>
      <c r="L73" s="82">
        <f>IF(B73="",0,IFERROR(SUMIFS('📅 الحضور'!$I:$I,'📅 الحضور'!$B:$B,B73,'📅 الحضور'!$L:$L,PayPeriod)/60/WorkHoursDay*F73/WorkDaysMonth,0))</f>
        <v>0</v>
      </c>
      <c r="M73" s="82">
        <f>IF(B73="",0,IFERROR(SUMIFS('➕ الخصومات والمكافآت'!$E:$E,'➕ الخصومات والمكافآت'!$B:$B,B73,'➕ الخصومات والمكافآت'!$F:$F,PayPeriod,'➕ الخصومات والمكافآت'!$C:$C,"خصم"),0))</f>
        <v>0</v>
      </c>
      <c r="N73" s="82">
        <f t="shared" si="12"/>
        <v>0</v>
      </c>
      <c r="O73" s="94">
        <f t="shared" si="13"/>
        <v>0</v>
      </c>
      <c r="P73" s="53"/>
      <c r="Q73" s="88">
        <f>IF(B73="",0,IFERROR(SUMIFS('📅 الحضور'!$J:$J,'📅 الحضور'!$B:$B,B73,'📅 الحضور'!$L:$L,PayPeriod),0))</f>
        <v>0</v>
      </c>
      <c r="R73" s="89">
        <f t="shared" si="14"/>
        <v>0</v>
      </c>
      <c r="S73" s="89">
        <f>IF(B73="",0,IF(IFERROR(VLOOKUP(B73,'👥 بيانات الموظفين'!$B:$D,3,0),"")="سعودي",MIN(F73+G73,GosiCeiling)*GosiEmpRate,IF(IFERROR(VLOOKUP(B73,'👥 بيانات الموظفين'!$B:$D,3,0),"")="سعودية",MIN(F73+G73,GosiCeiling)*GosiEmpRate,0)))</f>
        <v>0</v>
      </c>
      <c r="T73" s="89">
        <f>IF(B73="",0,IF(OR(IFERROR(VLOOKUP(B73,'👥 بيانات الموظفين'!$B:$D,3,0),"")="سعودي",IFERROR(VLOOKUP(B73,'👥 بيانات الموظفين'!$B:$D,3,0),"")="سعودية"),MIN(F73+G73,GosiCeiling)*GosiCoRate,(F73+G73)*0.02))</f>
        <v>0</v>
      </c>
      <c r="U73" s="89">
        <f>IF(B73="",0,IFERROR(IF(VLOOKUP(B73,'👥 بيانات الموظفين'!$B:$M,12,0)&lt;5,F73/24,F73/12),0))</f>
        <v>0</v>
      </c>
    </row>
    <row r="74" spans="1:21" ht="22.15" customHeight="1" x14ac:dyDescent="0.2">
      <c r="A74" s="57">
        <f t="shared" si="10"/>
        <v>70</v>
      </c>
      <c r="B74" s="57">
        <f>IFERROR('👥 بيانات الموظفين'!B74,"")</f>
        <v>0</v>
      </c>
      <c r="C74" s="57" t="str">
        <f>IFERROR(VLOOKUP(B74,'👥 بيانات الموظفين'!$B:$C,2,0),"")</f>
        <v/>
      </c>
      <c r="D74" s="57" t="str">
        <f>IFERROR(VLOOKUP(B74,'👥 بيانات الموظفين'!$B:$E,4,0),"")</f>
        <v/>
      </c>
      <c r="E74" s="69">
        <f>IF(B74="",0,IFERROR(COUNTIFS('📅 الحضور'!$B:$B,B74,'📅 الحضور'!$L:$L,PayPeriod,'📅 الحضور'!$E:$E,"حاضر")+COUNTIFS('📅 الحضور'!$B:$B,B74,'📅 الحضور'!$L:$L,PayPeriod,'📅 الحضور'!$E:$E,"متأخر"),0))</f>
        <v>0</v>
      </c>
      <c r="F74" s="83">
        <f>IFERROR(VLOOKUP(B74,'👥 بيانات الموظفين'!$B:$H,7,0),0)</f>
        <v>0</v>
      </c>
      <c r="G74" s="83">
        <f>IFERROR(VLOOKUP(B74,'👥 بيانات الموظفين'!$B:$I,8,0),0)</f>
        <v>0</v>
      </c>
      <c r="H74" s="83">
        <f>IFERROR(VLOOKUP(B74,'👥 بيانات الموظفين'!$B:$J,9,0),0)</f>
        <v>0</v>
      </c>
      <c r="I74" s="83">
        <f>IF(B74="",0,IFERROR(SUMIFS('➕ الخصومات والمكافآت'!$E:$E,'➕ الخصومات والمكافآت'!$B:$B,B74,'➕ الخصومات والمكافآت'!$F:$F,PayPeriod,'➕ الخصومات والمكافآت'!$C:$C,"مكافأة"),0))</f>
        <v>0</v>
      </c>
      <c r="J74" s="83">
        <f t="shared" si="11"/>
        <v>0</v>
      </c>
      <c r="K74" s="83">
        <f>IF(B74="",0,IFERROR(COUNTIFS('📅 الحضور'!$B:$B,B74,'📅 الحضور'!$L:$L,PayPeriod,'📅 الحضور'!$E:$E,"غائب")*F74/WorkDaysMonth,0))</f>
        <v>0</v>
      </c>
      <c r="L74" s="83">
        <f>IF(B74="",0,IFERROR(SUMIFS('📅 الحضور'!$I:$I,'📅 الحضور'!$B:$B,B74,'📅 الحضور'!$L:$L,PayPeriod)/60/WorkHoursDay*F74/WorkDaysMonth,0))</f>
        <v>0</v>
      </c>
      <c r="M74" s="83">
        <f>IF(B74="",0,IFERROR(SUMIFS('➕ الخصومات والمكافآت'!$E:$E,'➕ الخصومات والمكافآت'!$B:$B,B74,'➕ الخصومات والمكافآت'!$F:$F,PayPeriod,'➕ الخصومات والمكافآت'!$C:$C,"خصم"),0))</f>
        <v>0</v>
      </c>
      <c r="N74" s="83">
        <f t="shared" si="12"/>
        <v>0</v>
      </c>
      <c r="O74" s="95">
        <f t="shared" si="13"/>
        <v>0</v>
      </c>
      <c r="P74" s="57"/>
      <c r="Q74" s="90">
        <f>IF(B74="",0,IFERROR(SUMIFS('📅 الحضور'!$J:$J,'📅 الحضور'!$B:$B,B74,'📅 الحضور'!$L:$L,PayPeriod),0))</f>
        <v>0</v>
      </c>
      <c r="R74" s="91">
        <f t="shared" si="14"/>
        <v>0</v>
      </c>
      <c r="S74" s="91">
        <f>IF(B74="",0,IF(IFERROR(VLOOKUP(B74,'👥 بيانات الموظفين'!$B:$D,3,0),"")="سعودي",MIN(F74+G74,GosiCeiling)*GosiEmpRate,IF(IFERROR(VLOOKUP(B74,'👥 بيانات الموظفين'!$B:$D,3,0),"")="سعودية",MIN(F74+G74,GosiCeiling)*GosiEmpRate,0)))</f>
        <v>0</v>
      </c>
      <c r="T74" s="91">
        <f>IF(B74="",0,IF(OR(IFERROR(VLOOKUP(B74,'👥 بيانات الموظفين'!$B:$D,3,0),"")="سعودي",IFERROR(VLOOKUP(B74,'👥 بيانات الموظفين'!$B:$D,3,0),"")="سعودية"),MIN(F74+G74,GosiCeiling)*GosiCoRate,(F74+G74)*0.02))</f>
        <v>0</v>
      </c>
      <c r="U74" s="91">
        <f>IF(B74="",0,IFERROR(IF(VLOOKUP(B74,'👥 بيانات الموظفين'!$B:$M,12,0)&lt;5,F74/24,F74/12),0))</f>
        <v>0</v>
      </c>
    </row>
    <row r="75" spans="1:21" ht="22.15" customHeight="1" x14ac:dyDescent="0.2">
      <c r="A75" s="53">
        <f t="shared" si="10"/>
        <v>71</v>
      </c>
      <c r="B75" s="53">
        <f>IFERROR('👥 بيانات الموظفين'!B75,"")</f>
        <v>0</v>
      </c>
      <c r="C75" s="53" t="str">
        <f>IFERROR(VLOOKUP(B75,'👥 بيانات الموظفين'!$B:$C,2,0),"")</f>
        <v/>
      </c>
      <c r="D75" s="53" t="str">
        <f>IFERROR(VLOOKUP(B75,'👥 بيانات الموظفين'!$B:$E,4,0),"")</f>
        <v/>
      </c>
      <c r="E75" s="68">
        <f>IF(B75="",0,IFERROR(COUNTIFS('📅 الحضور'!$B:$B,B75,'📅 الحضور'!$L:$L,PayPeriod,'📅 الحضور'!$E:$E,"حاضر")+COUNTIFS('📅 الحضور'!$B:$B,B75,'📅 الحضور'!$L:$L,PayPeriod,'📅 الحضور'!$E:$E,"متأخر"),0))</f>
        <v>0</v>
      </c>
      <c r="F75" s="82">
        <f>IFERROR(VLOOKUP(B75,'👥 بيانات الموظفين'!$B:$H,7,0),0)</f>
        <v>0</v>
      </c>
      <c r="G75" s="82">
        <f>IFERROR(VLOOKUP(B75,'👥 بيانات الموظفين'!$B:$I,8,0),0)</f>
        <v>0</v>
      </c>
      <c r="H75" s="82">
        <f>IFERROR(VLOOKUP(B75,'👥 بيانات الموظفين'!$B:$J,9,0),0)</f>
        <v>0</v>
      </c>
      <c r="I75" s="82">
        <f>IF(B75="",0,IFERROR(SUMIFS('➕ الخصومات والمكافآت'!$E:$E,'➕ الخصومات والمكافآت'!$B:$B,B75,'➕ الخصومات والمكافآت'!$F:$F,PayPeriod,'➕ الخصومات والمكافآت'!$C:$C,"مكافأة"),0))</f>
        <v>0</v>
      </c>
      <c r="J75" s="82">
        <f t="shared" si="11"/>
        <v>0</v>
      </c>
      <c r="K75" s="82">
        <f>IF(B75="",0,IFERROR(COUNTIFS('📅 الحضور'!$B:$B,B75,'📅 الحضور'!$L:$L,PayPeriod,'📅 الحضور'!$E:$E,"غائب")*F75/WorkDaysMonth,0))</f>
        <v>0</v>
      </c>
      <c r="L75" s="82">
        <f>IF(B75="",0,IFERROR(SUMIFS('📅 الحضور'!$I:$I,'📅 الحضور'!$B:$B,B75,'📅 الحضور'!$L:$L,PayPeriod)/60/WorkHoursDay*F75/WorkDaysMonth,0))</f>
        <v>0</v>
      </c>
      <c r="M75" s="82">
        <f>IF(B75="",0,IFERROR(SUMIFS('➕ الخصومات والمكافآت'!$E:$E,'➕ الخصومات والمكافآت'!$B:$B,B75,'➕ الخصومات والمكافآت'!$F:$F,PayPeriod,'➕ الخصومات والمكافآت'!$C:$C,"خصم"),0))</f>
        <v>0</v>
      </c>
      <c r="N75" s="82">
        <f t="shared" si="12"/>
        <v>0</v>
      </c>
      <c r="O75" s="94">
        <f t="shared" si="13"/>
        <v>0</v>
      </c>
      <c r="P75" s="53"/>
      <c r="Q75" s="88">
        <f>IF(B75="",0,IFERROR(SUMIFS('📅 الحضور'!$J:$J,'📅 الحضور'!$B:$B,B75,'📅 الحضور'!$L:$L,PayPeriod),0))</f>
        <v>0</v>
      </c>
      <c r="R75" s="89">
        <f t="shared" si="14"/>
        <v>0</v>
      </c>
      <c r="S75" s="89">
        <f>IF(B75="",0,IF(IFERROR(VLOOKUP(B75,'👥 بيانات الموظفين'!$B:$D,3,0),"")="سعودي",MIN(F75+G75,GosiCeiling)*GosiEmpRate,IF(IFERROR(VLOOKUP(B75,'👥 بيانات الموظفين'!$B:$D,3,0),"")="سعودية",MIN(F75+G75,GosiCeiling)*GosiEmpRate,0)))</f>
        <v>0</v>
      </c>
      <c r="T75" s="89">
        <f>IF(B75="",0,IF(OR(IFERROR(VLOOKUP(B75,'👥 بيانات الموظفين'!$B:$D,3,0),"")="سعودي",IFERROR(VLOOKUP(B75,'👥 بيانات الموظفين'!$B:$D,3,0),"")="سعودية"),MIN(F75+G75,GosiCeiling)*GosiCoRate,(F75+G75)*0.02))</f>
        <v>0</v>
      </c>
      <c r="U75" s="89">
        <f>IF(B75="",0,IFERROR(IF(VLOOKUP(B75,'👥 بيانات الموظفين'!$B:$M,12,0)&lt;5,F75/24,F75/12),0))</f>
        <v>0</v>
      </c>
    </row>
    <row r="76" spans="1:21" ht="22.15" customHeight="1" x14ac:dyDescent="0.2">
      <c r="A76" s="57">
        <f t="shared" si="10"/>
        <v>72</v>
      </c>
      <c r="B76" s="57">
        <f>IFERROR('👥 بيانات الموظفين'!B76,"")</f>
        <v>0</v>
      </c>
      <c r="C76" s="57" t="str">
        <f>IFERROR(VLOOKUP(B76,'👥 بيانات الموظفين'!$B:$C,2,0),"")</f>
        <v/>
      </c>
      <c r="D76" s="57" t="str">
        <f>IFERROR(VLOOKUP(B76,'👥 بيانات الموظفين'!$B:$E,4,0),"")</f>
        <v/>
      </c>
      <c r="E76" s="69">
        <f>IF(B76="",0,IFERROR(COUNTIFS('📅 الحضور'!$B:$B,B76,'📅 الحضور'!$L:$L,PayPeriod,'📅 الحضور'!$E:$E,"حاضر")+COUNTIFS('📅 الحضور'!$B:$B,B76,'📅 الحضور'!$L:$L,PayPeriod,'📅 الحضور'!$E:$E,"متأخر"),0))</f>
        <v>0</v>
      </c>
      <c r="F76" s="83">
        <f>IFERROR(VLOOKUP(B76,'👥 بيانات الموظفين'!$B:$H,7,0),0)</f>
        <v>0</v>
      </c>
      <c r="G76" s="83">
        <f>IFERROR(VLOOKUP(B76,'👥 بيانات الموظفين'!$B:$I,8,0),0)</f>
        <v>0</v>
      </c>
      <c r="H76" s="83">
        <f>IFERROR(VLOOKUP(B76,'👥 بيانات الموظفين'!$B:$J,9,0),0)</f>
        <v>0</v>
      </c>
      <c r="I76" s="83">
        <f>IF(B76="",0,IFERROR(SUMIFS('➕ الخصومات والمكافآت'!$E:$E,'➕ الخصومات والمكافآت'!$B:$B,B76,'➕ الخصومات والمكافآت'!$F:$F,PayPeriod,'➕ الخصومات والمكافآت'!$C:$C,"مكافأة"),0))</f>
        <v>0</v>
      </c>
      <c r="J76" s="83">
        <f t="shared" si="11"/>
        <v>0</v>
      </c>
      <c r="K76" s="83">
        <f>IF(B76="",0,IFERROR(COUNTIFS('📅 الحضور'!$B:$B,B76,'📅 الحضور'!$L:$L,PayPeriod,'📅 الحضور'!$E:$E,"غائب")*F76/WorkDaysMonth,0))</f>
        <v>0</v>
      </c>
      <c r="L76" s="83">
        <f>IF(B76="",0,IFERROR(SUMIFS('📅 الحضور'!$I:$I,'📅 الحضور'!$B:$B,B76,'📅 الحضور'!$L:$L,PayPeriod)/60/WorkHoursDay*F76/WorkDaysMonth,0))</f>
        <v>0</v>
      </c>
      <c r="M76" s="83">
        <f>IF(B76="",0,IFERROR(SUMIFS('➕ الخصومات والمكافآت'!$E:$E,'➕ الخصومات والمكافآت'!$B:$B,B76,'➕ الخصومات والمكافآت'!$F:$F,PayPeriod,'➕ الخصومات والمكافآت'!$C:$C,"خصم"),0))</f>
        <v>0</v>
      </c>
      <c r="N76" s="83">
        <f t="shared" si="12"/>
        <v>0</v>
      </c>
      <c r="O76" s="95">
        <f t="shared" si="13"/>
        <v>0</v>
      </c>
      <c r="P76" s="57"/>
      <c r="Q76" s="90">
        <f>IF(B76="",0,IFERROR(SUMIFS('📅 الحضور'!$J:$J,'📅 الحضور'!$B:$B,B76,'📅 الحضور'!$L:$L,PayPeriod),0))</f>
        <v>0</v>
      </c>
      <c r="R76" s="91">
        <f t="shared" si="14"/>
        <v>0</v>
      </c>
      <c r="S76" s="91">
        <f>IF(B76="",0,IF(IFERROR(VLOOKUP(B76,'👥 بيانات الموظفين'!$B:$D,3,0),"")="سعودي",MIN(F76+G76,GosiCeiling)*GosiEmpRate,IF(IFERROR(VLOOKUP(B76,'👥 بيانات الموظفين'!$B:$D,3,0),"")="سعودية",MIN(F76+G76,GosiCeiling)*GosiEmpRate,0)))</f>
        <v>0</v>
      </c>
      <c r="T76" s="91">
        <f>IF(B76="",0,IF(OR(IFERROR(VLOOKUP(B76,'👥 بيانات الموظفين'!$B:$D,3,0),"")="سعودي",IFERROR(VLOOKUP(B76,'👥 بيانات الموظفين'!$B:$D,3,0),"")="سعودية"),MIN(F76+G76,GosiCeiling)*GosiCoRate,(F76+G76)*0.02))</f>
        <v>0</v>
      </c>
      <c r="U76" s="91">
        <f>IF(B76="",0,IFERROR(IF(VLOOKUP(B76,'👥 بيانات الموظفين'!$B:$M,12,0)&lt;5,F76/24,F76/12),0))</f>
        <v>0</v>
      </c>
    </row>
    <row r="77" spans="1:21" ht="22.15" customHeight="1" x14ac:dyDescent="0.2">
      <c r="A77" s="53">
        <f t="shared" si="10"/>
        <v>73</v>
      </c>
      <c r="B77" s="53">
        <f>IFERROR('👥 بيانات الموظفين'!B77,"")</f>
        <v>0</v>
      </c>
      <c r="C77" s="53" t="str">
        <f>IFERROR(VLOOKUP(B77,'👥 بيانات الموظفين'!$B:$C,2,0),"")</f>
        <v/>
      </c>
      <c r="D77" s="53" t="str">
        <f>IFERROR(VLOOKUP(B77,'👥 بيانات الموظفين'!$B:$E,4,0),"")</f>
        <v/>
      </c>
      <c r="E77" s="68">
        <f>IF(B77="",0,IFERROR(COUNTIFS('📅 الحضور'!$B:$B,B77,'📅 الحضور'!$L:$L,PayPeriod,'📅 الحضور'!$E:$E,"حاضر")+COUNTIFS('📅 الحضور'!$B:$B,B77,'📅 الحضور'!$L:$L,PayPeriod,'📅 الحضور'!$E:$E,"متأخر"),0))</f>
        <v>0</v>
      </c>
      <c r="F77" s="82">
        <f>IFERROR(VLOOKUP(B77,'👥 بيانات الموظفين'!$B:$H,7,0),0)</f>
        <v>0</v>
      </c>
      <c r="G77" s="82">
        <f>IFERROR(VLOOKUP(B77,'👥 بيانات الموظفين'!$B:$I,8,0),0)</f>
        <v>0</v>
      </c>
      <c r="H77" s="82">
        <f>IFERROR(VLOOKUP(B77,'👥 بيانات الموظفين'!$B:$J,9,0),0)</f>
        <v>0</v>
      </c>
      <c r="I77" s="82">
        <f>IF(B77="",0,IFERROR(SUMIFS('➕ الخصومات والمكافآت'!$E:$E,'➕ الخصومات والمكافآت'!$B:$B,B77,'➕ الخصومات والمكافآت'!$F:$F,PayPeriod,'➕ الخصومات والمكافآت'!$C:$C,"مكافأة"),0))</f>
        <v>0</v>
      </c>
      <c r="J77" s="82">
        <f t="shared" si="11"/>
        <v>0</v>
      </c>
      <c r="K77" s="82">
        <f>IF(B77="",0,IFERROR(COUNTIFS('📅 الحضور'!$B:$B,B77,'📅 الحضور'!$L:$L,PayPeriod,'📅 الحضور'!$E:$E,"غائب")*F77/WorkDaysMonth,0))</f>
        <v>0</v>
      </c>
      <c r="L77" s="82">
        <f>IF(B77="",0,IFERROR(SUMIFS('📅 الحضور'!$I:$I,'📅 الحضور'!$B:$B,B77,'📅 الحضور'!$L:$L,PayPeriod)/60/WorkHoursDay*F77/WorkDaysMonth,0))</f>
        <v>0</v>
      </c>
      <c r="M77" s="82">
        <f>IF(B77="",0,IFERROR(SUMIFS('➕ الخصومات والمكافآت'!$E:$E,'➕ الخصومات والمكافآت'!$B:$B,B77,'➕ الخصومات والمكافآت'!$F:$F,PayPeriod,'➕ الخصومات والمكافآت'!$C:$C,"خصم"),0))</f>
        <v>0</v>
      </c>
      <c r="N77" s="82">
        <f t="shared" si="12"/>
        <v>0</v>
      </c>
      <c r="O77" s="94">
        <f t="shared" si="13"/>
        <v>0</v>
      </c>
      <c r="P77" s="53"/>
      <c r="Q77" s="88">
        <f>IF(B77="",0,IFERROR(SUMIFS('📅 الحضور'!$J:$J,'📅 الحضور'!$B:$B,B77,'📅 الحضور'!$L:$L,PayPeriod),0))</f>
        <v>0</v>
      </c>
      <c r="R77" s="89">
        <f t="shared" si="14"/>
        <v>0</v>
      </c>
      <c r="S77" s="89">
        <f>IF(B77="",0,IF(IFERROR(VLOOKUP(B77,'👥 بيانات الموظفين'!$B:$D,3,0),"")="سعودي",MIN(F77+G77,GosiCeiling)*GosiEmpRate,IF(IFERROR(VLOOKUP(B77,'👥 بيانات الموظفين'!$B:$D,3,0),"")="سعودية",MIN(F77+G77,GosiCeiling)*GosiEmpRate,0)))</f>
        <v>0</v>
      </c>
      <c r="T77" s="89">
        <f>IF(B77="",0,IF(OR(IFERROR(VLOOKUP(B77,'👥 بيانات الموظفين'!$B:$D,3,0),"")="سعودي",IFERROR(VLOOKUP(B77,'👥 بيانات الموظفين'!$B:$D,3,0),"")="سعودية"),MIN(F77+G77,GosiCeiling)*GosiCoRate,(F77+G77)*0.02))</f>
        <v>0</v>
      </c>
      <c r="U77" s="89">
        <f>IF(B77="",0,IFERROR(IF(VLOOKUP(B77,'👥 بيانات الموظفين'!$B:$M,12,0)&lt;5,F77/24,F77/12),0))</f>
        <v>0</v>
      </c>
    </row>
    <row r="78" spans="1:21" ht="22.15" customHeight="1" x14ac:dyDescent="0.2">
      <c r="A78" s="57">
        <f t="shared" si="10"/>
        <v>74</v>
      </c>
      <c r="B78" s="57">
        <f>IFERROR('👥 بيانات الموظفين'!B78,"")</f>
        <v>0</v>
      </c>
      <c r="C78" s="57" t="str">
        <f>IFERROR(VLOOKUP(B78,'👥 بيانات الموظفين'!$B:$C,2,0),"")</f>
        <v/>
      </c>
      <c r="D78" s="57" t="str">
        <f>IFERROR(VLOOKUP(B78,'👥 بيانات الموظفين'!$B:$E,4,0),"")</f>
        <v/>
      </c>
      <c r="E78" s="69">
        <f>IF(B78="",0,IFERROR(COUNTIFS('📅 الحضور'!$B:$B,B78,'📅 الحضور'!$L:$L,PayPeriod,'📅 الحضور'!$E:$E,"حاضر")+COUNTIFS('📅 الحضور'!$B:$B,B78,'📅 الحضور'!$L:$L,PayPeriod,'📅 الحضور'!$E:$E,"متأخر"),0))</f>
        <v>0</v>
      </c>
      <c r="F78" s="83">
        <f>IFERROR(VLOOKUP(B78,'👥 بيانات الموظفين'!$B:$H,7,0),0)</f>
        <v>0</v>
      </c>
      <c r="G78" s="83">
        <f>IFERROR(VLOOKUP(B78,'👥 بيانات الموظفين'!$B:$I,8,0),0)</f>
        <v>0</v>
      </c>
      <c r="H78" s="83">
        <f>IFERROR(VLOOKUP(B78,'👥 بيانات الموظفين'!$B:$J,9,0),0)</f>
        <v>0</v>
      </c>
      <c r="I78" s="83">
        <f>IF(B78="",0,IFERROR(SUMIFS('➕ الخصومات والمكافآت'!$E:$E,'➕ الخصومات والمكافآت'!$B:$B,B78,'➕ الخصومات والمكافآت'!$F:$F,PayPeriod,'➕ الخصومات والمكافآت'!$C:$C,"مكافأة"),0))</f>
        <v>0</v>
      </c>
      <c r="J78" s="83">
        <f t="shared" si="11"/>
        <v>0</v>
      </c>
      <c r="K78" s="83">
        <f>IF(B78="",0,IFERROR(COUNTIFS('📅 الحضور'!$B:$B,B78,'📅 الحضور'!$L:$L,PayPeriod,'📅 الحضور'!$E:$E,"غائب")*F78/WorkDaysMonth,0))</f>
        <v>0</v>
      </c>
      <c r="L78" s="83">
        <f>IF(B78="",0,IFERROR(SUMIFS('📅 الحضور'!$I:$I,'📅 الحضور'!$B:$B,B78,'📅 الحضور'!$L:$L,PayPeriod)/60/WorkHoursDay*F78/WorkDaysMonth,0))</f>
        <v>0</v>
      </c>
      <c r="M78" s="83">
        <f>IF(B78="",0,IFERROR(SUMIFS('➕ الخصومات والمكافآت'!$E:$E,'➕ الخصومات والمكافآت'!$B:$B,B78,'➕ الخصومات والمكافآت'!$F:$F,PayPeriod,'➕ الخصومات والمكافآت'!$C:$C,"خصم"),0))</f>
        <v>0</v>
      </c>
      <c r="N78" s="83">
        <f t="shared" si="12"/>
        <v>0</v>
      </c>
      <c r="O78" s="95">
        <f t="shared" si="13"/>
        <v>0</v>
      </c>
      <c r="P78" s="57"/>
      <c r="Q78" s="90">
        <f>IF(B78="",0,IFERROR(SUMIFS('📅 الحضور'!$J:$J,'📅 الحضور'!$B:$B,B78,'📅 الحضور'!$L:$L,PayPeriod),0))</f>
        <v>0</v>
      </c>
      <c r="R78" s="91">
        <f t="shared" si="14"/>
        <v>0</v>
      </c>
      <c r="S78" s="91">
        <f>IF(B78="",0,IF(IFERROR(VLOOKUP(B78,'👥 بيانات الموظفين'!$B:$D,3,0),"")="سعودي",MIN(F78+G78,GosiCeiling)*GosiEmpRate,IF(IFERROR(VLOOKUP(B78,'👥 بيانات الموظفين'!$B:$D,3,0),"")="سعودية",MIN(F78+G78,GosiCeiling)*GosiEmpRate,0)))</f>
        <v>0</v>
      </c>
      <c r="T78" s="91">
        <f>IF(B78="",0,IF(OR(IFERROR(VLOOKUP(B78,'👥 بيانات الموظفين'!$B:$D,3,0),"")="سعودي",IFERROR(VLOOKUP(B78,'👥 بيانات الموظفين'!$B:$D,3,0),"")="سعودية"),MIN(F78+G78,GosiCeiling)*GosiCoRate,(F78+G78)*0.02))</f>
        <v>0</v>
      </c>
      <c r="U78" s="91">
        <f>IF(B78="",0,IFERROR(IF(VLOOKUP(B78,'👥 بيانات الموظفين'!$B:$M,12,0)&lt;5,F78/24,F78/12),0))</f>
        <v>0</v>
      </c>
    </row>
    <row r="79" spans="1:21" ht="22.15" customHeight="1" x14ac:dyDescent="0.2">
      <c r="A79" s="53">
        <f t="shared" si="10"/>
        <v>75</v>
      </c>
      <c r="B79" s="53">
        <f>IFERROR('👥 بيانات الموظفين'!B79,"")</f>
        <v>0</v>
      </c>
      <c r="C79" s="53" t="str">
        <f>IFERROR(VLOOKUP(B79,'👥 بيانات الموظفين'!$B:$C,2,0),"")</f>
        <v/>
      </c>
      <c r="D79" s="53" t="str">
        <f>IFERROR(VLOOKUP(B79,'👥 بيانات الموظفين'!$B:$E,4,0),"")</f>
        <v/>
      </c>
      <c r="E79" s="68">
        <f>IF(B79="",0,IFERROR(COUNTIFS('📅 الحضور'!$B:$B,B79,'📅 الحضور'!$L:$L,PayPeriod,'📅 الحضور'!$E:$E,"حاضر")+COUNTIFS('📅 الحضور'!$B:$B,B79,'📅 الحضور'!$L:$L,PayPeriod,'📅 الحضور'!$E:$E,"متأخر"),0))</f>
        <v>0</v>
      </c>
      <c r="F79" s="82">
        <f>IFERROR(VLOOKUP(B79,'👥 بيانات الموظفين'!$B:$H,7,0),0)</f>
        <v>0</v>
      </c>
      <c r="G79" s="82">
        <f>IFERROR(VLOOKUP(B79,'👥 بيانات الموظفين'!$B:$I,8,0),0)</f>
        <v>0</v>
      </c>
      <c r="H79" s="82">
        <f>IFERROR(VLOOKUP(B79,'👥 بيانات الموظفين'!$B:$J,9,0),0)</f>
        <v>0</v>
      </c>
      <c r="I79" s="82">
        <f>IF(B79="",0,IFERROR(SUMIFS('➕ الخصومات والمكافآت'!$E:$E,'➕ الخصومات والمكافآت'!$B:$B,B79,'➕ الخصومات والمكافآت'!$F:$F,PayPeriod,'➕ الخصومات والمكافآت'!$C:$C,"مكافأة"),0))</f>
        <v>0</v>
      </c>
      <c r="J79" s="82">
        <f t="shared" si="11"/>
        <v>0</v>
      </c>
      <c r="K79" s="82">
        <f>IF(B79="",0,IFERROR(COUNTIFS('📅 الحضور'!$B:$B,B79,'📅 الحضور'!$L:$L,PayPeriod,'📅 الحضور'!$E:$E,"غائب")*F79/WorkDaysMonth,0))</f>
        <v>0</v>
      </c>
      <c r="L79" s="82">
        <f>IF(B79="",0,IFERROR(SUMIFS('📅 الحضور'!$I:$I,'📅 الحضور'!$B:$B,B79,'📅 الحضور'!$L:$L,PayPeriod)/60/WorkHoursDay*F79/WorkDaysMonth,0))</f>
        <v>0</v>
      </c>
      <c r="M79" s="82">
        <f>IF(B79="",0,IFERROR(SUMIFS('➕ الخصومات والمكافآت'!$E:$E,'➕ الخصومات والمكافآت'!$B:$B,B79,'➕ الخصومات والمكافآت'!$F:$F,PayPeriod,'➕ الخصومات والمكافآت'!$C:$C,"خصم"),0))</f>
        <v>0</v>
      </c>
      <c r="N79" s="82">
        <f t="shared" si="12"/>
        <v>0</v>
      </c>
      <c r="O79" s="94">
        <f t="shared" si="13"/>
        <v>0</v>
      </c>
      <c r="P79" s="53"/>
      <c r="Q79" s="88">
        <f>IF(B79="",0,IFERROR(SUMIFS('📅 الحضور'!$J:$J,'📅 الحضور'!$B:$B,B79,'📅 الحضور'!$L:$L,PayPeriod),0))</f>
        <v>0</v>
      </c>
      <c r="R79" s="89">
        <f t="shared" si="14"/>
        <v>0</v>
      </c>
      <c r="S79" s="89">
        <f>IF(B79="",0,IF(IFERROR(VLOOKUP(B79,'👥 بيانات الموظفين'!$B:$D,3,0),"")="سعودي",MIN(F79+G79,GosiCeiling)*GosiEmpRate,IF(IFERROR(VLOOKUP(B79,'👥 بيانات الموظفين'!$B:$D,3,0),"")="سعودية",MIN(F79+G79,GosiCeiling)*GosiEmpRate,0)))</f>
        <v>0</v>
      </c>
      <c r="T79" s="89">
        <f>IF(B79="",0,IF(OR(IFERROR(VLOOKUP(B79,'👥 بيانات الموظفين'!$B:$D,3,0),"")="سعودي",IFERROR(VLOOKUP(B79,'👥 بيانات الموظفين'!$B:$D,3,0),"")="سعودية"),MIN(F79+G79,GosiCeiling)*GosiCoRate,(F79+G79)*0.02))</f>
        <v>0</v>
      </c>
      <c r="U79" s="89">
        <f>IF(B79="",0,IFERROR(IF(VLOOKUP(B79,'👥 بيانات الموظفين'!$B:$M,12,0)&lt;5,F79/24,F79/12),0))</f>
        <v>0</v>
      </c>
    </row>
    <row r="80" spans="1:21" ht="22.15" customHeight="1" x14ac:dyDescent="0.2">
      <c r="A80" s="57">
        <f t="shared" si="10"/>
        <v>76</v>
      </c>
      <c r="B80" s="57">
        <f>IFERROR('👥 بيانات الموظفين'!B80,"")</f>
        <v>0</v>
      </c>
      <c r="C80" s="57" t="str">
        <f>IFERROR(VLOOKUP(B80,'👥 بيانات الموظفين'!$B:$C,2,0),"")</f>
        <v/>
      </c>
      <c r="D80" s="57" t="str">
        <f>IFERROR(VLOOKUP(B80,'👥 بيانات الموظفين'!$B:$E,4,0),"")</f>
        <v/>
      </c>
      <c r="E80" s="69">
        <f>IF(B80="",0,IFERROR(COUNTIFS('📅 الحضور'!$B:$B,B80,'📅 الحضور'!$L:$L,PayPeriod,'📅 الحضور'!$E:$E,"حاضر")+COUNTIFS('📅 الحضور'!$B:$B,B80,'📅 الحضور'!$L:$L,PayPeriod,'📅 الحضور'!$E:$E,"متأخر"),0))</f>
        <v>0</v>
      </c>
      <c r="F80" s="83">
        <f>IFERROR(VLOOKUP(B80,'👥 بيانات الموظفين'!$B:$H,7,0),0)</f>
        <v>0</v>
      </c>
      <c r="G80" s="83">
        <f>IFERROR(VLOOKUP(B80,'👥 بيانات الموظفين'!$B:$I,8,0),0)</f>
        <v>0</v>
      </c>
      <c r="H80" s="83">
        <f>IFERROR(VLOOKUP(B80,'👥 بيانات الموظفين'!$B:$J,9,0),0)</f>
        <v>0</v>
      </c>
      <c r="I80" s="83">
        <f>IF(B80="",0,IFERROR(SUMIFS('➕ الخصومات والمكافآت'!$E:$E,'➕ الخصومات والمكافآت'!$B:$B,B80,'➕ الخصومات والمكافآت'!$F:$F,PayPeriod,'➕ الخصومات والمكافآت'!$C:$C,"مكافأة"),0))</f>
        <v>0</v>
      </c>
      <c r="J80" s="83">
        <f t="shared" si="11"/>
        <v>0</v>
      </c>
      <c r="K80" s="83">
        <f>IF(B80="",0,IFERROR(COUNTIFS('📅 الحضور'!$B:$B,B80,'📅 الحضور'!$L:$L,PayPeriod,'📅 الحضور'!$E:$E,"غائب")*F80/WorkDaysMonth,0))</f>
        <v>0</v>
      </c>
      <c r="L80" s="83">
        <f>IF(B80="",0,IFERROR(SUMIFS('📅 الحضور'!$I:$I,'📅 الحضور'!$B:$B,B80,'📅 الحضور'!$L:$L,PayPeriod)/60/WorkHoursDay*F80/WorkDaysMonth,0))</f>
        <v>0</v>
      </c>
      <c r="M80" s="83">
        <f>IF(B80="",0,IFERROR(SUMIFS('➕ الخصومات والمكافآت'!$E:$E,'➕ الخصومات والمكافآت'!$B:$B,B80,'➕ الخصومات والمكافآت'!$F:$F,PayPeriod,'➕ الخصومات والمكافآت'!$C:$C,"خصم"),0))</f>
        <v>0</v>
      </c>
      <c r="N80" s="83">
        <f t="shared" si="12"/>
        <v>0</v>
      </c>
      <c r="O80" s="95">
        <f t="shared" si="13"/>
        <v>0</v>
      </c>
      <c r="P80" s="57"/>
      <c r="Q80" s="90">
        <f>IF(B80="",0,IFERROR(SUMIFS('📅 الحضور'!$J:$J,'📅 الحضور'!$B:$B,B80,'📅 الحضور'!$L:$L,PayPeriod),0))</f>
        <v>0</v>
      </c>
      <c r="R80" s="91">
        <f t="shared" si="14"/>
        <v>0</v>
      </c>
      <c r="S80" s="91">
        <f>IF(B80="",0,IF(IFERROR(VLOOKUP(B80,'👥 بيانات الموظفين'!$B:$D,3,0),"")="سعودي",MIN(F80+G80,GosiCeiling)*GosiEmpRate,IF(IFERROR(VLOOKUP(B80,'👥 بيانات الموظفين'!$B:$D,3,0),"")="سعودية",MIN(F80+G80,GosiCeiling)*GosiEmpRate,0)))</f>
        <v>0</v>
      </c>
      <c r="T80" s="91">
        <f>IF(B80="",0,IF(OR(IFERROR(VLOOKUP(B80,'👥 بيانات الموظفين'!$B:$D,3,0),"")="سعودي",IFERROR(VLOOKUP(B80,'👥 بيانات الموظفين'!$B:$D,3,0),"")="سعودية"),MIN(F80+G80,GosiCeiling)*GosiCoRate,(F80+G80)*0.02))</f>
        <v>0</v>
      </c>
      <c r="U80" s="91">
        <f>IF(B80="",0,IFERROR(IF(VLOOKUP(B80,'👥 بيانات الموظفين'!$B:$M,12,0)&lt;5,F80/24,F80/12),0))</f>
        <v>0</v>
      </c>
    </row>
    <row r="81" spans="1:21" ht="22.15" customHeight="1" x14ac:dyDescent="0.2">
      <c r="A81" s="53">
        <f t="shared" si="10"/>
        <v>77</v>
      </c>
      <c r="B81" s="53">
        <f>IFERROR('👥 بيانات الموظفين'!B81,"")</f>
        <v>0</v>
      </c>
      <c r="C81" s="53" t="str">
        <f>IFERROR(VLOOKUP(B81,'👥 بيانات الموظفين'!$B:$C,2,0),"")</f>
        <v/>
      </c>
      <c r="D81" s="53" t="str">
        <f>IFERROR(VLOOKUP(B81,'👥 بيانات الموظفين'!$B:$E,4,0),"")</f>
        <v/>
      </c>
      <c r="E81" s="68">
        <f>IF(B81="",0,IFERROR(COUNTIFS('📅 الحضور'!$B:$B,B81,'📅 الحضور'!$L:$L,PayPeriod,'📅 الحضور'!$E:$E,"حاضر")+COUNTIFS('📅 الحضور'!$B:$B,B81,'📅 الحضور'!$L:$L,PayPeriod,'📅 الحضور'!$E:$E,"متأخر"),0))</f>
        <v>0</v>
      </c>
      <c r="F81" s="82">
        <f>IFERROR(VLOOKUP(B81,'👥 بيانات الموظفين'!$B:$H,7,0),0)</f>
        <v>0</v>
      </c>
      <c r="G81" s="82">
        <f>IFERROR(VLOOKUP(B81,'👥 بيانات الموظفين'!$B:$I,8,0),0)</f>
        <v>0</v>
      </c>
      <c r="H81" s="82">
        <f>IFERROR(VLOOKUP(B81,'👥 بيانات الموظفين'!$B:$J,9,0),0)</f>
        <v>0</v>
      </c>
      <c r="I81" s="82">
        <f>IF(B81="",0,IFERROR(SUMIFS('➕ الخصومات والمكافآت'!$E:$E,'➕ الخصومات والمكافآت'!$B:$B,B81,'➕ الخصومات والمكافآت'!$F:$F,PayPeriod,'➕ الخصومات والمكافآت'!$C:$C,"مكافأة"),0))</f>
        <v>0</v>
      </c>
      <c r="J81" s="82">
        <f t="shared" si="11"/>
        <v>0</v>
      </c>
      <c r="K81" s="82">
        <f>IF(B81="",0,IFERROR(COUNTIFS('📅 الحضور'!$B:$B,B81,'📅 الحضور'!$L:$L,PayPeriod,'📅 الحضور'!$E:$E,"غائب")*F81/WorkDaysMonth,0))</f>
        <v>0</v>
      </c>
      <c r="L81" s="82">
        <f>IF(B81="",0,IFERROR(SUMIFS('📅 الحضور'!$I:$I,'📅 الحضور'!$B:$B,B81,'📅 الحضور'!$L:$L,PayPeriod)/60/WorkHoursDay*F81/WorkDaysMonth,0))</f>
        <v>0</v>
      </c>
      <c r="M81" s="82">
        <f>IF(B81="",0,IFERROR(SUMIFS('➕ الخصومات والمكافآت'!$E:$E,'➕ الخصومات والمكافآت'!$B:$B,B81,'➕ الخصومات والمكافآت'!$F:$F,PayPeriod,'➕ الخصومات والمكافآت'!$C:$C,"خصم"),0))</f>
        <v>0</v>
      </c>
      <c r="N81" s="82">
        <f t="shared" si="12"/>
        <v>0</v>
      </c>
      <c r="O81" s="94">
        <f t="shared" si="13"/>
        <v>0</v>
      </c>
      <c r="P81" s="53"/>
      <c r="Q81" s="88">
        <f>IF(B81="",0,IFERROR(SUMIFS('📅 الحضور'!$J:$J,'📅 الحضور'!$B:$B,B81,'📅 الحضور'!$L:$L,PayPeriod),0))</f>
        <v>0</v>
      </c>
      <c r="R81" s="89">
        <f t="shared" si="14"/>
        <v>0</v>
      </c>
      <c r="S81" s="89">
        <f>IF(B81="",0,IF(IFERROR(VLOOKUP(B81,'👥 بيانات الموظفين'!$B:$D,3,0),"")="سعودي",MIN(F81+G81,GosiCeiling)*GosiEmpRate,IF(IFERROR(VLOOKUP(B81,'👥 بيانات الموظفين'!$B:$D,3,0),"")="سعودية",MIN(F81+G81,GosiCeiling)*GosiEmpRate,0)))</f>
        <v>0</v>
      </c>
      <c r="T81" s="89">
        <f>IF(B81="",0,IF(OR(IFERROR(VLOOKUP(B81,'👥 بيانات الموظفين'!$B:$D,3,0),"")="سعودي",IFERROR(VLOOKUP(B81,'👥 بيانات الموظفين'!$B:$D,3,0),"")="سعودية"),MIN(F81+G81,GosiCeiling)*GosiCoRate,(F81+G81)*0.02))</f>
        <v>0</v>
      </c>
      <c r="U81" s="89">
        <f>IF(B81="",0,IFERROR(IF(VLOOKUP(B81,'👥 بيانات الموظفين'!$B:$M,12,0)&lt;5,F81/24,F81/12),0))</f>
        <v>0</v>
      </c>
    </row>
    <row r="82" spans="1:21" ht="22.15" customHeight="1" x14ac:dyDescent="0.2">
      <c r="A82" s="57">
        <f t="shared" si="10"/>
        <v>78</v>
      </c>
      <c r="B82" s="57">
        <f>IFERROR('👥 بيانات الموظفين'!B82,"")</f>
        <v>0</v>
      </c>
      <c r="C82" s="57" t="str">
        <f>IFERROR(VLOOKUP(B82,'👥 بيانات الموظفين'!$B:$C,2,0),"")</f>
        <v/>
      </c>
      <c r="D82" s="57" t="str">
        <f>IFERROR(VLOOKUP(B82,'👥 بيانات الموظفين'!$B:$E,4,0),"")</f>
        <v/>
      </c>
      <c r="E82" s="69">
        <f>IF(B82="",0,IFERROR(COUNTIFS('📅 الحضور'!$B:$B,B82,'📅 الحضور'!$L:$L,PayPeriod,'📅 الحضور'!$E:$E,"حاضر")+COUNTIFS('📅 الحضور'!$B:$B,B82,'📅 الحضور'!$L:$L,PayPeriod,'📅 الحضور'!$E:$E,"متأخر"),0))</f>
        <v>0</v>
      </c>
      <c r="F82" s="83">
        <f>IFERROR(VLOOKUP(B82,'👥 بيانات الموظفين'!$B:$H,7,0),0)</f>
        <v>0</v>
      </c>
      <c r="G82" s="83">
        <f>IFERROR(VLOOKUP(B82,'👥 بيانات الموظفين'!$B:$I,8,0),0)</f>
        <v>0</v>
      </c>
      <c r="H82" s="83">
        <f>IFERROR(VLOOKUP(B82,'👥 بيانات الموظفين'!$B:$J,9,0),0)</f>
        <v>0</v>
      </c>
      <c r="I82" s="83">
        <f>IF(B82="",0,IFERROR(SUMIFS('➕ الخصومات والمكافآت'!$E:$E,'➕ الخصومات والمكافآت'!$B:$B,B82,'➕ الخصومات والمكافآت'!$F:$F,PayPeriod,'➕ الخصومات والمكافآت'!$C:$C,"مكافأة"),0))</f>
        <v>0</v>
      </c>
      <c r="J82" s="83">
        <f t="shared" si="11"/>
        <v>0</v>
      </c>
      <c r="K82" s="83">
        <f>IF(B82="",0,IFERROR(COUNTIFS('📅 الحضور'!$B:$B,B82,'📅 الحضور'!$L:$L,PayPeriod,'📅 الحضور'!$E:$E,"غائب")*F82/WorkDaysMonth,0))</f>
        <v>0</v>
      </c>
      <c r="L82" s="83">
        <f>IF(B82="",0,IFERROR(SUMIFS('📅 الحضور'!$I:$I,'📅 الحضور'!$B:$B,B82,'📅 الحضور'!$L:$L,PayPeriod)/60/WorkHoursDay*F82/WorkDaysMonth,0))</f>
        <v>0</v>
      </c>
      <c r="M82" s="83">
        <f>IF(B82="",0,IFERROR(SUMIFS('➕ الخصومات والمكافآت'!$E:$E,'➕ الخصومات والمكافآت'!$B:$B,B82,'➕ الخصومات والمكافآت'!$F:$F,PayPeriod,'➕ الخصومات والمكافآت'!$C:$C,"خصم"),0))</f>
        <v>0</v>
      </c>
      <c r="N82" s="83">
        <f t="shared" si="12"/>
        <v>0</v>
      </c>
      <c r="O82" s="95">
        <f t="shared" si="13"/>
        <v>0</v>
      </c>
      <c r="P82" s="57"/>
      <c r="Q82" s="90">
        <f>IF(B82="",0,IFERROR(SUMIFS('📅 الحضور'!$J:$J,'📅 الحضور'!$B:$B,B82,'📅 الحضور'!$L:$L,PayPeriod),0))</f>
        <v>0</v>
      </c>
      <c r="R82" s="91">
        <f t="shared" si="14"/>
        <v>0</v>
      </c>
      <c r="S82" s="91">
        <f>IF(B82="",0,IF(IFERROR(VLOOKUP(B82,'👥 بيانات الموظفين'!$B:$D,3,0),"")="سعودي",MIN(F82+G82,GosiCeiling)*GosiEmpRate,IF(IFERROR(VLOOKUP(B82,'👥 بيانات الموظفين'!$B:$D,3,0),"")="سعودية",MIN(F82+G82,GosiCeiling)*GosiEmpRate,0)))</f>
        <v>0</v>
      </c>
      <c r="T82" s="91">
        <f>IF(B82="",0,IF(OR(IFERROR(VLOOKUP(B82,'👥 بيانات الموظفين'!$B:$D,3,0),"")="سعودي",IFERROR(VLOOKUP(B82,'👥 بيانات الموظفين'!$B:$D,3,0),"")="سعودية"),MIN(F82+G82,GosiCeiling)*GosiCoRate,(F82+G82)*0.02))</f>
        <v>0</v>
      </c>
      <c r="U82" s="91">
        <f>IF(B82="",0,IFERROR(IF(VLOOKUP(B82,'👥 بيانات الموظفين'!$B:$M,12,0)&lt;5,F82/24,F82/12),0))</f>
        <v>0</v>
      </c>
    </row>
    <row r="83" spans="1:21" ht="22.15" customHeight="1" x14ac:dyDescent="0.2">
      <c r="A83" s="53">
        <f t="shared" si="10"/>
        <v>79</v>
      </c>
      <c r="B83" s="53">
        <f>IFERROR('👥 بيانات الموظفين'!B83,"")</f>
        <v>0</v>
      </c>
      <c r="C83" s="53" t="str">
        <f>IFERROR(VLOOKUP(B83,'👥 بيانات الموظفين'!$B:$C,2,0),"")</f>
        <v/>
      </c>
      <c r="D83" s="53" t="str">
        <f>IFERROR(VLOOKUP(B83,'👥 بيانات الموظفين'!$B:$E,4,0),"")</f>
        <v/>
      </c>
      <c r="E83" s="68">
        <f>IF(B83="",0,IFERROR(COUNTIFS('📅 الحضور'!$B:$B,B83,'📅 الحضور'!$L:$L,PayPeriod,'📅 الحضور'!$E:$E,"حاضر")+COUNTIFS('📅 الحضور'!$B:$B,B83,'📅 الحضور'!$L:$L,PayPeriod,'📅 الحضور'!$E:$E,"متأخر"),0))</f>
        <v>0</v>
      </c>
      <c r="F83" s="82">
        <f>IFERROR(VLOOKUP(B83,'👥 بيانات الموظفين'!$B:$H,7,0),0)</f>
        <v>0</v>
      </c>
      <c r="G83" s="82">
        <f>IFERROR(VLOOKUP(B83,'👥 بيانات الموظفين'!$B:$I,8,0),0)</f>
        <v>0</v>
      </c>
      <c r="H83" s="82">
        <f>IFERROR(VLOOKUP(B83,'👥 بيانات الموظفين'!$B:$J,9,0),0)</f>
        <v>0</v>
      </c>
      <c r="I83" s="82">
        <f>IF(B83="",0,IFERROR(SUMIFS('➕ الخصومات والمكافآت'!$E:$E,'➕ الخصومات والمكافآت'!$B:$B,B83,'➕ الخصومات والمكافآت'!$F:$F,PayPeriod,'➕ الخصومات والمكافآت'!$C:$C,"مكافأة"),0))</f>
        <v>0</v>
      </c>
      <c r="J83" s="82">
        <f t="shared" si="11"/>
        <v>0</v>
      </c>
      <c r="K83" s="82">
        <f>IF(B83="",0,IFERROR(COUNTIFS('📅 الحضور'!$B:$B,B83,'📅 الحضور'!$L:$L,PayPeriod,'📅 الحضور'!$E:$E,"غائب")*F83/WorkDaysMonth,0))</f>
        <v>0</v>
      </c>
      <c r="L83" s="82">
        <f>IF(B83="",0,IFERROR(SUMIFS('📅 الحضور'!$I:$I,'📅 الحضور'!$B:$B,B83,'📅 الحضور'!$L:$L,PayPeriod)/60/WorkHoursDay*F83/WorkDaysMonth,0))</f>
        <v>0</v>
      </c>
      <c r="M83" s="82">
        <f>IF(B83="",0,IFERROR(SUMIFS('➕ الخصومات والمكافآت'!$E:$E,'➕ الخصومات والمكافآت'!$B:$B,B83,'➕ الخصومات والمكافآت'!$F:$F,PayPeriod,'➕ الخصومات والمكافآت'!$C:$C,"خصم"),0))</f>
        <v>0</v>
      </c>
      <c r="N83" s="82">
        <f t="shared" si="12"/>
        <v>0</v>
      </c>
      <c r="O83" s="94">
        <f t="shared" si="13"/>
        <v>0</v>
      </c>
      <c r="P83" s="53"/>
      <c r="Q83" s="88">
        <f>IF(B83="",0,IFERROR(SUMIFS('📅 الحضور'!$J:$J,'📅 الحضور'!$B:$B,B83,'📅 الحضور'!$L:$L,PayPeriod),0))</f>
        <v>0</v>
      </c>
      <c r="R83" s="89">
        <f t="shared" si="14"/>
        <v>0</v>
      </c>
      <c r="S83" s="89">
        <f>IF(B83="",0,IF(IFERROR(VLOOKUP(B83,'👥 بيانات الموظفين'!$B:$D,3,0),"")="سعودي",MIN(F83+G83,GosiCeiling)*GosiEmpRate,IF(IFERROR(VLOOKUP(B83,'👥 بيانات الموظفين'!$B:$D,3,0),"")="سعودية",MIN(F83+G83,GosiCeiling)*GosiEmpRate,0)))</f>
        <v>0</v>
      </c>
      <c r="T83" s="89">
        <f>IF(B83="",0,IF(OR(IFERROR(VLOOKUP(B83,'👥 بيانات الموظفين'!$B:$D,3,0),"")="سعودي",IFERROR(VLOOKUP(B83,'👥 بيانات الموظفين'!$B:$D,3,0),"")="سعودية"),MIN(F83+G83,GosiCeiling)*GosiCoRate,(F83+G83)*0.02))</f>
        <v>0</v>
      </c>
      <c r="U83" s="89">
        <f>IF(B83="",0,IFERROR(IF(VLOOKUP(B83,'👥 بيانات الموظفين'!$B:$M,12,0)&lt;5,F83/24,F83/12),0))</f>
        <v>0</v>
      </c>
    </row>
    <row r="84" spans="1:21" ht="22.15" customHeight="1" x14ac:dyDescent="0.2">
      <c r="A84" s="57">
        <f t="shared" si="10"/>
        <v>80</v>
      </c>
      <c r="B84" s="57">
        <f>IFERROR('👥 بيانات الموظفين'!B84,"")</f>
        <v>0</v>
      </c>
      <c r="C84" s="57" t="str">
        <f>IFERROR(VLOOKUP(B84,'👥 بيانات الموظفين'!$B:$C,2,0),"")</f>
        <v/>
      </c>
      <c r="D84" s="57" t="str">
        <f>IFERROR(VLOOKUP(B84,'👥 بيانات الموظفين'!$B:$E,4,0),"")</f>
        <v/>
      </c>
      <c r="E84" s="69">
        <f>IF(B84="",0,IFERROR(COUNTIFS('📅 الحضور'!$B:$B,B84,'📅 الحضور'!$L:$L,PayPeriod,'📅 الحضور'!$E:$E,"حاضر")+COUNTIFS('📅 الحضور'!$B:$B,B84,'📅 الحضور'!$L:$L,PayPeriod,'📅 الحضور'!$E:$E,"متأخر"),0))</f>
        <v>0</v>
      </c>
      <c r="F84" s="83">
        <f>IFERROR(VLOOKUP(B84,'👥 بيانات الموظفين'!$B:$H,7,0),0)</f>
        <v>0</v>
      </c>
      <c r="G84" s="83">
        <f>IFERROR(VLOOKUP(B84,'👥 بيانات الموظفين'!$B:$I,8,0),0)</f>
        <v>0</v>
      </c>
      <c r="H84" s="83">
        <f>IFERROR(VLOOKUP(B84,'👥 بيانات الموظفين'!$B:$J,9,0),0)</f>
        <v>0</v>
      </c>
      <c r="I84" s="83">
        <f>IF(B84="",0,IFERROR(SUMIFS('➕ الخصومات والمكافآت'!$E:$E,'➕ الخصومات والمكافآت'!$B:$B,B84,'➕ الخصومات والمكافآت'!$F:$F,PayPeriod,'➕ الخصومات والمكافآت'!$C:$C,"مكافأة"),0))</f>
        <v>0</v>
      </c>
      <c r="J84" s="83">
        <f t="shared" si="11"/>
        <v>0</v>
      </c>
      <c r="K84" s="83">
        <f>IF(B84="",0,IFERROR(COUNTIFS('📅 الحضور'!$B:$B,B84,'📅 الحضور'!$L:$L,PayPeriod,'📅 الحضور'!$E:$E,"غائب")*F84/WorkDaysMonth,0))</f>
        <v>0</v>
      </c>
      <c r="L84" s="83">
        <f>IF(B84="",0,IFERROR(SUMIFS('📅 الحضور'!$I:$I,'📅 الحضور'!$B:$B,B84,'📅 الحضور'!$L:$L,PayPeriod)/60/WorkHoursDay*F84/WorkDaysMonth,0))</f>
        <v>0</v>
      </c>
      <c r="M84" s="83">
        <f>IF(B84="",0,IFERROR(SUMIFS('➕ الخصومات والمكافآت'!$E:$E,'➕ الخصومات والمكافآت'!$B:$B,B84,'➕ الخصومات والمكافآت'!$F:$F,PayPeriod,'➕ الخصومات والمكافآت'!$C:$C,"خصم"),0))</f>
        <v>0</v>
      </c>
      <c r="N84" s="83">
        <f t="shared" si="12"/>
        <v>0</v>
      </c>
      <c r="O84" s="95">
        <f t="shared" si="13"/>
        <v>0</v>
      </c>
      <c r="P84" s="57"/>
      <c r="Q84" s="90">
        <f>IF(B84="",0,IFERROR(SUMIFS('📅 الحضور'!$J:$J,'📅 الحضور'!$B:$B,B84,'📅 الحضور'!$L:$L,PayPeriod),0))</f>
        <v>0</v>
      </c>
      <c r="R84" s="91">
        <f t="shared" si="14"/>
        <v>0</v>
      </c>
      <c r="S84" s="91">
        <f>IF(B84="",0,IF(IFERROR(VLOOKUP(B84,'👥 بيانات الموظفين'!$B:$D,3,0),"")="سعودي",MIN(F84+G84,GosiCeiling)*GosiEmpRate,IF(IFERROR(VLOOKUP(B84,'👥 بيانات الموظفين'!$B:$D,3,0),"")="سعودية",MIN(F84+G84,GosiCeiling)*GosiEmpRate,0)))</f>
        <v>0</v>
      </c>
      <c r="T84" s="91">
        <f>IF(B84="",0,IF(OR(IFERROR(VLOOKUP(B84,'👥 بيانات الموظفين'!$B:$D,3,0),"")="سعودي",IFERROR(VLOOKUP(B84,'👥 بيانات الموظفين'!$B:$D,3,0),"")="سعودية"),MIN(F84+G84,GosiCeiling)*GosiCoRate,(F84+G84)*0.02))</f>
        <v>0</v>
      </c>
      <c r="U84" s="91">
        <f>IF(B84="",0,IFERROR(IF(VLOOKUP(B84,'👥 بيانات الموظفين'!$B:$M,12,0)&lt;5,F84/24,F84/12),0))</f>
        <v>0</v>
      </c>
    </row>
    <row r="85" spans="1:21" ht="22.15" customHeight="1" x14ac:dyDescent="0.2">
      <c r="A85" s="53">
        <f t="shared" si="10"/>
        <v>81</v>
      </c>
      <c r="B85" s="53">
        <f>IFERROR('👥 بيانات الموظفين'!B85,"")</f>
        <v>0</v>
      </c>
      <c r="C85" s="53" t="str">
        <f>IFERROR(VLOOKUP(B85,'👥 بيانات الموظفين'!$B:$C,2,0),"")</f>
        <v/>
      </c>
      <c r="D85" s="53" t="str">
        <f>IFERROR(VLOOKUP(B85,'👥 بيانات الموظفين'!$B:$E,4,0),"")</f>
        <v/>
      </c>
      <c r="E85" s="68">
        <f>IF(B85="",0,IFERROR(COUNTIFS('📅 الحضور'!$B:$B,B85,'📅 الحضور'!$L:$L,PayPeriod,'📅 الحضور'!$E:$E,"حاضر")+COUNTIFS('📅 الحضور'!$B:$B,B85,'📅 الحضور'!$L:$L,PayPeriod,'📅 الحضور'!$E:$E,"متأخر"),0))</f>
        <v>0</v>
      </c>
      <c r="F85" s="82">
        <f>IFERROR(VLOOKUP(B85,'👥 بيانات الموظفين'!$B:$H,7,0),0)</f>
        <v>0</v>
      </c>
      <c r="G85" s="82">
        <f>IFERROR(VLOOKUP(B85,'👥 بيانات الموظفين'!$B:$I,8,0),0)</f>
        <v>0</v>
      </c>
      <c r="H85" s="82">
        <f>IFERROR(VLOOKUP(B85,'👥 بيانات الموظفين'!$B:$J,9,0),0)</f>
        <v>0</v>
      </c>
      <c r="I85" s="82">
        <f>IF(B85="",0,IFERROR(SUMIFS('➕ الخصومات والمكافآت'!$E:$E,'➕ الخصومات والمكافآت'!$B:$B,B85,'➕ الخصومات والمكافآت'!$F:$F,PayPeriod,'➕ الخصومات والمكافآت'!$C:$C,"مكافأة"),0))</f>
        <v>0</v>
      </c>
      <c r="J85" s="82">
        <f t="shared" si="11"/>
        <v>0</v>
      </c>
      <c r="K85" s="82">
        <f>IF(B85="",0,IFERROR(COUNTIFS('📅 الحضور'!$B:$B,B85,'📅 الحضور'!$L:$L,PayPeriod,'📅 الحضور'!$E:$E,"غائب")*F85/WorkDaysMonth,0))</f>
        <v>0</v>
      </c>
      <c r="L85" s="82">
        <f>IF(B85="",0,IFERROR(SUMIFS('📅 الحضور'!$I:$I,'📅 الحضور'!$B:$B,B85,'📅 الحضور'!$L:$L,PayPeriod)/60/WorkHoursDay*F85/WorkDaysMonth,0))</f>
        <v>0</v>
      </c>
      <c r="M85" s="82">
        <f>IF(B85="",0,IFERROR(SUMIFS('➕ الخصومات والمكافآت'!$E:$E,'➕ الخصومات والمكافآت'!$B:$B,B85,'➕ الخصومات والمكافآت'!$F:$F,PayPeriod,'➕ الخصومات والمكافآت'!$C:$C,"خصم"),0))</f>
        <v>0</v>
      </c>
      <c r="N85" s="82">
        <f t="shared" si="12"/>
        <v>0</v>
      </c>
      <c r="O85" s="94">
        <f t="shared" si="13"/>
        <v>0</v>
      </c>
      <c r="P85" s="53"/>
      <c r="Q85" s="88">
        <f>IF(B85="",0,IFERROR(SUMIFS('📅 الحضور'!$J:$J,'📅 الحضور'!$B:$B,B85,'📅 الحضور'!$L:$L,PayPeriod),0))</f>
        <v>0</v>
      </c>
      <c r="R85" s="89">
        <f t="shared" si="14"/>
        <v>0</v>
      </c>
      <c r="S85" s="89">
        <f>IF(B85="",0,IF(IFERROR(VLOOKUP(B85,'👥 بيانات الموظفين'!$B:$D,3,0),"")="سعودي",MIN(F85+G85,GosiCeiling)*GosiEmpRate,IF(IFERROR(VLOOKUP(B85,'👥 بيانات الموظفين'!$B:$D,3,0),"")="سعودية",MIN(F85+G85,GosiCeiling)*GosiEmpRate,0)))</f>
        <v>0</v>
      </c>
      <c r="T85" s="89">
        <f>IF(B85="",0,IF(OR(IFERROR(VLOOKUP(B85,'👥 بيانات الموظفين'!$B:$D,3,0),"")="سعودي",IFERROR(VLOOKUP(B85,'👥 بيانات الموظفين'!$B:$D,3,0),"")="سعودية"),MIN(F85+G85,GosiCeiling)*GosiCoRate,(F85+G85)*0.02))</f>
        <v>0</v>
      </c>
      <c r="U85" s="89">
        <f>IF(B85="",0,IFERROR(IF(VLOOKUP(B85,'👥 بيانات الموظفين'!$B:$M,12,0)&lt;5,F85/24,F85/12),0))</f>
        <v>0</v>
      </c>
    </row>
    <row r="86" spans="1:21" ht="22.15" customHeight="1" x14ac:dyDescent="0.2">
      <c r="A86" s="57">
        <f t="shared" si="10"/>
        <v>82</v>
      </c>
      <c r="B86" s="57">
        <f>IFERROR('👥 بيانات الموظفين'!B86,"")</f>
        <v>0</v>
      </c>
      <c r="C86" s="57" t="str">
        <f>IFERROR(VLOOKUP(B86,'👥 بيانات الموظفين'!$B:$C,2,0),"")</f>
        <v/>
      </c>
      <c r="D86" s="57" t="str">
        <f>IFERROR(VLOOKUP(B86,'👥 بيانات الموظفين'!$B:$E,4,0),"")</f>
        <v/>
      </c>
      <c r="E86" s="69">
        <f>IF(B86="",0,IFERROR(COUNTIFS('📅 الحضور'!$B:$B,B86,'📅 الحضور'!$L:$L,PayPeriod,'📅 الحضور'!$E:$E,"حاضر")+COUNTIFS('📅 الحضور'!$B:$B,B86,'📅 الحضور'!$L:$L,PayPeriod,'📅 الحضور'!$E:$E,"متأخر"),0))</f>
        <v>0</v>
      </c>
      <c r="F86" s="83">
        <f>IFERROR(VLOOKUP(B86,'👥 بيانات الموظفين'!$B:$H,7,0),0)</f>
        <v>0</v>
      </c>
      <c r="G86" s="83">
        <f>IFERROR(VLOOKUP(B86,'👥 بيانات الموظفين'!$B:$I,8,0),0)</f>
        <v>0</v>
      </c>
      <c r="H86" s="83">
        <f>IFERROR(VLOOKUP(B86,'👥 بيانات الموظفين'!$B:$J,9,0),0)</f>
        <v>0</v>
      </c>
      <c r="I86" s="83">
        <f>IF(B86="",0,IFERROR(SUMIFS('➕ الخصومات والمكافآت'!$E:$E,'➕ الخصومات والمكافآت'!$B:$B,B86,'➕ الخصومات والمكافآت'!$F:$F,PayPeriod,'➕ الخصومات والمكافآت'!$C:$C,"مكافأة"),0))</f>
        <v>0</v>
      </c>
      <c r="J86" s="83">
        <f t="shared" si="11"/>
        <v>0</v>
      </c>
      <c r="K86" s="83">
        <f>IF(B86="",0,IFERROR(COUNTIFS('📅 الحضور'!$B:$B,B86,'📅 الحضور'!$L:$L,PayPeriod,'📅 الحضور'!$E:$E,"غائب")*F86/WorkDaysMonth,0))</f>
        <v>0</v>
      </c>
      <c r="L86" s="83">
        <f>IF(B86="",0,IFERROR(SUMIFS('📅 الحضور'!$I:$I,'📅 الحضور'!$B:$B,B86,'📅 الحضور'!$L:$L,PayPeriod)/60/WorkHoursDay*F86/WorkDaysMonth,0))</f>
        <v>0</v>
      </c>
      <c r="M86" s="83">
        <f>IF(B86="",0,IFERROR(SUMIFS('➕ الخصومات والمكافآت'!$E:$E,'➕ الخصومات والمكافآت'!$B:$B,B86,'➕ الخصومات والمكافآت'!$F:$F,PayPeriod,'➕ الخصومات والمكافآت'!$C:$C,"خصم"),0))</f>
        <v>0</v>
      </c>
      <c r="N86" s="83">
        <f t="shared" si="12"/>
        <v>0</v>
      </c>
      <c r="O86" s="95">
        <f t="shared" si="13"/>
        <v>0</v>
      </c>
      <c r="P86" s="57"/>
      <c r="Q86" s="90">
        <f>IF(B86="",0,IFERROR(SUMIFS('📅 الحضور'!$J:$J,'📅 الحضور'!$B:$B,B86,'📅 الحضور'!$L:$L,PayPeriod),0))</f>
        <v>0</v>
      </c>
      <c r="R86" s="91">
        <f t="shared" si="14"/>
        <v>0</v>
      </c>
      <c r="S86" s="91">
        <f>IF(B86="",0,IF(IFERROR(VLOOKUP(B86,'👥 بيانات الموظفين'!$B:$D,3,0),"")="سعودي",MIN(F86+G86,GosiCeiling)*GosiEmpRate,IF(IFERROR(VLOOKUP(B86,'👥 بيانات الموظفين'!$B:$D,3,0),"")="سعودية",MIN(F86+G86,GosiCeiling)*GosiEmpRate,0)))</f>
        <v>0</v>
      </c>
      <c r="T86" s="91">
        <f>IF(B86="",0,IF(OR(IFERROR(VLOOKUP(B86,'👥 بيانات الموظفين'!$B:$D,3,0),"")="سعودي",IFERROR(VLOOKUP(B86,'👥 بيانات الموظفين'!$B:$D,3,0),"")="سعودية"),MIN(F86+G86,GosiCeiling)*GosiCoRate,(F86+G86)*0.02))</f>
        <v>0</v>
      </c>
      <c r="U86" s="91">
        <f>IF(B86="",0,IFERROR(IF(VLOOKUP(B86,'👥 بيانات الموظفين'!$B:$M,12,0)&lt;5,F86/24,F86/12),0))</f>
        <v>0</v>
      </c>
    </row>
    <row r="87" spans="1:21" ht="22.15" customHeight="1" x14ac:dyDescent="0.2">
      <c r="A87" s="53">
        <f t="shared" si="10"/>
        <v>83</v>
      </c>
      <c r="B87" s="53">
        <f>IFERROR('👥 بيانات الموظفين'!B87,"")</f>
        <v>0</v>
      </c>
      <c r="C87" s="53" t="str">
        <f>IFERROR(VLOOKUP(B87,'👥 بيانات الموظفين'!$B:$C,2,0),"")</f>
        <v/>
      </c>
      <c r="D87" s="53" t="str">
        <f>IFERROR(VLOOKUP(B87,'👥 بيانات الموظفين'!$B:$E,4,0),"")</f>
        <v/>
      </c>
      <c r="E87" s="68">
        <f>IF(B87="",0,IFERROR(COUNTIFS('📅 الحضور'!$B:$B,B87,'📅 الحضور'!$L:$L,PayPeriod,'📅 الحضور'!$E:$E,"حاضر")+COUNTIFS('📅 الحضور'!$B:$B,B87,'📅 الحضور'!$L:$L,PayPeriod,'📅 الحضور'!$E:$E,"متأخر"),0))</f>
        <v>0</v>
      </c>
      <c r="F87" s="82">
        <f>IFERROR(VLOOKUP(B87,'👥 بيانات الموظفين'!$B:$H,7,0),0)</f>
        <v>0</v>
      </c>
      <c r="G87" s="82">
        <f>IFERROR(VLOOKUP(B87,'👥 بيانات الموظفين'!$B:$I,8,0),0)</f>
        <v>0</v>
      </c>
      <c r="H87" s="82">
        <f>IFERROR(VLOOKUP(B87,'👥 بيانات الموظفين'!$B:$J,9,0),0)</f>
        <v>0</v>
      </c>
      <c r="I87" s="82">
        <f>IF(B87="",0,IFERROR(SUMIFS('➕ الخصومات والمكافآت'!$E:$E,'➕ الخصومات والمكافآت'!$B:$B,B87,'➕ الخصومات والمكافآت'!$F:$F,PayPeriod,'➕ الخصومات والمكافآت'!$C:$C,"مكافأة"),0))</f>
        <v>0</v>
      </c>
      <c r="J87" s="82">
        <f t="shared" si="11"/>
        <v>0</v>
      </c>
      <c r="K87" s="82">
        <f>IF(B87="",0,IFERROR(COUNTIFS('📅 الحضور'!$B:$B,B87,'📅 الحضور'!$L:$L,PayPeriod,'📅 الحضور'!$E:$E,"غائب")*F87/WorkDaysMonth,0))</f>
        <v>0</v>
      </c>
      <c r="L87" s="82">
        <f>IF(B87="",0,IFERROR(SUMIFS('📅 الحضور'!$I:$I,'📅 الحضور'!$B:$B,B87,'📅 الحضور'!$L:$L,PayPeriod)/60/WorkHoursDay*F87/WorkDaysMonth,0))</f>
        <v>0</v>
      </c>
      <c r="M87" s="82">
        <f>IF(B87="",0,IFERROR(SUMIFS('➕ الخصومات والمكافآت'!$E:$E,'➕ الخصومات والمكافآت'!$B:$B,B87,'➕ الخصومات والمكافآت'!$F:$F,PayPeriod,'➕ الخصومات والمكافآت'!$C:$C,"خصم"),0))</f>
        <v>0</v>
      </c>
      <c r="N87" s="82">
        <f t="shared" si="12"/>
        <v>0</v>
      </c>
      <c r="O87" s="94">
        <f t="shared" si="13"/>
        <v>0</v>
      </c>
      <c r="P87" s="53"/>
      <c r="Q87" s="88">
        <f>IF(B87="",0,IFERROR(SUMIFS('📅 الحضور'!$J:$J,'📅 الحضور'!$B:$B,B87,'📅 الحضور'!$L:$L,PayPeriod),0))</f>
        <v>0</v>
      </c>
      <c r="R87" s="89">
        <f t="shared" si="14"/>
        <v>0</v>
      </c>
      <c r="S87" s="89">
        <f>IF(B87="",0,IF(IFERROR(VLOOKUP(B87,'👥 بيانات الموظفين'!$B:$D,3,0),"")="سعودي",MIN(F87+G87,GosiCeiling)*GosiEmpRate,IF(IFERROR(VLOOKUP(B87,'👥 بيانات الموظفين'!$B:$D,3,0),"")="سعودية",MIN(F87+G87,GosiCeiling)*GosiEmpRate,0)))</f>
        <v>0</v>
      </c>
      <c r="T87" s="89">
        <f>IF(B87="",0,IF(OR(IFERROR(VLOOKUP(B87,'👥 بيانات الموظفين'!$B:$D,3,0),"")="سعودي",IFERROR(VLOOKUP(B87,'👥 بيانات الموظفين'!$B:$D,3,0),"")="سعودية"),MIN(F87+G87,GosiCeiling)*GosiCoRate,(F87+G87)*0.02))</f>
        <v>0</v>
      </c>
      <c r="U87" s="89">
        <f>IF(B87="",0,IFERROR(IF(VLOOKUP(B87,'👥 بيانات الموظفين'!$B:$M,12,0)&lt;5,F87/24,F87/12),0))</f>
        <v>0</v>
      </c>
    </row>
    <row r="88" spans="1:21" ht="22.15" customHeight="1" x14ac:dyDescent="0.2">
      <c r="A88" s="57">
        <f t="shared" si="10"/>
        <v>84</v>
      </c>
      <c r="B88" s="57">
        <f>IFERROR('👥 بيانات الموظفين'!B88,"")</f>
        <v>0</v>
      </c>
      <c r="C88" s="57" t="str">
        <f>IFERROR(VLOOKUP(B88,'👥 بيانات الموظفين'!$B:$C,2,0),"")</f>
        <v/>
      </c>
      <c r="D88" s="57" t="str">
        <f>IFERROR(VLOOKUP(B88,'👥 بيانات الموظفين'!$B:$E,4,0),"")</f>
        <v/>
      </c>
      <c r="E88" s="69">
        <f>IF(B88="",0,IFERROR(COUNTIFS('📅 الحضور'!$B:$B,B88,'📅 الحضور'!$L:$L,PayPeriod,'📅 الحضور'!$E:$E,"حاضر")+COUNTIFS('📅 الحضور'!$B:$B,B88,'📅 الحضور'!$L:$L,PayPeriod,'📅 الحضور'!$E:$E,"متأخر"),0))</f>
        <v>0</v>
      </c>
      <c r="F88" s="83">
        <f>IFERROR(VLOOKUP(B88,'👥 بيانات الموظفين'!$B:$H,7,0),0)</f>
        <v>0</v>
      </c>
      <c r="G88" s="83">
        <f>IFERROR(VLOOKUP(B88,'👥 بيانات الموظفين'!$B:$I,8,0),0)</f>
        <v>0</v>
      </c>
      <c r="H88" s="83">
        <f>IFERROR(VLOOKUP(B88,'👥 بيانات الموظفين'!$B:$J,9,0),0)</f>
        <v>0</v>
      </c>
      <c r="I88" s="83">
        <f>IF(B88="",0,IFERROR(SUMIFS('➕ الخصومات والمكافآت'!$E:$E,'➕ الخصومات والمكافآت'!$B:$B,B88,'➕ الخصومات والمكافآت'!$F:$F,PayPeriod,'➕ الخصومات والمكافآت'!$C:$C,"مكافأة"),0))</f>
        <v>0</v>
      </c>
      <c r="J88" s="83">
        <f t="shared" si="11"/>
        <v>0</v>
      </c>
      <c r="K88" s="83">
        <f>IF(B88="",0,IFERROR(COUNTIFS('📅 الحضور'!$B:$B,B88,'📅 الحضور'!$L:$L,PayPeriod,'📅 الحضور'!$E:$E,"غائب")*F88/WorkDaysMonth,0))</f>
        <v>0</v>
      </c>
      <c r="L88" s="83">
        <f>IF(B88="",0,IFERROR(SUMIFS('📅 الحضور'!$I:$I,'📅 الحضور'!$B:$B,B88,'📅 الحضور'!$L:$L,PayPeriod)/60/WorkHoursDay*F88/WorkDaysMonth,0))</f>
        <v>0</v>
      </c>
      <c r="M88" s="83">
        <f>IF(B88="",0,IFERROR(SUMIFS('➕ الخصومات والمكافآت'!$E:$E,'➕ الخصومات والمكافآت'!$B:$B,B88,'➕ الخصومات والمكافآت'!$F:$F,PayPeriod,'➕ الخصومات والمكافآت'!$C:$C,"خصم"),0))</f>
        <v>0</v>
      </c>
      <c r="N88" s="83">
        <f t="shared" si="12"/>
        <v>0</v>
      </c>
      <c r="O88" s="95">
        <f t="shared" si="13"/>
        <v>0</v>
      </c>
      <c r="P88" s="57"/>
      <c r="Q88" s="90">
        <f>IF(B88="",0,IFERROR(SUMIFS('📅 الحضور'!$J:$J,'📅 الحضور'!$B:$B,B88,'📅 الحضور'!$L:$L,PayPeriod),0))</f>
        <v>0</v>
      </c>
      <c r="R88" s="91">
        <f t="shared" si="14"/>
        <v>0</v>
      </c>
      <c r="S88" s="91">
        <f>IF(B88="",0,IF(IFERROR(VLOOKUP(B88,'👥 بيانات الموظفين'!$B:$D,3,0),"")="سعودي",MIN(F88+G88,GosiCeiling)*GosiEmpRate,IF(IFERROR(VLOOKUP(B88,'👥 بيانات الموظفين'!$B:$D,3,0),"")="سعودية",MIN(F88+G88,GosiCeiling)*GosiEmpRate,0)))</f>
        <v>0</v>
      </c>
      <c r="T88" s="91">
        <f>IF(B88="",0,IF(OR(IFERROR(VLOOKUP(B88,'👥 بيانات الموظفين'!$B:$D,3,0),"")="سعودي",IFERROR(VLOOKUP(B88,'👥 بيانات الموظفين'!$B:$D,3,0),"")="سعودية"),MIN(F88+G88,GosiCeiling)*GosiCoRate,(F88+G88)*0.02))</f>
        <v>0</v>
      </c>
      <c r="U88" s="91">
        <f>IF(B88="",0,IFERROR(IF(VLOOKUP(B88,'👥 بيانات الموظفين'!$B:$M,12,0)&lt;5,F88/24,F88/12),0))</f>
        <v>0</v>
      </c>
    </row>
    <row r="89" spans="1:21" ht="22.15" customHeight="1" x14ac:dyDescent="0.2">
      <c r="A89" s="53">
        <f t="shared" si="10"/>
        <v>85</v>
      </c>
      <c r="B89" s="53">
        <f>IFERROR('👥 بيانات الموظفين'!B89,"")</f>
        <v>0</v>
      </c>
      <c r="C89" s="53" t="str">
        <f>IFERROR(VLOOKUP(B89,'👥 بيانات الموظفين'!$B:$C,2,0),"")</f>
        <v/>
      </c>
      <c r="D89" s="53" t="str">
        <f>IFERROR(VLOOKUP(B89,'👥 بيانات الموظفين'!$B:$E,4,0),"")</f>
        <v/>
      </c>
      <c r="E89" s="68">
        <f>IF(B89="",0,IFERROR(COUNTIFS('📅 الحضور'!$B:$B,B89,'📅 الحضور'!$L:$L,PayPeriod,'📅 الحضور'!$E:$E,"حاضر")+COUNTIFS('📅 الحضور'!$B:$B,B89,'📅 الحضور'!$L:$L,PayPeriod,'📅 الحضور'!$E:$E,"متأخر"),0))</f>
        <v>0</v>
      </c>
      <c r="F89" s="82">
        <f>IFERROR(VLOOKUP(B89,'👥 بيانات الموظفين'!$B:$H,7,0),0)</f>
        <v>0</v>
      </c>
      <c r="G89" s="82">
        <f>IFERROR(VLOOKUP(B89,'👥 بيانات الموظفين'!$B:$I,8,0),0)</f>
        <v>0</v>
      </c>
      <c r="H89" s="82">
        <f>IFERROR(VLOOKUP(B89,'👥 بيانات الموظفين'!$B:$J,9,0),0)</f>
        <v>0</v>
      </c>
      <c r="I89" s="82">
        <f>IF(B89="",0,IFERROR(SUMIFS('➕ الخصومات والمكافآت'!$E:$E,'➕ الخصومات والمكافآت'!$B:$B,B89,'➕ الخصومات والمكافآت'!$F:$F,PayPeriod,'➕ الخصومات والمكافآت'!$C:$C,"مكافأة"),0))</f>
        <v>0</v>
      </c>
      <c r="J89" s="82">
        <f t="shared" si="11"/>
        <v>0</v>
      </c>
      <c r="K89" s="82">
        <f>IF(B89="",0,IFERROR(COUNTIFS('📅 الحضور'!$B:$B,B89,'📅 الحضور'!$L:$L,PayPeriod,'📅 الحضور'!$E:$E,"غائب")*F89/WorkDaysMonth,0))</f>
        <v>0</v>
      </c>
      <c r="L89" s="82">
        <f>IF(B89="",0,IFERROR(SUMIFS('📅 الحضور'!$I:$I,'📅 الحضور'!$B:$B,B89,'📅 الحضور'!$L:$L,PayPeriod)/60/WorkHoursDay*F89/WorkDaysMonth,0))</f>
        <v>0</v>
      </c>
      <c r="M89" s="82">
        <f>IF(B89="",0,IFERROR(SUMIFS('➕ الخصومات والمكافآت'!$E:$E,'➕ الخصومات والمكافآت'!$B:$B,B89,'➕ الخصومات والمكافآت'!$F:$F,PayPeriod,'➕ الخصومات والمكافآت'!$C:$C,"خصم"),0))</f>
        <v>0</v>
      </c>
      <c r="N89" s="82">
        <f t="shared" si="12"/>
        <v>0</v>
      </c>
      <c r="O89" s="94">
        <f t="shared" si="13"/>
        <v>0</v>
      </c>
      <c r="P89" s="53"/>
      <c r="Q89" s="88">
        <f>IF(B89="",0,IFERROR(SUMIFS('📅 الحضور'!$J:$J,'📅 الحضور'!$B:$B,B89,'📅 الحضور'!$L:$L,PayPeriod),0))</f>
        <v>0</v>
      </c>
      <c r="R89" s="89">
        <f t="shared" si="14"/>
        <v>0</v>
      </c>
      <c r="S89" s="89">
        <f>IF(B89="",0,IF(IFERROR(VLOOKUP(B89,'👥 بيانات الموظفين'!$B:$D,3,0),"")="سعودي",MIN(F89+G89,GosiCeiling)*GosiEmpRate,IF(IFERROR(VLOOKUP(B89,'👥 بيانات الموظفين'!$B:$D,3,0),"")="سعودية",MIN(F89+G89,GosiCeiling)*GosiEmpRate,0)))</f>
        <v>0</v>
      </c>
      <c r="T89" s="89">
        <f>IF(B89="",0,IF(OR(IFERROR(VLOOKUP(B89,'👥 بيانات الموظفين'!$B:$D,3,0),"")="سعودي",IFERROR(VLOOKUP(B89,'👥 بيانات الموظفين'!$B:$D,3,0),"")="سعودية"),MIN(F89+G89,GosiCeiling)*GosiCoRate,(F89+G89)*0.02))</f>
        <v>0</v>
      </c>
      <c r="U89" s="89">
        <f>IF(B89="",0,IFERROR(IF(VLOOKUP(B89,'👥 بيانات الموظفين'!$B:$M,12,0)&lt;5,F89/24,F89/12),0))</f>
        <v>0</v>
      </c>
    </row>
    <row r="90" spans="1:21" ht="22.15" customHeight="1" x14ac:dyDescent="0.2">
      <c r="A90" s="57">
        <f t="shared" si="10"/>
        <v>86</v>
      </c>
      <c r="B90" s="57">
        <f>IFERROR('👥 بيانات الموظفين'!B90,"")</f>
        <v>0</v>
      </c>
      <c r="C90" s="57" t="str">
        <f>IFERROR(VLOOKUP(B90,'👥 بيانات الموظفين'!$B:$C,2,0),"")</f>
        <v/>
      </c>
      <c r="D90" s="57" t="str">
        <f>IFERROR(VLOOKUP(B90,'👥 بيانات الموظفين'!$B:$E,4,0),"")</f>
        <v/>
      </c>
      <c r="E90" s="69">
        <f>IF(B90="",0,IFERROR(COUNTIFS('📅 الحضور'!$B:$B,B90,'📅 الحضور'!$L:$L,PayPeriod,'📅 الحضور'!$E:$E,"حاضر")+COUNTIFS('📅 الحضور'!$B:$B,B90,'📅 الحضور'!$L:$L,PayPeriod,'📅 الحضور'!$E:$E,"متأخر"),0))</f>
        <v>0</v>
      </c>
      <c r="F90" s="83">
        <f>IFERROR(VLOOKUP(B90,'👥 بيانات الموظفين'!$B:$H,7,0),0)</f>
        <v>0</v>
      </c>
      <c r="G90" s="83">
        <f>IFERROR(VLOOKUP(B90,'👥 بيانات الموظفين'!$B:$I,8,0),0)</f>
        <v>0</v>
      </c>
      <c r="H90" s="83">
        <f>IFERROR(VLOOKUP(B90,'👥 بيانات الموظفين'!$B:$J,9,0),0)</f>
        <v>0</v>
      </c>
      <c r="I90" s="83">
        <f>IF(B90="",0,IFERROR(SUMIFS('➕ الخصومات والمكافآت'!$E:$E,'➕ الخصومات والمكافآت'!$B:$B,B90,'➕ الخصومات والمكافآت'!$F:$F,PayPeriod,'➕ الخصومات والمكافآت'!$C:$C,"مكافأة"),0))</f>
        <v>0</v>
      </c>
      <c r="J90" s="83">
        <f t="shared" si="11"/>
        <v>0</v>
      </c>
      <c r="K90" s="83">
        <f>IF(B90="",0,IFERROR(COUNTIFS('📅 الحضور'!$B:$B,B90,'📅 الحضور'!$L:$L,PayPeriod,'📅 الحضور'!$E:$E,"غائب")*F90/WorkDaysMonth,0))</f>
        <v>0</v>
      </c>
      <c r="L90" s="83">
        <f>IF(B90="",0,IFERROR(SUMIFS('📅 الحضور'!$I:$I,'📅 الحضور'!$B:$B,B90,'📅 الحضور'!$L:$L,PayPeriod)/60/WorkHoursDay*F90/WorkDaysMonth,0))</f>
        <v>0</v>
      </c>
      <c r="M90" s="83">
        <f>IF(B90="",0,IFERROR(SUMIFS('➕ الخصومات والمكافآت'!$E:$E,'➕ الخصومات والمكافآت'!$B:$B,B90,'➕ الخصومات والمكافآت'!$F:$F,PayPeriod,'➕ الخصومات والمكافآت'!$C:$C,"خصم"),0))</f>
        <v>0</v>
      </c>
      <c r="N90" s="83">
        <f t="shared" si="12"/>
        <v>0</v>
      </c>
      <c r="O90" s="95">
        <f t="shared" si="13"/>
        <v>0</v>
      </c>
      <c r="P90" s="57"/>
      <c r="Q90" s="90">
        <f>IF(B90="",0,IFERROR(SUMIFS('📅 الحضور'!$J:$J,'📅 الحضور'!$B:$B,B90,'📅 الحضور'!$L:$L,PayPeriod),0))</f>
        <v>0</v>
      </c>
      <c r="R90" s="91">
        <f t="shared" si="14"/>
        <v>0</v>
      </c>
      <c r="S90" s="91">
        <f>IF(B90="",0,IF(IFERROR(VLOOKUP(B90,'👥 بيانات الموظفين'!$B:$D,3,0),"")="سعودي",MIN(F90+G90,GosiCeiling)*GosiEmpRate,IF(IFERROR(VLOOKUP(B90,'👥 بيانات الموظفين'!$B:$D,3,0),"")="سعودية",MIN(F90+G90,GosiCeiling)*GosiEmpRate,0)))</f>
        <v>0</v>
      </c>
      <c r="T90" s="91">
        <f>IF(B90="",0,IF(OR(IFERROR(VLOOKUP(B90,'👥 بيانات الموظفين'!$B:$D,3,0),"")="سعودي",IFERROR(VLOOKUP(B90,'👥 بيانات الموظفين'!$B:$D,3,0),"")="سعودية"),MIN(F90+G90,GosiCeiling)*GosiCoRate,(F90+G90)*0.02))</f>
        <v>0</v>
      </c>
      <c r="U90" s="91">
        <f>IF(B90="",0,IFERROR(IF(VLOOKUP(B90,'👥 بيانات الموظفين'!$B:$M,12,0)&lt;5,F90/24,F90/12),0))</f>
        <v>0</v>
      </c>
    </row>
    <row r="91" spans="1:21" ht="22.15" customHeight="1" x14ac:dyDescent="0.2">
      <c r="A91" s="53">
        <f t="shared" si="10"/>
        <v>87</v>
      </c>
      <c r="B91" s="53">
        <f>IFERROR('👥 بيانات الموظفين'!B91,"")</f>
        <v>0</v>
      </c>
      <c r="C91" s="53" t="str">
        <f>IFERROR(VLOOKUP(B91,'👥 بيانات الموظفين'!$B:$C,2,0),"")</f>
        <v/>
      </c>
      <c r="D91" s="53" t="str">
        <f>IFERROR(VLOOKUP(B91,'👥 بيانات الموظفين'!$B:$E,4,0),"")</f>
        <v/>
      </c>
      <c r="E91" s="68">
        <f>IF(B91="",0,IFERROR(COUNTIFS('📅 الحضور'!$B:$B,B91,'📅 الحضور'!$L:$L,PayPeriod,'📅 الحضور'!$E:$E,"حاضر")+COUNTIFS('📅 الحضور'!$B:$B,B91,'📅 الحضور'!$L:$L,PayPeriod,'📅 الحضور'!$E:$E,"متأخر"),0))</f>
        <v>0</v>
      </c>
      <c r="F91" s="82">
        <f>IFERROR(VLOOKUP(B91,'👥 بيانات الموظفين'!$B:$H,7,0),0)</f>
        <v>0</v>
      </c>
      <c r="G91" s="82">
        <f>IFERROR(VLOOKUP(B91,'👥 بيانات الموظفين'!$B:$I,8,0),0)</f>
        <v>0</v>
      </c>
      <c r="H91" s="82">
        <f>IFERROR(VLOOKUP(B91,'👥 بيانات الموظفين'!$B:$J,9,0),0)</f>
        <v>0</v>
      </c>
      <c r="I91" s="82">
        <f>IF(B91="",0,IFERROR(SUMIFS('➕ الخصومات والمكافآت'!$E:$E,'➕ الخصومات والمكافآت'!$B:$B,B91,'➕ الخصومات والمكافآت'!$F:$F,PayPeriod,'➕ الخصومات والمكافآت'!$C:$C,"مكافأة"),0))</f>
        <v>0</v>
      </c>
      <c r="J91" s="82">
        <f t="shared" si="11"/>
        <v>0</v>
      </c>
      <c r="K91" s="82">
        <f>IF(B91="",0,IFERROR(COUNTIFS('📅 الحضور'!$B:$B,B91,'📅 الحضور'!$L:$L,PayPeriod,'📅 الحضور'!$E:$E,"غائب")*F91/WorkDaysMonth,0))</f>
        <v>0</v>
      </c>
      <c r="L91" s="82">
        <f>IF(B91="",0,IFERROR(SUMIFS('📅 الحضور'!$I:$I,'📅 الحضور'!$B:$B,B91,'📅 الحضور'!$L:$L,PayPeriod)/60/WorkHoursDay*F91/WorkDaysMonth,0))</f>
        <v>0</v>
      </c>
      <c r="M91" s="82">
        <f>IF(B91="",0,IFERROR(SUMIFS('➕ الخصومات والمكافآت'!$E:$E,'➕ الخصومات والمكافآت'!$B:$B,B91,'➕ الخصومات والمكافآت'!$F:$F,PayPeriod,'➕ الخصومات والمكافآت'!$C:$C,"خصم"),0))</f>
        <v>0</v>
      </c>
      <c r="N91" s="82">
        <f t="shared" si="12"/>
        <v>0</v>
      </c>
      <c r="O91" s="94">
        <f t="shared" si="13"/>
        <v>0</v>
      </c>
      <c r="P91" s="53"/>
      <c r="Q91" s="88">
        <f>IF(B91="",0,IFERROR(SUMIFS('📅 الحضور'!$J:$J,'📅 الحضور'!$B:$B,B91,'📅 الحضور'!$L:$L,PayPeriod),0))</f>
        <v>0</v>
      </c>
      <c r="R91" s="89">
        <f t="shared" si="14"/>
        <v>0</v>
      </c>
      <c r="S91" s="89">
        <f>IF(B91="",0,IF(IFERROR(VLOOKUP(B91,'👥 بيانات الموظفين'!$B:$D,3,0),"")="سعودي",MIN(F91+G91,GosiCeiling)*GosiEmpRate,IF(IFERROR(VLOOKUP(B91,'👥 بيانات الموظفين'!$B:$D,3,0),"")="سعودية",MIN(F91+G91,GosiCeiling)*GosiEmpRate,0)))</f>
        <v>0</v>
      </c>
      <c r="T91" s="89">
        <f>IF(B91="",0,IF(OR(IFERROR(VLOOKUP(B91,'👥 بيانات الموظفين'!$B:$D,3,0),"")="سعودي",IFERROR(VLOOKUP(B91,'👥 بيانات الموظفين'!$B:$D,3,0),"")="سعودية"),MIN(F91+G91,GosiCeiling)*GosiCoRate,(F91+G91)*0.02))</f>
        <v>0</v>
      </c>
      <c r="U91" s="89">
        <f>IF(B91="",0,IFERROR(IF(VLOOKUP(B91,'👥 بيانات الموظفين'!$B:$M,12,0)&lt;5,F91/24,F91/12),0))</f>
        <v>0</v>
      </c>
    </row>
    <row r="92" spans="1:21" ht="22.15" customHeight="1" x14ac:dyDescent="0.2">
      <c r="A92" s="57">
        <f t="shared" si="10"/>
        <v>88</v>
      </c>
      <c r="B92" s="57">
        <f>IFERROR('👥 بيانات الموظفين'!B92,"")</f>
        <v>0</v>
      </c>
      <c r="C92" s="57" t="str">
        <f>IFERROR(VLOOKUP(B92,'👥 بيانات الموظفين'!$B:$C,2,0),"")</f>
        <v/>
      </c>
      <c r="D92" s="57" t="str">
        <f>IFERROR(VLOOKUP(B92,'👥 بيانات الموظفين'!$B:$E,4,0),"")</f>
        <v/>
      </c>
      <c r="E92" s="69">
        <f>IF(B92="",0,IFERROR(COUNTIFS('📅 الحضور'!$B:$B,B92,'📅 الحضور'!$L:$L,PayPeriod,'📅 الحضور'!$E:$E,"حاضر")+COUNTIFS('📅 الحضور'!$B:$B,B92,'📅 الحضور'!$L:$L,PayPeriod,'📅 الحضور'!$E:$E,"متأخر"),0))</f>
        <v>0</v>
      </c>
      <c r="F92" s="83">
        <f>IFERROR(VLOOKUP(B92,'👥 بيانات الموظفين'!$B:$H,7,0),0)</f>
        <v>0</v>
      </c>
      <c r="G92" s="83">
        <f>IFERROR(VLOOKUP(B92,'👥 بيانات الموظفين'!$B:$I,8,0),0)</f>
        <v>0</v>
      </c>
      <c r="H92" s="83">
        <f>IFERROR(VLOOKUP(B92,'👥 بيانات الموظفين'!$B:$J,9,0),0)</f>
        <v>0</v>
      </c>
      <c r="I92" s="83">
        <f>IF(B92="",0,IFERROR(SUMIFS('➕ الخصومات والمكافآت'!$E:$E,'➕ الخصومات والمكافآت'!$B:$B,B92,'➕ الخصومات والمكافآت'!$F:$F,PayPeriod,'➕ الخصومات والمكافآت'!$C:$C,"مكافأة"),0))</f>
        <v>0</v>
      </c>
      <c r="J92" s="83">
        <f t="shared" si="11"/>
        <v>0</v>
      </c>
      <c r="K92" s="83">
        <f>IF(B92="",0,IFERROR(COUNTIFS('📅 الحضور'!$B:$B,B92,'📅 الحضور'!$L:$L,PayPeriod,'📅 الحضور'!$E:$E,"غائب")*F92/WorkDaysMonth,0))</f>
        <v>0</v>
      </c>
      <c r="L92" s="83">
        <f>IF(B92="",0,IFERROR(SUMIFS('📅 الحضور'!$I:$I,'📅 الحضور'!$B:$B,B92,'📅 الحضور'!$L:$L,PayPeriod)/60/WorkHoursDay*F92/WorkDaysMonth,0))</f>
        <v>0</v>
      </c>
      <c r="M92" s="83">
        <f>IF(B92="",0,IFERROR(SUMIFS('➕ الخصومات والمكافآت'!$E:$E,'➕ الخصومات والمكافآت'!$B:$B,B92,'➕ الخصومات والمكافآت'!$F:$F,PayPeriod,'➕ الخصومات والمكافآت'!$C:$C,"خصم"),0))</f>
        <v>0</v>
      </c>
      <c r="N92" s="83">
        <f t="shared" si="12"/>
        <v>0</v>
      </c>
      <c r="O92" s="95">
        <f t="shared" si="13"/>
        <v>0</v>
      </c>
      <c r="P92" s="57"/>
      <c r="Q92" s="90">
        <f>IF(B92="",0,IFERROR(SUMIFS('📅 الحضور'!$J:$J,'📅 الحضور'!$B:$B,B92,'📅 الحضور'!$L:$L,PayPeriod),0))</f>
        <v>0</v>
      </c>
      <c r="R92" s="91">
        <f t="shared" si="14"/>
        <v>0</v>
      </c>
      <c r="S92" s="91">
        <f>IF(B92="",0,IF(IFERROR(VLOOKUP(B92,'👥 بيانات الموظفين'!$B:$D,3,0),"")="سعودي",MIN(F92+G92,GosiCeiling)*GosiEmpRate,IF(IFERROR(VLOOKUP(B92,'👥 بيانات الموظفين'!$B:$D,3,0),"")="سعودية",MIN(F92+G92,GosiCeiling)*GosiEmpRate,0)))</f>
        <v>0</v>
      </c>
      <c r="T92" s="91">
        <f>IF(B92="",0,IF(OR(IFERROR(VLOOKUP(B92,'👥 بيانات الموظفين'!$B:$D,3,0),"")="سعودي",IFERROR(VLOOKUP(B92,'👥 بيانات الموظفين'!$B:$D,3,0),"")="سعودية"),MIN(F92+G92,GosiCeiling)*GosiCoRate,(F92+G92)*0.02))</f>
        <v>0</v>
      </c>
      <c r="U92" s="91">
        <f>IF(B92="",0,IFERROR(IF(VLOOKUP(B92,'👥 بيانات الموظفين'!$B:$M,12,0)&lt;5,F92/24,F92/12),0))</f>
        <v>0</v>
      </c>
    </row>
    <row r="93" spans="1:21" ht="22.15" customHeight="1" x14ac:dyDescent="0.2">
      <c r="A93" s="53">
        <f t="shared" si="10"/>
        <v>89</v>
      </c>
      <c r="B93" s="53">
        <f>IFERROR('👥 بيانات الموظفين'!B93,"")</f>
        <v>0</v>
      </c>
      <c r="C93" s="53" t="str">
        <f>IFERROR(VLOOKUP(B93,'👥 بيانات الموظفين'!$B:$C,2,0),"")</f>
        <v/>
      </c>
      <c r="D93" s="53" t="str">
        <f>IFERROR(VLOOKUP(B93,'👥 بيانات الموظفين'!$B:$E,4,0),"")</f>
        <v/>
      </c>
      <c r="E93" s="68">
        <f>IF(B93="",0,IFERROR(COUNTIFS('📅 الحضور'!$B:$B,B93,'📅 الحضور'!$L:$L,PayPeriod,'📅 الحضور'!$E:$E,"حاضر")+COUNTIFS('📅 الحضور'!$B:$B,B93,'📅 الحضور'!$L:$L,PayPeriod,'📅 الحضور'!$E:$E,"متأخر"),0))</f>
        <v>0</v>
      </c>
      <c r="F93" s="82">
        <f>IFERROR(VLOOKUP(B93,'👥 بيانات الموظفين'!$B:$H,7,0),0)</f>
        <v>0</v>
      </c>
      <c r="G93" s="82">
        <f>IFERROR(VLOOKUP(B93,'👥 بيانات الموظفين'!$B:$I,8,0),0)</f>
        <v>0</v>
      </c>
      <c r="H93" s="82">
        <f>IFERROR(VLOOKUP(B93,'👥 بيانات الموظفين'!$B:$J,9,0),0)</f>
        <v>0</v>
      </c>
      <c r="I93" s="82">
        <f>IF(B93="",0,IFERROR(SUMIFS('➕ الخصومات والمكافآت'!$E:$E,'➕ الخصومات والمكافآت'!$B:$B,B93,'➕ الخصومات والمكافآت'!$F:$F,PayPeriod,'➕ الخصومات والمكافآت'!$C:$C,"مكافأة"),0))</f>
        <v>0</v>
      </c>
      <c r="J93" s="82">
        <f t="shared" si="11"/>
        <v>0</v>
      </c>
      <c r="K93" s="82">
        <f>IF(B93="",0,IFERROR(COUNTIFS('📅 الحضور'!$B:$B,B93,'📅 الحضور'!$L:$L,PayPeriod,'📅 الحضور'!$E:$E,"غائب")*F93/WorkDaysMonth,0))</f>
        <v>0</v>
      </c>
      <c r="L93" s="82">
        <f>IF(B93="",0,IFERROR(SUMIFS('📅 الحضور'!$I:$I,'📅 الحضور'!$B:$B,B93,'📅 الحضور'!$L:$L,PayPeriod)/60/WorkHoursDay*F93/WorkDaysMonth,0))</f>
        <v>0</v>
      </c>
      <c r="M93" s="82">
        <f>IF(B93="",0,IFERROR(SUMIFS('➕ الخصومات والمكافآت'!$E:$E,'➕ الخصومات والمكافآت'!$B:$B,B93,'➕ الخصومات والمكافآت'!$F:$F,PayPeriod,'➕ الخصومات والمكافآت'!$C:$C,"خصم"),0))</f>
        <v>0</v>
      </c>
      <c r="N93" s="82">
        <f t="shared" si="12"/>
        <v>0</v>
      </c>
      <c r="O93" s="94">
        <f t="shared" si="13"/>
        <v>0</v>
      </c>
      <c r="P93" s="53"/>
      <c r="Q93" s="88">
        <f>IF(B93="",0,IFERROR(SUMIFS('📅 الحضور'!$J:$J,'📅 الحضور'!$B:$B,B93,'📅 الحضور'!$L:$L,PayPeriod),0))</f>
        <v>0</v>
      </c>
      <c r="R93" s="89">
        <f t="shared" si="14"/>
        <v>0</v>
      </c>
      <c r="S93" s="89">
        <f>IF(B93="",0,IF(IFERROR(VLOOKUP(B93,'👥 بيانات الموظفين'!$B:$D,3,0),"")="سعودي",MIN(F93+G93,GosiCeiling)*GosiEmpRate,IF(IFERROR(VLOOKUP(B93,'👥 بيانات الموظفين'!$B:$D,3,0),"")="سعودية",MIN(F93+G93,GosiCeiling)*GosiEmpRate,0)))</f>
        <v>0</v>
      </c>
      <c r="T93" s="89">
        <f>IF(B93="",0,IF(OR(IFERROR(VLOOKUP(B93,'👥 بيانات الموظفين'!$B:$D,3,0),"")="سعودي",IFERROR(VLOOKUP(B93,'👥 بيانات الموظفين'!$B:$D,3,0),"")="سعودية"),MIN(F93+G93,GosiCeiling)*GosiCoRate,(F93+G93)*0.02))</f>
        <v>0</v>
      </c>
      <c r="U93" s="89">
        <f>IF(B93="",0,IFERROR(IF(VLOOKUP(B93,'👥 بيانات الموظفين'!$B:$M,12,0)&lt;5,F93/24,F93/12),0))</f>
        <v>0</v>
      </c>
    </row>
    <row r="94" spans="1:21" ht="22.15" customHeight="1" x14ac:dyDescent="0.2">
      <c r="A94" s="57">
        <f t="shared" si="10"/>
        <v>90</v>
      </c>
      <c r="B94" s="57">
        <f>IFERROR('👥 بيانات الموظفين'!B94,"")</f>
        <v>0</v>
      </c>
      <c r="C94" s="57" t="str">
        <f>IFERROR(VLOOKUP(B94,'👥 بيانات الموظفين'!$B:$C,2,0),"")</f>
        <v/>
      </c>
      <c r="D94" s="57" t="str">
        <f>IFERROR(VLOOKUP(B94,'👥 بيانات الموظفين'!$B:$E,4,0),"")</f>
        <v/>
      </c>
      <c r="E94" s="69">
        <f>IF(B94="",0,IFERROR(COUNTIFS('📅 الحضور'!$B:$B,B94,'📅 الحضور'!$L:$L,PayPeriod,'📅 الحضور'!$E:$E,"حاضر")+COUNTIFS('📅 الحضور'!$B:$B,B94,'📅 الحضور'!$L:$L,PayPeriod,'📅 الحضور'!$E:$E,"متأخر"),0))</f>
        <v>0</v>
      </c>
      <c r="F94" s="83">
        <f>IFERROR(VLOOKUP(B94,'👥 بيانات الموظفين'!$B:$H,7,0),0)</f>
        <v>0</v>
      </c>
      <c r="G94" s="83">
        <f>IFERROR(VLOOKUP(B94,'👥 بيانات الموظفين'!$B:$I,8,0),0)</f>
        <v>0</v>
      </c>
      <c r="H94" s="83">
        <f>IFERROR(VLOOKUP(B94,'👥 بيانات الموظفين'!$B:$J,9,0),0)</f>
        <v>0</v>
      </c>
      <c r="I94" s="83">
        <f>IF(B94="",0,IFERROR(SUMIFS('➕ الخصومات والمكافآت'!$E:$E,'➕ الخصومات والمكافآت'!$B:$B,B94,'➕ الخصومات والمكافآت'!$F:$F,PayPeriod,'➕ الخصومات والمكافآت'!$C:$C,"مكافأة"),0))</f>
        <v>0</v>
      </c>
      <c r="J94" s="83">
        <f t="shared" si="11"/>
        <v>0</v>
      </c>
      <c r="K94" s="83">
        <f>IF(B94="",0,IFERROR(COUNTIFS('📅 الحضور'!$B:$B,B94,'📅 الحضور'!$L:$L,PayPeriod,'📅 الحضور'!$E:$E,"غائب")*F94/WorkDaysMonth,0))</f>
        <v>0</v>
      </c>
      <c r="L94" s="83">
        <f>IF(B94="",0,IFERROR(SUMIFS('📅 الحضور'!$I:$I,'📅 الحضور'!$B:$B,B94,'📅 الحضور'!$L:$L,PayPeriod)/60/WorkHoursDay*F94/WorkDaysMonth,0))</f>
        <v>0</v>
      </c>
      <c r="M94" s="83">
        <f>IF(B94="",0,IFERROR(SUMIFS('➕ الخصومات والمكافآت'!$E:$E,'➕ الخصومات والمكافآت'!$B:$B,B94,'➕ الخصومات والمكافآت'!$F:$F,PayPeriod,'➕ الخصومات والمكافآت'!$C:$C,"خصم"),0))</f>
        <v>0</v>
      </c>
      <c r="N94" s="83">
        <f t="shared" si="12"/>
        <v>0</v>
      </c>
      <c r="O94" s="95">
        <f t="shared" si="13"/>
        <v>0</v>
      </c>
      <c r="P94" s="57"/>
      <c r="Q94" s="90">
        <f>IF(B94="",0,IFERROR(SUMIFS('📅 الحضور'!$J:$J,'📅 الحضور'!$B:$B,B94,'📅 الحضور'!$L:$L,PayPeriod),0))</f>
        <v>0</v>
      </c>
      <c r="R94" s="91">
        <f t="shared" si="14"/>
        <v>0</v>
      </c>
      <c r="S94" s="91">
        <f>IF(B94="",0,IF(IFERROR(VLOOKUP(B94,'👥 بيانات الموظفين'!$B:$D,3,0),"")="سعودي",MIN(F94+G94,GosiCeiling)*GosiEmpRate,IF(IFERROR(VLOOKUP(B94,'👥 بيانات الموظفين'!$B:$D,3,0),"")="سعودية",MIN(F94+G94,GosiCeiling)*GosiEmpRate,0)))</f>
        <v>0</v>
      </c>
      <c r="T94" s="91">
        <f>IF(B94="",0,IF(OR(IFERROR(VLOOKUP(B94,'👥 بيانات الموظفين'!$B:$D,3,0),"")="سعودي",IFERROR(VLOOKUP(B94,'👥 بيانات الموظفين'!$B:$D,3,0),"")="سعودية"),MIN(F94+G94,GosiCeiling)*GosiCoRate,(F94+G94)*0.02))</f>
        <v>0</v>
      </c>
      <c r="U94" s="91">
        <f>IF(B94="",0,IFERROR(IF(VLOOKUP(B94,'👥 بيانات الموظفين'!$B:$M,12,0)&lt;5,F94/24,F94/12),0))</f>
        <v>0</v>
      </c>
    </row>
    <row r="95" spans="1:21" ht="22.15" customHeight="1" x14ac:dyDescent="0.2">
      <c r="A95" s="53">
        <f t="shared" si="10"/>
        <v>91</v>
      </c>
      <c r="B95" s="53">
        <f>IFERROR('👥 بيانات الموظفين'!B95,"")</f>
        <v>0</v>
      </c>
      <c r="C95" s="53" t="str">
        <f>IFERROR(VLOOKUP(B95,'👥 بيانات الموظفين'!$B:$C,2,0),"")</f>
        <v/>
      </c>
      <c r="D95" s="53" t="str">
        <f>IFERROR(VLOOKUP(B95,'👥 بيانات الموظفين'!$B:$E,4,0),"")</f>
        <v/>
      </c>
      <c r="E95" s="68">
        <f>IF(B95="",0,IFERROR(COUNTIFS('📅 الحضور'!$B:$B,B95,'📅 الحضور'!$L:$L,PayPeriod,'📅 الحضور'!$E:$E,"حاضر")+COUNTIFS('📅 الحضور'!$B:$B,B95,'📅 الحضور'!$L:$L,PayPeriod,'📅 الحضور'!$E:$E,"متأخر"),0))</f>
        <v>0</v>
      </c>
      <c r="F95" s="82">
        <f>IFERROR(VLOOKUP(B95,'👥 بيانات الموظفين'!$B:$H,7,0),0)</f>
        <v>0</v>
      </c>
      <c r="G95" s="82">
        <f>IFERROR(VLOOKUP(B95,'👥 بيانات الموظفين'!$B:$I,8,0),0)</f>
        <v>0</v>
      </c>
      <c r="H95" s="82">
        <f>IFERROR(VLOOKUP(B95,'👥 بيانات الموظفين'!$B:$J,9,0),0)</f>
        <v>0</v>
      </c>
      <c r="I95" s="82">
        <f>IF(B95="",0,IFERROR(SUMIFS('➕ الخصومات والمكافآت'!$E:$E,'➕ الخصومات والمكافآت'!$B:$B,B95,'➕ الخصومات والمكافآت'!$F:$F,PayPeriod,'➕ الخصومات والمكافآت'!$C:$C,"مكافأة"),0))</f>
        <v>0</v>
      </c>
      <c r="J95" s="82">
        <f t="shared" si="11"/>
        <v>0</v>
      </c>
      <c r="K95" s="82">
        <f>IF(B95="",0,IFERROR(COUNTIFS('📅 الحضور'!$B:$B,B95,'📅 الحضور'!$L:$L,PayPeriod,'📅 الحضور'!$E:$E,"غائب")*F95/WorkDaysMonth,0))</f>
        <v>0</v>
      </c>
      <c r="L95" s="82">
        <f>IF(B95="",0,IFERROR(SUMIFS('📅 الحضور'!$I:$I,'📅 الحضور'!$B:$B,B95,'📅 الحضور'!$L:$L,PayPeriod)/60/WorkHoursDay*F95/WorkDaysMonth,0))</f>
        <v>0</v>
      </c>
      <c r="M95" s="82">
        <f>IF(B95="",0,IFERROR(SUMIFS('➕ الخصومات والمكافآت'!$E:$E,'➕ الخصومات والمكافآت'!$B:$B,B95,'➕ الخصومات والمكافآت'!$F:$F,PayPeriod,'➕ الخصومات والمكافآت'!$C:$C,"خصم"),0))</f>
        <v>0</v>
      </c>
      <c r="N95" s="82">
        <f t="shared" si="12"/>
        <v>0</v>
      </c>
      <c r="O95" s="94">
        <f t="shared" si="13"/>
        <v>0</v>
      </c>
      <c r="P95" s="53"/>
      <c r="Q95" s="88">
        <f>IF(B95="",0,IFERROR(SUMIFS('📅 الحضور'!$J:$J,'📅 الحضور'!$B:$B,B95,'📅 الحضور'!$L:$L,PayPeriod),0))</f>
        <v>0</v>
      </c>
      <c r="R95" s="89">
        <f t="shared" si="14"/>
        <v>0</v>
      </c>
      <c r="S95" s="89">
        <f>IF(B95="",0,IF(IFERROR(VLOOKUP(B95,'👥 بيانات الموظفين'!$B:$D,3,0),"")="سعودي",MIN(F95+G95,GosiCeiling)*GosiEmpRate,IF(IFERROR(VLOOKUP(B95,'👥 بيانات الموظفين'!$B:$D,3,0),"")="سعودية",MIN(F95+G95,GosiCeiling)*GosiEmpRate,0)))</f>
        <v>0</v>
      </c>
      <c r="T95" s="89">
        <f>IF(B95="",0,IF(OR(IFERROR(VLOOKUP(B95,'👥 بيانات الموظفين'!$B:$D,3,0),"")="سعودي",IFERROR(VLOOKUP(B95,'👥 بيانات الموظفين'!$B:$D,3,0),"")="سعودية"),MIN(F95+G95,GosiCeiling)*GosiCoRate,(F95+G95)*0.02))</f>
        <v>0</v>
      </c>
      <c r="U95" s="89">
        <f>IF(B95="",0,IFERROR(IF(VLOOKUP(B95,'👥 بيانات الموظفين'!$B:$M,12,0)&lt;5,F95/24,F95/12),0))</f>
        <v>0</v>
      </c>
    </row>
    <row r="96" spans="1:21" ht="22.15" customHeight="1" x14ac:dyDescent="0.2">
      <c r="A96" s="57">
        <f t="shared" si="10"/>
        <v>92</v>
      </c>
      <c r="B96" s="57">
        <f>IFERROR('👥 بيانات الموظفين'!B96,"")</f>
        <v>0</v>
      </c>
      <c r="C96" s="57" t="str">
        <f>IFERROR(VLOOKUP(B96,'👥 بيانات الموظفين'!$B:$C,2,0),"")</f>
        <v/>
      </c>
      <c r="D96" s="57" t="str">
        <f>IFERROR(VLOOKUP(B96,'👥 بيانات الموظفين'!$B:$E,4,0),"")</f>
        <v/>
      </c>
      <c r="E96" s="69">
        <f>IF(B96="",0,IFERROR(COUNTIFS('📅 الحضور'!$B:$B,B96,'📅 الحضور'!$L:$L,PayPeriod,'📅 الحضور'!$E:$E,"حاضر")+COUNTIFS('📅 الحضور'!$B:$B,B96,'📅 الحضور'!$L:$L,PayPeriod,'📅 الحضور'!$E:$E,"متأخر"),0))</f>
        <v>0</v>
      </c>
      <c r="F96" s="83">
        <f>IFERROR(VLOOKUP(B96,'👥 بيانات الموظفين'!$B:$H,7,0),0)</f>
        <v>0</v>
      </c>
      <c r="G96" s="83">
        <f>IFERROR(VLOOKUP(B96,'👥 بيانات الموظفين'!$B:$I,8,0),0)</f>
        <v>0</v>
      </c>
      <c r="H96" s="83">
        <f>IFERROR(VLOOKUP(B96,'👥 بيانات الموظفين'!$B:$J,9,0),0)</f>
        <v>0</v>
      </c>
      <c r="I96" s="83">
        <f>IF(B96="",0,IFERROR(SUMIFS('➕ الخصومات والمكافآت'!$E:$E,'➕ الخصومات والمكافآت'!$B:$B,B96,'➕ الخصومات والمكافآت'!$F:$F,PayPeriod,'➕ الخصومات والمكافآت'!$C:$C,"مكافأة"),0))</f>
        <v>0</v>
      </c>
      <c r="J96" s="83">
        <f t="shared" si="11"/>
        <v>0</v>
      </c>
      <c r="K96" s="83">
        <f>IF(B96="",0,IFERROR(COUNTIFS('📅 الحضور'!$B:$B,B96,'📅 الحضور'!$L:$L,PayPeriod,'📅 الحضور'!$E:$E,"غائب")*F96/WorkDaysMonth,0))</f>
        <v>0</v>
      </c>
      <c r="L96" s="83">
        <f>IF(B96="",0,IFERROR(SUMIFS('📅 الحضور'!$I:$I,'📅 الحضور'!$B:$B,B96,'📅 الحضور'!$L:$L,PayPeriod)/60/WorkHoursDay*F96/WorkDaysMonth,0))</f>
        <v>0</v>
      </c>
      <c r="M96" s="83">
        <f>IF(B96="",0,IFERROR(SUMIFS('➕ الخصومات والمكافآت'!$E:$E,'➕ الخصومات والمكافآت'!$B:$B,B96,'➕ الخصومات والمكافآت'!$F:$F,PayPeriod,'➕ الخصومات والمكافآت'!$C:$C,"خصم"),0))</f>
        <v>0</v>
      </c>
      <c r="N96" s="83">
        <f t="shared" si="12"/>
        <v>0</v>
      </c>
      <c r="O96" s="95">
        <f t="shared" si="13"/>
        <v>0</v>
      </c>
      <c r="P96" s="57"/>
      <c r="Q96" s="90">
        <f>IF(B96="",0,IFERROR(SUMIFS('📅 الحضور'!$J:$J,'📅 الحضور'!$B:$B,B96,'📅 الحضور'!$L:$L,PayPeriod),0))</f>
        <v>0</v>
      </c>
      <c r="R96" s="91">
        <f t="shared" si="14"/>
        <v>0</v>
      </c>
      <c r="S96" s="91">
        <f>IF(B96="",0,IF(IFERROR(VLOOKUP(B96,'👥 بيانات الموظفين'!$B:$D,3,0),"")="سعودي",MIN(F96+G96,GosiCeiling)*GosiEmpRate,IF(IFERROR(VLOOKUP(B96,'👥 بيانات الموظفين'!$B:$D,3,0),"")="سعودية",MIN(F96+G96,GosiCeiling)*GosiEmpRate,0)))</f>
        <v>0</v>
      </c>
      <c r="T96" s="91">
        <f>IF(B96="",0,IF(OR(IFERROR(VLOOKUP(B96,'👥 بيانات الموظفين'!$B:$D,3,0),"")="سعودي",IFERROR(VLOOKUP(B96,'👥 بيانات الموظفين'!$B:$D,3,0),"")="سعودية"),MIN(F96+G96,GosiCeiling)*GosiCoRate,(F96+G96)*0.02))</f>
        <v>0</v>
      </c>
      <c r="U96" s="91">
        <f>IF(B96="",0,IFERROR(IF(VLOOKUP(B96,'👥 بيانات الموظفين'!$B:$M,12,0)&lt;5,F96/24,F96/12),0))</f>
        <v>0</v>
      </c>
    </row>
    <row r="97" spans="1:21" ht="22.15" customHeight="1" x14ac:dyDescent="0.2">
      <c r="A97" s="53">
        <f t="shared" si="10"/>
        <v>93</v>
      </c>
      <c r="B97" s="53">
        <f>IFERROR('👥 بيانات الموظفين'!B97,"")</f>
        <v>0</v>
      </c>
      <c r="C97" s="53" t="str">
        <f>IFERROR(VLOOKUP(B97,'👥 بيانات الموظفين'!$B:$C,2,0),"")</f>
        <v/>
      </c>
      <c r="D97" s="53" t="str">
        <f>IFERROR(VLOOKUP(B97,'👥 بيانات الموظفين'!$B:$E,4,0),"")</f>
        <v/>
      </c>
      <c r="E97" s="68">
        <f>IF(B97="",0,IFERROR(COUNTIFS('📅 الحضور'!$B:$B,B97,'📅 الحضور'!$L:$L,PayPeriod,'📅 الحضور'!$E:$E,"حاضر")+COUNTIFS('📅 الحضور'!$B:$B,B97,'📅 الحضور'!$L:$L,PayPeriod,'📅 الحضور'!$E:$E,"متأخر"),0))</f>
        <v>0</v>
      </c>
      <c r="F97" s="82">
        <f>IFERROR(VLOOKUP(B97,'👥 بيانات الموظفين'!$B:$H,7,0),0)</f>
        <v>0</v>
      </c>
      <c r="G97" s="82">
        <f>IFERROR(VLOOKUP(B97,'👥 بيانات الموظفين'!$B:$I,8,0),0)</f>
        <v>0</v>
      </c>
      <c r="H97" s="82">
        <f>IFERROR(VLOOKUP(B97,'👥 بيانات الموظفين'!$B:$J,9,0),0)</f>
        <v>0</v>
      </c>
      <c r="I97" s="82">
        <f>IF(B97="",0,IFERROR(SUMIFS('➕ الخصومات والمكافآت'!$E:$E,'➕ الخصومات والمكافآت'!$B:$B,B97,'➕ الخصومات والمكافآت'!$F:$F,PayPeriod,'➕ الخصومات والمكافآت'!$C:$C,"مكافأة"),0))</f>
        <v>0</v>
      </c>
      <c r="J97" s="82">
        <f t="shared" si="11"/>
        <v>0</v>
      </c>
      <c r="K97" s="82">
        <f>IF(B97="",0,IFERROR(COUNTIFS('📅 الحضور'!$B:$B,B97,'📅 الحضور'!$L:$L,PayPeriod,'📅 الحضور'!$E:$E,"غائب")*F97/WorkDaysMonth,0))</f>
        <v>0</v>
      </c>
      <c r="L97" s="82">
        <f>IF(B97="",0,IFERROR(SUMIFS('📅 الحضور'!$I:$I,'📅 الحضور'!$B:$B,B97,'📅 الحضور'!$L:$L,PayPeriod)/60/WorkHoursDay*F97/WorkDaysMonth,0))</f>
        <v>0</v>
      </c>
      <c r="M97" s="82">
        <f>IF(B97="",0,IFERROR(SUMIFS('➕ الخصومات والمكافآت'!$E:$E,'➕ الخصومات والمكافآت'!$B:$B,B97,'➕ الخصومات والمكافآت'!$F:$F,PayPeriod,'➕ الخصومات والمكافآت'!$C:$C,"خصم"),0))</f>
        <v>0</v>
      </c>
      <c r="N97" s="82">
        <f t="shared" si="12"/>
        <v>0</v>
      </c>
      <c r="O97" s="94">
        <f t="shared" si="13"/>
        <v>0</v>
      </c>
      <c r="P97" s="53"/>
      <c r="Q97" s="88">
        <f>IF(B97="",0,IFERROR(SUMIFS('📅 الحضور'!$J:$J,'📅 الحضور'!$B:$B,B97,'📅 الحضور'!$L:$L,PayPeriod),0))</f>
        <v>0</v>
      </c>
      <c r="R97" s="89">
        <f t="shared" si="14"/>
        <v>0</v>
      </c>
      <c r="S97" s="89">
        <f>IF(B97="",0,IF(IFERROR(VLOOKUP(B97,'👥 بيانات الموظفين'!$B:$D,3,0),"")="سعودي",MIN(F97+G97,GosiCeiling)*GosiEmpRate,IF(IFERROR(VLOOKUP(B97,'👥 بيانات الموظفين'!$B:$D,3,0),"")="سعودية",MIN(F97+G97,GosiCeiling)*GosiEmpRate,0)))</f>
        <v>0</v>
      </c>
      <c r="T97" s="89">
        <f>IF(B97="",0,IF(OR(IFERROR(VLOOKUP(B97,'👥 بيانات الموظفين'!$B:$D,3,0),"")="سعودي",IFERROR(VLOOKUP(B97,'👥 بيانات الموظفين'!$B:$D,3,0),"")="سعودية"),MIN(F97+G97,GosiCeiling)*GosiCoRate,(F97+G97)*0.02))</f>
        <v>0</v>
      </c>
      <c r="U97" s="89">
        <f>IF(B97="",0,IFERROR(IF(VLOOKUP(B97,'👥 بيانات الموظفين'!$B:$M,12,0)&lt;5,F97/24,F97/12),0))</f>
        <v>0</v>
      </c>
    </row>
    <row r="98" spans="1:21" ht="22.15" customHeight="1" x14ac:dyDescent="0.2">
      <c r="A98" s="57">
        <f t="shared" si="10"/>
        <v>94</v>
      </c>
      <c r="B98" s="57">
        <f>IFERROR('👥 بيانات الموظفين'!B98,"")</f>
        <v>0</v>
      </c>
      <c r="C98" s="57" t="str">
        <f>IFERROR(VLOOKUP(B98,'👥 بيانات الموظفين'!$B:$C,2,0),"")</f>
        <v/>
      </c>
      <c r="D98" s="57" t="str">
        <f>IFERROR(VLOOKUP(B98,'👥 بيانات الموظفين'!$B:$E,4,0),"")</f>
        <v/>
      </c>
      <c r="E98" s="69">
        <f>IF(B98="",0,IFERROR(COUNTIFS('📅 الحضور'!$B:$B,B98,'📅 الحضور'!$L:$L,PayPeriod,'📅 الحضور'!$E:$E,"حاضر")+COUNTIFS('📅 الحضور'!$B:$B,B98,'📅 الحضور'!$L:$L,PayPeriod,'📅 الحضور'!$E:$E,"متأخر"),0))</f>
        <v>0</v>
      </c>
      <c r="F98" s="83">
        <f>IFERROR(VLOOKUP(B98,'👥 بيانات الموظفين'!$B:$H,7,0),0)</f>
        <v>0</v>
      </c>
      <c r="G98" s="83">
        <f>IFERROR(VLOOKUP(B98,'👥 بيانات الموظفين'!$B:$I,8,0),0)</f>
        <v>0</v>
      </c>
      <c r="H98" s="83">
        <f>IFERROR(VLOOKUP(B98,'👥 بيانات الموظفين'!$B:$J,9,0),0)</f>
        <v>0</v>
      </c>
      <c r="I98" s="83">
        <f>IF(B98="",0,IFERROR(SUMIFS('➕ الخصومات والمكافآت'!$E:$E,'➕ الخصومات والمكافآت'!$B:$B,B98,'➕ الخصومات والمكافآت'!$F:$F,PayPeriod,'➕ الخصومات والمكافآت'!$C:$C,"مكافأة"),0))</f>
        <v>0</v>
      </c>
      <c r="J98" s="83">
        <f t="shared" si="11"/>
        <v>0</v>
      </c>
      <c r="K98" s="83">
        <f>IF(B98="",0,IFERROR(COUNTIFS('📅 الحضور'!$B:$B,B98,'📅 الحضور'!$L:$L,PayPeriod,'📅 الحضور'!$E:$E,"غائب")*F98/WorkDaysMonth,0))</f>
        <v>0</v>
      </c>
      <c r="L98" s="83">
        <f>IF(B98="",0,IFERROR(SUMIFS('📅 الحضور'!$I:$I,'📅 الحضور'!$B:$B,B98,'📅 الحضور'!$L:$L,PayPeriod)/60/WorkHoursDay*F98/WorkDaysMonth,0))</f>
        <v>0</v>
      </c>
      <c r="M98" s="83">
        <f>IF(B98="",0,IFERROR(SUMIFS('➕ الخصومات والمكافآت'!$E:$E,'➕ الخصومات والمكافآت'!$B:$B,B98,'➕ الخصومات والمكافآت'!$F:$F,PayPeriod,'➕ الخصومات والمكافآت'!$C:$C,"خصم"),0))</f>
        <v>0</v>
      </c>
      <c r="N98" s="83">
        <f t="shared" si="12"/>
        <v>0</v>
      </c>
      <c r="O98" s="95">
        <f t="shared" si="13"/>
        <v>0</v>
      </c>
      <c r="P98" s="57"/>
      <c r="Q98" s="90">
        <f>IF(B98="",0,IFERROR(SUMIFS('📅 الحضور'!$J:$J,'📅 الحضور'!$B:$B,B98,'📅 الحضور'!$L:$L,PayPeriod),0))</f>
        <v>0</v>
      </c>
      <c r="R98" s="91">
        <f t="shared" si="14"/>
        <v>0</v>
      </c>
      <c r="S98" s="91">
        <f>IF(B98="",0,IF(IFERROR(VLOOKUP(B98,'👥 بيانات الموظفين'!$B:$D,3,0),"")="سعودي",MIN(F98+G98,GosiCeiling)*GosiEmpRate,IF(IFERROR(VLOOKUP(B98,'👥 بيانات الموظفين'!$B:$D,3,0),"")="سعودية",MIN(F98+G98,GosiCeiling)*GosiEmpRate,0)))</f>
        <v>0</v>
      </c>
      <c r="T98" s="91">
        <f>IF(B98="",0,IF(OR(IFERROR(VLOOKUP(B98,'👥 بيانات الموظفين'!$B:$D,3,0),"")="سعودي",IFERROR(VLOOKUP(B98,'👥 بيانات الموظفين'!$B:$D,3,0),"")="سعودية"),MIN(F98+G98,GosiCeiling)*GosiCoRate,(F98+G98)*0.02))</f>
        <v>0</v>
      </c>
      <c r="U98" s="91">
        <f>IF(B98="",0,IFERROR(IF(VLOOKUP(B98,'👥 بيانات الموظفين'!$B:$M,12,0)&lt;5,F98/24,F98/12),0))</f>
        <v>0</v>
      </c>
    </row>
    <row r="99" spans="1:21" ht="22.15" customHeight="1" x14ac:dyDescent="0.2">
      <c r="A99" s="53">
        <f t="shared" si="10"/>
        <v>95</v>
      </c>
      <c r="B99" s="53">
        <f>IFERROR('👥 بيانات الموظفين'!B99,"")</f>
        <v>0</v>
      </c>
      <c r="C99" s="53" t="str">
        <f>IFERROR(VLOOKUP(B99,'👥 بيانات الموظفين'!$B:$C,2,0),"")</f>
        <v/>
      </c>
      <c r="D99" s="53" t="str">
        <f>IFERROR(VLOOKUP(B99,'👥 بيانات الموظفين'!$B:$E,4,0),"")</f>
        <v/>
      </c>
      <c r="E99" s="68">
        <f>IF(B99="",0,IFERROR(COUNTIFS('📅 الحضور'!$B:$B,B99,'📅 الحضور'!$L:$L,PayPeriod,'📅 الحضور'!$E:$E,"حاضر")+COUNTIFS('📅 الحضور'!$B:$B,B99,'📅 الحضور'!$L:$L,PayPeriod,'📅 الحضور'!$E:$E,"متأخر"),0))</f>
        <v>0</v>
      </c>
      <c r="F99" s="82">
        <f>IFERROR(VLOOKUP(B99,'👥 بيانات الموظفين'!$B:$H,7,0),0)</f>
        <v>0</v>
      </c>
      <c r="G99" s="82">
        <f>IFERROR(VLOOKUP(B99,'👥 بيانات الموظفين'!$B:$I,8,0),0)</f>
        <v>0</v>
      </c>
      <c r="H99" s="82">
        <f>IFERROR(VLOOKUP(B99,'👥 بيانات الموظفين'!$B:$J,9,0),0)</f>
        <v>0</v>
      </c>
      <c r="I99" s="82">
        <f>IF(B99="",0,IFERROR(SUMIFS('➕ الخصومات والمكافآت'!$E:$E,'➕ الخصومات والمكافآت'!$B:$B,B99,'➕ الخصومات والمكافآت'!$F:$F,PayPeriod,'➕ الخصومات والمكافآت'!$C:$C,"مكافأة"),0))</f>
        <v>0</v>
      </c>
      <c r="J99" s="82">
        <f t="shared" si="11"/>
        <v>0</v>
      </c>
      <c r="K99" s="82">
        <f>IF(B99="",0,IFERROR(COUNTIFS('📅 الحضور'!$B:$B,B99,'📅 الحضور'!$L:$L,PayPeriod,'📅 الحضور'!$E:$E,"غائب")*F99/WorkDaysMonth,0))</f>
        <v>0</v>
      </c>
      <c r="L99" s="82">
        <f>IF(B99="",0,IFERROR(SUMIFS('📅 الحضور'!$I:$I,'📅 الحضور'!$B:$B,B99,'📅 الحضور'!$L:$L,PayPeriod)/60/WorkHoursDay*F99/WorkDaysMonth,0))</f>
        <v>0</v>
      </c>
      <c r="M99" s="82">
        <f>IF(B99="",0,IFERROR(SUMIFS('➕ الخصومات والمكافآت'!$E:$E,'➕ الخصومات والمكافآت'!$B:$B,B99,'➕ الخصومات والمكافآت'!$F:$F,PayPeriod,'➕ الخصومات والمكافآت'!$C:$C,"خصم"),0))</f>
        <v>0</v>
      </c>
      <c r="N99" s="82">
        <f t="shared" si="12"/>
        <v>0</v>
      </c>
      <c r="O99" s="94">
        <f t="shared" si="13"/>
        <v>0</v>
      </c>
      <c r="P99" s="53"/>
      <c r="Q99" s="88">
        <f>IF(B99="",0,IFERROR(SUMIFS('📅 الحضور'!$J:$J,'📅 الحضور'!$B:$B,B99,'📅 الحضور'!$L:$L,PayPeriod),0))</f>
        <v>0</v>
      </c>
      <c r="R99" s="89">
        <f t="shared" si="14"/>
        <v>0</v>
      </c>
      <c r="S99" s="89">
        <f>IF(B99="",0,IF(IFERROR(VLOOKUP(B99,'👥 بيانات الموظفين'!$B:$D,3,0),"")="سعودي",MIN(F99+G99,GosiCeiling)*GosiEmpRate,IF(IFERROR(VLOOKUP(B99,'👥 بيانات الموظفين'!$B:$D,3,0),"")="سعودية",MIN(F99+G99,GosiCeiling)*GosiEmpRate,0)))</f>
        <v>0</v>
      </c>
      <c r="T99" s="89">
        <f>IF(B99="",0,IF(OR(IFERROR(VLOOKUP(B99,'👥 بيانات الموظفين'!$B:$D,3,0),"")="سعودي",IFERROR(VLOOKUP(B99,'👥 بيانات الموظفين'!$B:$D,3,0),"")="سعودية"),MIN(F99+G99,GosiCeiling)*GosiCoRate,(F99+G99)*0.02))</f>
        <v>0</v>
      </c>
      <c r="U99" s="89">
        <f>IF(B99="",0,IFERROR(IF(VLOOKUP(B99,'👥 بيانات الموظفين'!$B:$M,12,0)&lt;5,F99/24,F99/12),0))</f>
        <v>0</v>
      </c>
    </row>
    <row r="100" spans="1:21" ht="22.15" customHeight="1" x14ac:dyDescent="0.2">
      <c r="A100" s="57">
        <f t="shared" si="10"/>
        <v>96</v>
      </c>
      <c r="B100" s="57">
        <f>IFERROR('👥 بيانات الموظفين'!B100,"")</f>
        <v>0</v>
      </c>
      <c r="C100" s="57" t="str">
        <f>IFERROR(VLOOKUP(B100,'👥 بيانات الموظفين'!$B:$C,2,0),"")</f>
        <v/>
      </c>
      <c r="D100" s="57" t="str">
        <f>IFERROR(VLOOKUP(B100,'👥 بيانات الموظفين'!$B:$E,4,0),"")</f>
        <v/>
      </c>
      <c r="E100" s="69">
        <f>IF(B100="",0,IFERROR(COUNTIFS('📅 الحضور'!$B:$B,B100,'📅 الحضور'!$L:$L,PayPeriod,'📅 الحضور'!$E:$E,"حاضر")+COUNTIFS('📅 الحضور'!$B:$B,B100,'📅 الحضور'!$L:$L,PayPeriod,'📅 الحضور'!$E:$E,"متأخر"),0))</f>
        <v>0</v>
      </c>
      <c r="F100" s="83">
        <f>IFERROR(VLOOKUP(B100,'👥 بيانات الموظفين'!$B:$H,7,0),0)</f>
        <v>0</v>
      </c>
      <c r="G100" s="83">
        <f>IFERROR(VLOOKUP(B100,'👥 بيانات الموظفين'!$B:$I,8,0),0)</f>
        <v>0</v>
      </c>
      <c r="H100" s="83">
        <f>IFERROR(VLOOKUP(B100,'👥 بيانات الموظفين'!$B:$J,9,0),0)</f>
        <v>0</v>
      </c>
      <c r="I100" s="83">
        <f>IF(B100="",0,IFERROR(SUMIFS('➕ الخصومات والمكافآت'!$E:$E,'➕ الخصومات والمكافآت'!$B:$B,B100,'➕ الخصومات والمكافآت'!$F:$F,PayPeriod,'➕ الخصومات والمكافآت'!$C:$C,"مكافأة"),0))</f>
        <v>0</v>
      </c>
      <c r="J100" s="83">
        <f t="shared" si="11"/>
        <v>0</v>
      </c>
      <c r="K100" s="83">
        <f>IF(B100="",0,IFERROR(COUNTIFS('📅 الحضور'!$B:$B,B100,'📅 الحضور'!$L:$L,PayPeriod,'📅 الحضور'!$E:$E,"غائب")*F100/WorkDaysMonth,0))</f>
        <v>0</v>
      </c>
      <c r="L100" s="83">
        <f>IF(B100="",0,IFERROR(SUMIFS('📅 الحضور'!$I:$I,'📅 الحضور'!$B:$B,B100,'📅 الحضور'!$L:$L,PayPeriod)/60/WorkHoursDay*F100/WorkDaysMonth,0))</f>
        <v>0</v>
      </c>
      <c r="M100" s="83">
        <f>IF(B100="",0,IFERROR(SUMIFS('➕ الخصومات والمكافآت'!$E:$E,'➕ الخصومات والمكافآت'!$B:$B,B100,'➕ الخصومات والمكافآت'!$F:$F,PayPeriod,'➕ الخصومات والمكافآت'!$C:$C,"خصم"),0))</f>
        <v>0</v>
      </c>
      <c r="N100" s="83">
        <f t="shared" si="12"/>
        <v>0</v>
      </c>
      <c r="O100" s="95">
        <f t="shared" si="13"/>
        <v>0</v>
      </c>
      <c r="P100" s="57"/>
      <c r="Q100" s="90">
        <f>IF(B100="",0,IFERROR(SUMIFS('📅 الحضور'!$J:$J,'📅 الحضور'!$B:$B,B100,'📅 الحضور'!$L:$L,PayPeriod),0))</f>
        <v>0</v>
      </c>
      <c r="R100" s="91">
        <f t="shared" si="14"/>
        <v>0</v>
      </c>
      <c r="S100" s="91">
        <f>IF(B100="",0,IF(IFERROR(VLOOKUP(B100,'👥 بيانات الموظفين'!$B:$D,3,0),"")="سعودي",MIN(F100+G100,GosiCeiling)*GosiEmpRate,IF(IFERROR(VLOOKUP(B100,'👥 بيانات الموظفين'!$B:$D,3,0),"")="سعودية",MIN(F100+G100,GosiCeiling)*GosiEmpRate,0)))</f>
        <v>0</v>
      </c>
      <c r="T100" s="91">
        <f>IF(B100="",0,IF(OR(IFERROR(VLOOKUP(B100,'👥 بيانات الموظفين'!$B:$D,3,0),"")="سعودي",IFERROR(VLOOKUP(B100,'👥 بيانات الموظفين'!$B:$D,3,0),"")="سعودية"),MIN(F100+G100,GosiCeiling)*GosiCoRate,(F100+G100)*0.02))</f>
        <v>0</v>
      </c>
      <c r="U100" s="91">
        <f>IF(B100="",0,IFERROR(IF(VLOOKUP(B100,'👥 بيانات الموظفين'!$B:$M,12,0)&lt;5,F100/24,F100/12),0))</f>
        <v>0</v>
      </c>
    </row>
    <row r="101" spans="1:21" ht="22.15" customHeight="1" x14ac:dyDescent="0.2">
      <c r="A101" s="53">
        <f t="shared" ref="A101:A132" si="15">IF(B101&lt;&gt;"",ROW()-4,"")</f>
        <v>97</v>
      </c>
      <c r="B101" s="53">
        <f>IFERROR('👥 بيانات الموظفين'!B101,"")</f>
        <v>0</v>
      </c>
      <c r="C101" s="53" t="str">
        <f>IFERROR(VLOOKUP(B101,'👥 بيانات الموظفين'!$B:$C,2,0),"")</f>
        <v/>
      </c>
      <c r="D101" s="53" t="str">
        <f>IFERROR(VLOOKUP(B101,'👥 بيانات الموظفين'!$B:$E,4,0),"")</f>
        <v/>
      </c>
      <c r="E101" s="68">
        <f>IF(B101="",0,IFERROR(COUNTIFS('📅 الحضور'!$B:$B,B101,'📅 الحضور'!$L:$L,PayPeriod,'📅 الحضور'!$E:$E,"حاضر")+COUNTIFS('📅 الحضور'!$B:$B,B101,'📅 الحضور'!$L:$L,PayPeriod,'📅 الحضور'!$E:$E,"متأخر"),0))</f>
        <v>0</v>
      </c>
      <c r="F101" s="82">
        <f>IFERROR(VLOOKUP(B101,'👥 بيانات الموظفين'!$B:$H,7,0),0)</f>
        <v>0</v>
      </c>
      <c r="G101" s="82">
        <f>IFERROR(VLOOKUP(B101,'👥 بيانات الموظفين'!$B:$I,8,0),0)</f>
        <v>0</v>
      </c>
      <c r="H101" s="82">
        <f>IFERROR(VLOOKUP(B101,'👥 بيانات الموظفين'!$B:$J,9,0),0)</f>
        <v>0</v>
      </c>
      <c r="I101" s="82">
        <f>IF(B101="",0,IFERROR(SUMIFS('➕ الخصومات والمكافآت'!$E:$E,'➕ الخصومات والمكافآت'!$B:$B,B101,'➕ الخصومات والمكافآت'!$F:$F,PayPeriod,'➕ الخصومات والمكافآت'!$C:$C,"مكافأة"),0))</f>
        <v>0</v>
      </c>
      <c r="J101" s="82">
        <f t="shared" ref="J101:J132" si="16">IF(B101="","",F101+G101+H101+I101+R101)</f>
        <v>0</v>
      </c>
      <c r="K101" s="82">
        <f>IF(B101="",0,IFERROR(COUNTIFS('📅 الحضور'!$B:$B,B101,'📅 الحضور'!$L:$L,PayPeriod,'📅 الحضور'!$E:$E,"غائب")*F101/WorkDaysMonth,0))</f>
        <v>0</v>
      </c>
      <c r="L101" s="82">
        <f>IF(B101="",0,IFERROR(SUMIFS('📅 الحضور'!$I:$I,'📅 الحضور'!$B:$B,B101,'📅 الحضور'!$L:$L,PayPeriod)/60/WorkHoursDay*F101/WorkDaysMonth,0))</f>
        <v>0</v>
      </c>
      <c r="M101" s="82">
        <f>IF(B101="",0,IFERROR(SUMIFS('➕ الخصومات والمكافآت'!$E:$E,'➕ الخصومات والمكافآت'!$B:$B,B101,'➕ الخصومات والمكافآت'!$F:$F,PayPeriod,'➕ الخصومات والمكافآت'!$C:$C,"خصم"),0))</f>
        <v>0</v>
      </c>
      <c r="N101" s="82">
        <f t="shared" ref="N101:N132" si="17">IF(B101="","",K101+L101+M101+S101)</f>
        <v>0</v>
      </c>
      <c r="O101" s="94">
        <f t="shared" ref="O101:O132" si="18">IF(B101="","",J101-N101)</f>
        <v>0</v>
      </c>
      <c r="P101" s="53"/>
      <c r="Q101" s="88">
        <f>IF(B101="",0,IFERROR(SUMIFS('📅 الحضور'!$J:$J,'📅 الحضور'!$B:$B,B101,'📅 الحضور'!$L:$L,PayPeriod),0))</f>
        <v>0</v>
      </c>
      <c r="R101" s="89">
        <f t="shared" ref="R101:R132" si="19">IF(B101="",0,IFERROR(Q101*(F101/WorkHoursMonth)*OTRateRegular,0))</f>
        <v>0</v>
      </c>
      <c r="S101" s="89">
        <f>IF(B101="",0,IF(IFERROR(VLOOKUP(B101,'👥 بيانات الموظفين'!$B:$D,3,0),"")="سعودي",MIN(F101+G101,GosiCeiling)*GosiEmpRate,IF(IFERROR(VLOOKUP(B101,'👥 بيانات الموظفين'!$B:$D,3,0),"")="سعودية",MIN(F101+G101,GosiCeiling)*GosiEmpRate,0)))</f>
        <v>0</v>
      </c>
      <c r="T101" s="89">
        <f>IF(B101="",0,IF(OR(IFERROR(VLOOKUP(B101,'👥 بيانات الموظفين'!$B:$D,3,0),"")="سعودي",IFERROR(VLOOKUP(B101,'👥 بيانات الموظفين'!$B:$D,3,0),"")="سعودية"),MIN(F101+G101,GosiCeiling)*GosiCoRate,(F101+G101)*0.02))</f>
        <v>0</v>
      </c>
      <c r="U101" s="89">
        <f>IF(B101="",0,IFERROR(IF(VLOOKUP(B101,'👥 بيانات الموظفين'!$B:$M,12,0)&lt;5,F101/24,F101/12),0))</f>
        <v>0</v>
      </c>
    </row>
    <row r="102" spans="1:21" ht="22.15" customHeight="1" x14ac:dyDescent="0.2">
      <c r="A102" s="57">
        <f t="shared" si="15"/>
        <v>98</v>
      </c>
      <c r="B102" s="57">
        <f>IFERROR('👥 بيانات الموظفين'!B102,"")</f>
        <v>0</v>
      </c>
      <c r="C102" s="57" t="str">
        <f>IFERROR(VLOOKUP(B102,'👥 بيانات الموظفين'!$B:$C,2,0),"")</f>
        <v/>
      </c>
      <c r="D102" s="57" t="str">
        <f>IFERROR(VLOOKUP(B102,'👥 بيانات الموظفين'!$B:$E,4,0),"")</f>
        <v/>
      </c>
      <c r="E102" s="69">
        <f>IF(B102="",0,IFERROR(COUNTIFS('📅 الحضور'!$B:$B,B102,'📅 الحضور'!$L:$L,PayPeriod,'📅 الحضور'!$E:$E,"حاضر")+COUNTIFS('📅 الحضور'!$B:$B,B102,'📅 الحضور'!$L:$L,PayPeriod,'📅 الحضور'!$E:$E,"متأخر"),0))</f>
        <v>0</v>
      </c>
      <c r="F102" s="83">
        <f>IFERROR(VLOOKUP(B102,'👥 بيانات الموظفين'!$B:$H,7,0),0)</f>
        <v>0</v>
      </c>
      <c r="G102" s="83">
        <f>IFERROR(VLOOKUP(B102,'👥 بيانات الموظفين'!$B:$I,8,0),0)</f>
        <v>0</v>
      </c>
      <c r="H102" s="83">
        <f>IFERROR(VLOOKUP(B102,'👥 بيانات الموظفين'!$B:$J,9,0),0)</f>
        <v>0</v>
      </c>
      <c r="I102" s="83">
        <f>IF(B102="",0,IFERROR(SUMIFS('➕ الخصومات والمكافآت'!$E:$E,'➕ الخصومات والمكافآت'!$B:$B,B102,'➕ الخصومات والمكافآت'!$F:$F,PayPeriod,'➕ الخصومات والمكافآت'!$C:$C,"مكافأة"),0))</f>
        <v>0</v>
      </c>
      <c r="J102" s="83">
        <f t="shared" si="16"/>
        <v>0</v>
      </c>
      <c r="K102" s="83">
        <f>IF(B102="",0,IFERROR(COUNTIFS('📅 الحضور'!$B:$B,B102,'📅 الحضور'!$L:$L,PayPeriod,'📅 الحضور'!$E:$E,"غائب")*F102/WorkDaysMonth,0))</f>
        <v>0</v>
      </c>
      <c r="L102" s="83">
        <f>IF(B102="",0,IFERROR(SUMIFS('📅 الحضور'!$I:$I,'📅 الحضور'!$B:$B,B102,'📅 الحضور'!$L:$L,PayPeriod)/60/WorkHoursDay*F102/WorkDaysMonth,0))</f>
        <v>0</v>
      </c>
      <c r="M102" s="83">
        <f>IF(B102="",0,IFERROR(SUMIFS('➕ الخصومات والمكافآت'!$E:$E,'➕ الخصومات والمكافآت'!$B:$B,B102,'➕ الخصومات والمكافآت'!$F:$F,PayPeriod,'➕ الخصومات والمكافآت'!$C:$C,"خصم"),0))</f>
        <v>0</v>
      </c>
      <c r="N102" s="83">
        <f t="shared" si="17"/>
        <v>0</v>
      </c>
      <c r="O102" s="95">
        <f t="shared" si="18"/>
        <v>0</v>
      </c>
      <c r="P102" s="57"/>
      <c r="Q102" s="90">
        <f>IF(B102="",0,IFERROR(SUMIFS('📅 الحضور'!$J:$J,'📅 الحضور'!$B:$B,B102,'📅 الحضور'!$L:$L,PayPeriod),0))</f>
        <v>0</v>
      </c>
      <c r="R102" s="91">
        <f t="shared" si="19"/>
        <v>0</v>
      </c>
      <c r="S102" s="91">
        <f>IF(B102="",0,IF(IFERROR(VLOOKUP(B102,'👥 بيانات الموظفين'!$B:$D,3,0),"")="سعودي",MIN(F102+G102,GosiCeiling)*GosiEmpRate,IF(IFERROR(VLOOKUP(B102,'👥 بيانات الموظفين'!$B:$D,3,0),"")="سعودية",MIN(F102+G102,GosiCeiling)*GosiEmpRate,0)))</f>
        <v>0</v>
      </c>
      <c r="T102" s="91">
        <f>IF(B102="",0,IF(OR(IFERROR(VLOOKUP(B102,'👥 بيانات الموظفين'!$B:$D,3,0),"")="سعودي",IFERROR(VLOOKUP(B102,'👥 بيانات الموظفين'!$B:$D,3,0),"")="سعودية"),MIN(F102+G102,GosiCeiling)*GosiCoRate,(F102+G102)*0.02))</f>
        <v>0</v>
      </c>
      <c r="U102" s="91">
        <f>IF(B102="",0,IFERROR(IF(VLOOKUP(B102,'👥 بيانات الموظفين'!$B:$M,12,0)&lt;5,F102/24,F102/12),0))</f>
        <v>0</v>
      </c>
    </row>
    <row r="103" spans="1:21" ht="22.15" customHeight="1" x14ac:dyDescent="0.2">
      <c r="A103" s="53">
        <f t="shared" si="15"/>
        <v>99</v>
      </c>
      <c r="B103" s="53">
        <f>IFERROR('👥 بيانات الموظفين'!B103,"")</f>
        <v>0</v>
      </c>
      <c r="C103" s="53" t="str">
        <f>IFERROR(VLOOKUP(B103,'👥 بيانات الموظفين'!$B:$C,2,0),"")</f>
        <v/>
      </c>
      <c r="D103" s="53" t="str">
        <f>IFERROR(VLOOKUP(B103,'👥 بيانات الموظفين'!$B:$E,4,0),"")</f>
        <v/>
      </c>
      <c r="E103" s="68">
        <f>IF(B103="",0,IFERROR(COUNTIFS('📅 الحضور'!$B:$B,B103,'📅 الحضور'!$L:$L,PayPeriod,'📅 الحضور'!$E:$E,"حاضر")+COUNTIFS('📅 الحضور'!$B:$B,B103,'📅 الحضور'!$L:$L,PayPeriod,'📅 الحضور'!$E:$E,"متأخر"),0))</f>
        <v>0</v>
      </c>
      <c r="F103" s="82">
        <f>IFERROR(VLOOKUP(B103,'👥 بيانات الموظفين'!$B:$H,7,0),0)</f>
        <v>0</v>
      </c>
      <c r="G103" s="82">
        <f>IFERROR(VLOOKUP(B103,'👥 بيانات الموظفين'!$B:$I,8,0),0)</f>
        <v>0</v>
      </c>
      <c r="H103" s="82">
        <f>IFERROR(VLOOKUP(B103,'👥 بيانات الموظفين'!$B:$J,9,0),0)</f>
        <v>0</v>
      </c>
      <c r="I103" s="82">
        <f>IF(B103="",0,IFERROR(SUMIFS('➕ الخصومات والمكافآت'!$E:$E,'➕ الخصومات والمكافآت'!$B:$B,B103,'➕ الخصومات والمكافآت'!$F:$F,PayPeriod,'➕ الخصومات والمكافآت'!$C:$C,"مكافأة"),0))</f>
        <v>0</v>
      </c>
      <c r="J103" s="82">
        <f t="shared" si="16"/>
        <v>0</v>
      </c>
      <c r="K103" s="82">
        <f>IF(B103="",0,IFERROR(COUNTIFS('📅 الحضور'!$B:$B,B103,'📅 الحضور'!$L:$L,PayPeriod,'📅 الحضور'!$E:$E,"غائب")*F103/WorkDaysMonth,0))</f>
        <v>0</v>
      </c>
      <c r="L103" s="82">
        <f>IF(B103="",0,IFERROR(SUMIFS('📅 الحضور'!$I:$I,'📅 الحضور'!$B:$B,B103,'📅 الحضور'!$L:$L,PayPeriod)/60/WorkHoursDay*F103/WorkDaysMonth,0))</f>
        <v>0</v>
      </c>
      <c r="M103" s="82">
        <f>IF(B103="",0,IFERROR(SUMIFS('➕ الخصومات والمكافآت'!$E:$E,'➕ الخصومات والمكافآت'!$B:$B,B103,'➕ الخصومات والمكافآت'!$F:$F,PayPeriod,'➕ الخصومات والمكافآت'!$C:$C,"خصم"),0))</f>
        <v>0</v>
      </c>
      <c r="N103" s="82">
        <f t="shared" si="17"/>
        <v>0</v>
      </c>
      <c r="O103" s="94">
        <f t="shared" si="18"/>
        <v>0</v>
      </c>
      <c r="P103" s="53"/>
      <c r="Q103" s="88">
        <f>IF(B103="",0,IFERROR(SUMIFS('📅 الحضور'!$J:$J,'📅 الحضور'!$B:$B,B103,'📅 الحضور'!$L:$L,PayPeriod),0))</f>
        <v>0</v>
      </c>
      <c r="R103" s="89">
        <f t="shared" si="19"/>
        <v>0</v>
      </c>
      <c r="S103" s="89">
        <f>IF(B103="",0,IF(IFERROR(VLOOKUP(B103,'👥 بيانات الموظفين'!$B:$D,3,0),"")="سعودي",MIN(F103+G103,GosiCeiling)*GosiEmpRate,IF(IFERROR(VLOOKUP(B103,'👥 بيانات الموظفين'!$B:$D,3,0),"")="سعودية",MIN(F103+G103,GosiCeiling)*GosiEmpRate,0)))</f>
        <v>0</v>
      </c>
      <c r="T103" s="89">
        <f>IF(B103="",0,IF(OR(IFERROR(VLOOKUP(B103,'👥 بيانات الموظفين'!$B:$D,3,0),"")="سعودي",IFERROR(VLOOKUP(B103,'👥 بيانات الموظفين'!$B:$D,3,0),"")="سعودية"),MIN(F103+G103,GosiCeiling)*GosiCoRate,(F103+G103)*0.02))</f>
        <v>0</v>
      </c>
      <c r="U103" s="89">
        <f>IF(B103="",0,IFERROR(IF(VLOOKUP(B103,'👥 بيانات الموظفين'!$B:$M,12,0)&lt;5,F103/24,F103/12),0))</f>
        <v>0</v>
      </c>
    </row>
    <row r="104" spans="1:21" ht="22.15" customHeight="1" x14ac:dyDescent="0.2">
      <c r="A104" s="57">
        <f t="shared" si="15"/>
        <v>100</v>
      </c>
      <c r="B104" s="57">
        <f>IFERROR('👥 بيانات الموظفين'!B104,"")</f>
        <v>0</v>
      </c>
      <c r="C104" s="57" t="str">
        <f>IFERROR(VLOOKUP(B104,'👥 بيانات الموظفين'!$B:$C,2,0),"")</f>
        <v/>
      </c>
      <c r="D104" s="57" t="str">
        <f>IFERROR(VLOOKUP(B104,'👥 بيانات الموظفين'!$B:$E,4,0),"")</f>
        <v/>
      </c>
      <c r="E104" s="69">
        <f>IF(B104="",0,IFERROR(COUNTIFS('📅 الحضور'!$B:$B,B104,'📅 الحضور'!$L:$L,PayPeriod,'📅 الحضور'!$E:$E,"حاضر")+COUNTIFS('📅 الحضور'!$B:$B,B104,'📅 الحضور'!$L:$L,PayPeriod,'📅 الحضور'!$E:$E,"متأخر"),0))</f>
        <v>0</v>
      </c>
      <c r="F104" s="83">
        <f>IFERROR(VLOOKUP(B104,'👥 بيانات الموظفين'!$B:$H,7,0),0)</f>
        <v>0</v>
      </c>
      <c r="G104" s="83">
        <f>IFERROR(VLOOKUP(B104,'👥 بيانات الموظفين'!$B:$I,8,0),0)</f>
        <v>0</v>
      </c>
      <c r="H104" s="83">
        <f>IFERROR(VLOOKUP(B104,'👥 بيانات الموظفين'!$B:$J,9,0),0)</f>
        <v>0</v>
      </c>
      <c r="I104" s="83">
        <f>IF(B104="",0,IFERROR(SUMIFS('➕ الخصومات والمكافآت'!$E:$E,'➕ الخصومات والمكافآت'!$B:$B,B104,'➕ الخصومات والمكافآت'!$F:$F,PayPeriod,'➕ الخصومات والمكافآت'!$C:$C,"مكافأة"),0))</f>
        <v>0</v>
      </c>
      <c r="J104" s="83">
        <f t="shared" si="16"/>
        <v>0</v>
      </c>
      <c r="K104" s="83">
        <f>IF(B104="",0,IFERROR(COUNTIFS('📅 الحضور'!$B:$B,B104,'📅 الحضور'!$L:$L,PayPeriod,'📅 الحضور'!$E:$E,"غائب")*F104/WorkDaysMonth,0))</f>
        <v>0</v>
      </c>
      <c r="L104" s="83">
        <f>IF(B104="",0,IFERROR(SUMIFS('📅 الحضور'!$I:$I,'📅 الحضور'!$B:$B,B104,'📅 الحضور'!$L:$L,PayPeriod)/60/WorkHoursDay*F104/WorkDaysMonth,0))</f>
        <v>0</v>
      </c>
      <c r="M104" s="83">
        <f>IF(B104="",0,IFERROR(SUMIFS('➕ الخصومات والمكافآت'!$E:$E,'➕ الخصومات والمكافآت'!$B:$B,B104,'➕ الخصومات والمكافآت'!$F:$F,PayPeriod,'➕ الخصومات والمكافآت'!$C:$C,"خصم"),0))</f>
        <v>0</v>
      </c>
      <c r="N104" s="83">
        <f t="shared" si="17"/>
        <v>0</v>
      </c>
      <c r="O104" s="95">
        <f t="shared" si="18"/>
        <v>0</v>
      </c>
      <c r="P104" s="57"/>
      <c r="Q104" s="90">
        <f>IF(B104="",0,IFERROR(SUMIFS('📅 الحضور'!$J:$J,'📅 الحضور'!$B:$B,B104,'📅 الحضور'!$L:$L,PayPeriod),0))</f>
        <v>0</v>
      </c>
      <c r="R104" s="91">
        <f t="shared" si="19"/>
        <v>0</v>
      </c>
      <c r="S104" s="91">
        <f>IF(B104="",0,IF(IFERROR(VLOOKUP(B104,'👥 بيانات الموظفين'!$B:$D,3,0),"")="سعودي",MIN(F104+G104,GosiCeiling)*GosiEmpRate,IF(IFERROR(VLOOKUP(B104,'👥 بيانات الموظفين'!$B:$D,3,0),"")="سعودية",MIN(F104+G104,GosiCeiling)*GosiEmpRate,0)))</f>
        <v>0</v>
      </c>
      <c r="T104" s="91">
        <f>IF(B104="",0,IF(OR(IFERROR(VLOOKUP(B104,'👥 بيانات الموظفين'!$B:$D,3,0),"")="سعودي",IFERROR(VLOOKUP(B104,'👥 بيانات الموظفين'!$B:$D,3,0),"")="سعودية"),MIN(F104+G104,GosiCeiling)*GosiCoRate,(F104+G104)*0.02))</f>
        <v>0</v>
      </c>
      <c r="U104" s="91">
        <f>IF(B104="",0,IFERROR(IF(VLOOKUP(B104,'👥 بيانات الموظفين'!$B:$M,12,0)&lt;5,F104/24,F104/12),0))</f>
        <v>0</v>
      </c>
    </row>
    <row r="105" spans="1:21" ht="22.15" customHeight="1" x14ac:dyDescent="0.2">
      <c r="A105" s="53">
        <f t="shared" si="15"/>
        <v>101</v>
      </c>
      <c r="B105" s="53">
        <f>IFERROR('👥 بيانات الموظفين'!B105,"")</f>
        <v>0</v>
      </c>
      <c r="C105" s="53" t="str">
        <f>IFERROR(VLOOKUP(B105,'👥 بيانات الموظفين'!$B:$C,2,0),"")</f>
        <v/>
      </c>
      <c r="D105" s="53" t="str">
        <f>IFERROR(VLOOKUP(B105,'👥 بيانات الموظفين'!$B:$E,4,0),"")</f>
        <v/>
      </c>
      <c r="E105" s="68">
        <f>IF(B105="",0,IFERROR(COUNTIFS('📅 الحضور'!$B:$B,B105,'📅 الحضور'!$L:$L,PayPeriod,'📅 الحضور'!$E:$E,"حاضر")+COUNTIFS('📅 الحضور'!$B:$B,B105,'📅 الحضور'!$L:$L,PayPeriod,'📅 الحضور'!$E:$E,"متأخر"),0))</f>
        <v>0</v>
      </c>
      <c r="F105" s="82">
        <f>IFERROR(VLOOKUP(B105,'👥 بيانات الموظفين'!$B:$H,7,0),0)</f>
        <v>0</v>
      </c>
      <c r="G105" s="82">
        <f>IFERROR(VLOOKUP(B105,'👥 بيانات الموظفين'!$B:$I,8,0),0)</f>
        <v>0</v>
      </c>
      <c r="H105" s="82">
        <f>IFERROR(VLOOKUP(B105,'👥 بيانات الموظفين'!$B:$J,9,0),0)</f>
        <v>0</v>
      </c>
      <c r="I105" s="82">
        <f>IF(B105="",0,IFERROR(SUMIFS('➕ الخصومات والمكافآت'!$E:$E,'➕ الخصومات والمكافآت'!$B:$B,B105,'➕ الخصومات والمكافآت'!$F:$F,PayPeriod,'➕ الخصومات والمكافآت'!$C:$C,"مكافأة"),0))</f>
        <v>0</v>
      </c>
      <c r="J105" s="82">
        <f t="shared" si="16"/>
        <v>0</v>
      </c>
      <c r="K105" s="82">
        <f>IF(B105="",0,IFERROR(COUNTIFS('📅 الحضور'!$B:$B,B105,'📅 الحضور'!$L:$L,PayPeriod,'📅 الحضور'!$E:$E,"غائب")*F105/WorkDaysMonth,0))</f>
        <v>0</v>
      </c>
      <c r="L105" s="82">
        <f>IF(B105="",0,IFERROR(SUMIFS('📅 الحضور'!$I:$I,'📅 الحضور'!$B:$B,B105,'📅 الحضور'!$L:$L,PayPeriod)/60/WorkHoursDay*F105/WorkDaysMonth,0))</f>
        <v>0</v>
      </c>
      <c r="M105" s="82">
        <f>IF(B105="",0,IFERROR(SUMIFS('➕ الخصومات والمكافآت'!$E:$E,'➕ الخصومات والمكافآت'!$B:$B,B105,'➕ الخصومات والمكافآت'!$F:$F,PayPeriod,'➕ الخصومات والمكافآت'!$C:$C,"خصم"),0))</f>
        <v>0</v>
      </c>
      <c r="N105" s="82">
        <f t="shared" si="17"/>
        <v>0</v>
      </c>
      <c r="O105" s="94">
        <f t="shared" si="18"/>
        <v>0</v>
      </c>
      <c r="P105" s="53"/>
      <c r="Q105" s="88">
        <f>IF(B105="",0,IFERROR(SUMIFS('📅 الحضور'!$J:$J,'📅 الحضور'!$B:$B,B105,'📅 الحضور'!$L:$L,PayPeriod),0))</f>
        <v>0</v>
      </c>
      <c r="R105" s="89">
        <f t="shared" si="19"/>
        <v>0</v>
      </c>
      <c r="S105" s="89">
        <f>IF(B105="",0,IF(IFERROR(VLOOKUP(B105,'👥 بيانات الموظفين'!$B:$D,3,0),"")="سعودي",MIN(F105+G105,GosiCeiling)*GosiEmpRate,IF(IFERROR(VLOOKUP(B105,'👥 بيانات الموظفين'!$B:$D,3,0),"")="سعودية",MIN(F105+G105,GosiCeiling)*GosiEmpRate,0)))</f>
        <v>0</v>
      </c>
      <c r="T105" s="89">
        <f>IF(B105="",0,IF(OR(IFERROR(VLOOKUP(B105,'👥 بيانات الموظفين'!$B:$D,3,0),"")="سعودي",IFERROR(VLOOKUP(B105,'👥 بيانات الموظفين'!$B:$D,3,0),"")="سعودية"),MIN(F105+G105,GosiCeiling)*GosiCoRate,(F105+G105)*0.02))</f>
        <v>0</v>
      </c>
      <c r="U105" s="89">
        <f>IF(B105="",0,IFERROR(IF(VLOOKUP(B105,'👥 بيانات الموظفين'!$B:$M,12,0)&lt;5,F105/24,F105/12),0))</f>
        <v>0</v>
      </c>
    </row>
    <row r="106" spans="1:21" ht="22.15" customHeight="1" x14ac:dyDescent="0.2">
      <c r="A106" s="57">
        <f t="shared" si="15"/>
        <v>102</v>
      </c>
      <c r="B106" s="57">
        <f>IFERROR('👥 بيانات الموظفين'!B106,"")</f>
        <v>0</v>
      </c>
      <c r="C106" s="57" t="str">
        <f>IFERROR(VLOOKUP(B106,'👥 بيانات الموظفين'!$B:$C,2,0),"")</f>
        <v/>
      </c>
      <c r="D106" s="57" t="str">
        <f>IFERROR(VLOOKUP(B106,'👥 بيانات الموظفين'!$B:$E,4,0),"")</f>
        <v/>
      </c>
      <c r="E106" s="69">
        <f>IF(B106="",0,IFERROR(COUNTIFS('📅 الحضور'!$B:$B,B106,'📅 الحضور'!$L:$L,PayPeriod,'📅 الحضور'!$E:$E,"حاضر")+COUNTIFS('📅 الحضور'!$B:$B,B106,'📅 الحضور'!$L:$L,PayPeriod,'📅 الحضور'!$E:$E,"متأخر"),0))</f>
        <v>0</v>
      </c>
      <c r="F106" s="83">
        <f>IFERROR(VLOOKUP(B106,'👥 بيانات الموظفين'!$B:$H,7,0),0)</f>
        <v>0</v>
      </c>
      <c r="G106" s="83">
        <f>IFERROR(VLOOKUP(B106,'👥 بيانات الموظفين'!$B:$I,8,0),0)</f>
        <v>0</v>
      </c>
      <c r="H106" s="83">
        <f>IFERROR(VLOOKUP(B106,'👥 بيانات الموظفين'!$B:$J,9,0),0)</f>
        <v>0</v>
      </c>
      <c r="I106" s="83">
        <f>IF(B106="",0,IFERROR(SUMIFS('➕ الخصومات والمكافآت'!$E:$E,'➕ الخصومات والمكافآت'!$B:$B,B106,'➕ الخصومات والمكافآت'!$F:$F,PayPeriod,'➕ الخصومات والمكافآت'!$C:$C,"مكافأة"),0))</f>
        <v>0</v>
      </c>
      <c r="J106" s="83">
        <f t="shared" si="16"/>
        <v>0</v>
      </c>
      <c r="K106" s="83">
        <f>IF(B106="",0,IFERROR(COUNTIFS('📅 الحضور'!$B:$B,B106,'📅 الحضور'!$L:$L,PayPeriod,'📅 الحضور'!$E:$E,"غائب")*F106/WorkDaysMonth,0))</f>
        <v>0</v>
      </c>
      <c r="L106" s="83">
        <f>IF(B106="",0,IFERROR(SUMIFS('📅 الحضور'!$I:$I,'📅 الحضور'!$B:$B,B106,'📅 الحضور'!$L:$L,PayPeriod)/60/WorkHoursDay*F106/WorkDaysMonth,0))</f>
        <v>0</v>
      </c>
      <c r="M106" s="83">
        <f>IF(B106="",0,IFERROR(SUMIFS('➕ الخصومات والمكافآت'!$E:$E,'➕ الخصومات والمكافآت'!$B:$B,B106,'➕ الخصومات والمكافآت'!$F:$F,PayPeriod,'➕ الخصومات والمكافآت'!$C:$C,"خصم"),0))</f>
        <v>0</v>
      </c>
      <c r="N106" s="83">
        <f t="shared" si="17"/>
        <v>0</v>
      </c>
      <c r="O106" s="95">
        <f t="shared" si="18"/>
        <v>0</v>
      </c>
      <c r="P106" s="57"/>
      <c r="Q106" s="90">
        <f>IF(B106="",0,IFERROR(SUMIFS('📅 الحضور'!$J:$J,'📅 الحضور'!$B:$B,B106,'📅 الحضور'!$L:$L,PayPeriod),0))</f>
        <v>0</v>
      </c>
      <c r="R106" s="91">
        <f t="shared" si="19"/>
        <v>0</v>
      </c>
      <c r="S106" s="91">
        <f>IF(B106="",0,IF(IFERROR(VLOOKUP(B106,'👥 بيانات الموظفين'!$B:$D,3,0),"")="سعودي",MIN(F106+G106,GosiCeiling)*GosiEmpRate,IF(IFERROR(VLOOKUP(B106,'👥 بيانات الموظفين'!$B:$D,3,0),"")="سعودية",MIN(F106+G106,GosiCeiling)*GosiEmpRate,0)))</f>
        <v>0</v>
      </c>
      <c r="T106" s="91">
        <f>IF(B106="",0,IF(OR(IFERROR(VLOOKUP(B106,'👥 بيانات الموظفين'!$B:$D,3,0),"")="سعودي",IFERROR(VLOOKUP(B106,'👥 بيانات الموظفين'!$B:$D,3,0),"")="سعودية"),MIN(F106+G106,GosiCeiling)*GosiCoRate,(F106+G106)*0.02))</f>
        <v>0</v>
      </c>
      <c r="U106" s="91">
        <f>IF(B106="",0,IFERROR(IF(VLOOKUP(B106,'👥 بيانات الموظفين'!$B:$M,12,0)&lt;5,F106/24,F106/12),0))</f>
        <v>0</v>
      </c>
    </row>
    <row r="107" spans="1:21" ht="22.15" customHeight="1" x14ac:dyDescent="0.2">
      <c r="A107" s="53">
        <f t="shared" si="15"/>
        <v>103</v>
      </c>
      <c r="B107" s="53">
        <f>IFERROR('👥 بيانات الموظفين'!B107,"")</f>
        <v>0</v>
      </c>
      <c r="C107" s="53" t="str">
        <f>IFERROR(VLOOKUP(B107,'👥 بيانات الموظفين'!$B:$C,2,0),"")</f>
        <v/>
      </c>
      <c r="D107" s="53" t="str">
        <f>IFERROR(VLOOKUP(B107,'👥 بيانات الموظفين'!$B:$E,4,0),"")</f>
        <v/>
      </c>
      <c r="E107" s="68">
        <f>IF(B107="",0,IFERROR(COUNTIFS('📅 الحضور'!$B:$B,B107,'📅 الحضور'!$L:$L,PayPeriod,'📅 الحضور'!$E:$E,"حاضر")+COUNTIFS('📅 الحضور'!$B:$B,B107,'📅 الحضور'!$L:$L,PayPeriod,'📅 الحضور'!$E:$E,"متأخر"),0))</f>
        <v>0</v>
      </c>
      <c r="F107" s="82">
        <f>IFERROR(VLOOKUP(B107,'👥 بيانات الموظفين'!$B:$H,7,0),0)</f>
        <v>0</v>
      </c>
      <c r="G107" s="82">
        <f>IFERROR(VLOOKUP(B107,'👥 بيانات الموظفين'!$B:$I,8,0),0)</f>
        <v>0</v>
      </c>
      <c r="H107" s="82">
        <f>IFERROR(VLOOKUP(B107,'👥 بيانات الموظفين'!$B:$J,9,0),0)</f>
        <v>0</v>
      </c>
      <c r="I107" s="82">
        <f>IF(B107="",0,IFERROR(SUMIFS('➕ الخصومات والمكافآت'!$E:$E,'➕ الخصومات والمكافآت'!$B:$B,B107,'➕ الخصومات والمكافآت'!$F:$F,PayPeriod,'➕ الخصومات والمكافآت'!$C:$C,"مكافأة"),0))</f>
        <v>0</v>
      </c>
      <c r="J107" s="82">
        <f t="shared" si="16"/>
        <v>0</v>
      </c>
      <c r="K107" s="82">
        <f>IF(B107="",0,IFERROR(COUNTIFS('📅 الحضور'!$B:$B,B107,'📅 الحضور'!$L:$L,PayPeriod,'📅 الحضور'!$E:$E,"غائب")*F107/WorkDaysMonth,0))</f>
        <v>0</v>
      </c>
      <c r="L107" s="82">
        <f>IF(B107="",0,IFERROR(SUMIFS('📅 الحضور'!$I:$I,'📅 الحضور'!$B:$B,B107,'📅 الحضور'!$L:$L,PayPeriod)/60/WorkHoursDay*F107/WorkDaysMonth,0))</f>
        <v>0</v>
      </c>
      <c r="M107" s="82">
        <f>IF(B107="",0,IFERROR(SUMIFS('➕ الخصومات والمكافآت'!$E:$E,'➕ الخصومات والمكافآت'!$B:$B,B107,'➕ الخصومات والمكافآت'!$F:$F,PayPeriod,'➕ الخصومات والمكافآت'!$C:$C,"خصم"),0))</f>
        <v>0</v>
      </c>
      <c r="N107" s="82">
        <f t="shared" si="17"/>
        <v>0</v>
      </c>
      <c r="O107" s="94">
        <f t="shared" si="18"/>
        <v>0</v>
      </c>
      <c r="P107" s="53"/>
      <c r="Q107" s="88">
        <f>IF(B107="",0,IFERROR(SUMIFS('📅 الحضور'!$J:$J,'📅 الحضور'!$B:$B,B107,'📅 الحضور'!$L:$L,PayPeriod),0))</f>
        <v>0</v>
      </c>
      <c r="R107" s="89">
        <f t="shared" si="19"/>
        <v>0</v>
      </c>
      <c r="S107" s="89">
        <f>IF(B107="",0,IF(IFERROR(VLOOKUP(B107,'👥 بيانات الموظفين'!$B:$D,3,0),"")="سعودي",MIN(F107+G107,GosiCeiling)*GosiEmpRate,IF(IFERROR(VLOOKUP(B107,'👥 بيانات الموظفين'!$B:$D,3,0),"")="سعودية",MIN(F107+G107,GosiCeiling)*GosiEmpRate,0)))</f>
        <v>0</v>
      </c>
      <c r="T107" s="89">
        <f>IF(B107="",0,IF(OR(IFERROR(VLOOKUP(B107,'👥 بيانات الموظفين'!$B:$D,3,0),"")="سعودي",IFERROR(VLOOKUP(B107,'👥 بيانات الموظفين'!$B:$D,3,0),"")="سعودية"),MIN(F107+G107,GosiCeiling)*GosiCoRate,(F107+G107)*0.02))</f>
        <v>0</v>
      </c>
      <c r="U107" s="89">
        <f>IF(B107="",0,IFERROR(IF(VLOOKUP(B107,'👥 بيانات الموظفين'!$B:$M,12,0)&lt;5,F107/24,F107/12),0))</f>
        <v>0</v>
      </c>
    </row>
    <row r="108" spans="1:21" ht="22.15" customHeight="1" x14ac:dyDescent="0.2">
      <c r="A108" s="57">
        <f t="shared" si="15"/>
        <v>104</v>
      </c>
      <c r="B108" s="57">
        <f>IFERROR('👥 بيانات الموظفين'!B108,"")</f>
        <v>0</v>
      </c>
      <c r="C108" s="57" t="str">
        <f>IFERROR(VLOOKUP(B108,'👥 بيانات الموظفين'!$B:$C,2,0),"")</f>
        <v/>
      </c>
      <c r="D108" s="57" t="str">
        <f>IFERROR(VLOOKUP(B108,'👥 بيانات الموظفين'!$B:$E,4,0),"")</f>
        <v/>
      </c>
      <c r="E108" s="69">
        <f>IF(B108="",0,IFERROR(COUNTIFS('📅 الحضور'!$B:$B,B108,'📅 الحضور'!$L:$L,PayPeriod,'📅 الحضور'!$E:$E,"حاضر")+COUNTIFS('📅 الحضور'!$B:$B,B108,'📅 الحضور'!$L:$L,PayPeriod,'📅 الحضور'!$E:$E,"متأخر"),0))</f>
        <v>0</v>
      </c>
      <c r="F108" s="83">
        <f>IFERROR(VLOOKUP(B108,'👥 بيانات الموظفين'!$B:$H,7,0),0)</f>
        <v>0</v>
      </c>
      <c r="G108" s="83">
        <f>IFERROR(VLOOKUP(B108,'👥 بيانات الموظفين'!$B:$I,8,0),0)</f>
        <v>0</v>
      </c>
      <c r="H108" s="83">
        <f>IFERROR(VLOOKUP(B108,'👥 بيانات الموظفين'!$B:$J,9,0),0)</f>
        <v>0</v>
      </c>
      <c r="I108" s="83">
        <f>IF(B108="",0,IFERROR(SUMIFS('➕ الخصومات والمكافآت'!$E:$E,'➕ الخصومات والمكافآت'!$B:$B,B108,'➕ الخصومات والمكافآت'!$F:$F,PayPeriod,'➕ الخصومات والمكافآت'!$C:$C,"مكافأة"),0))</f>
        <v>0</v>
      </c>
      <c r="J108" s="83">
        <f t="shared" si="16"/>
        <v>0</v>
      </c>
      <c r="K108" s="83">
        <f>IF(B108="",0,IFERROR(COUNTIFS('📅 الحضور'!$B:$B,B108,'📅 الحضور'!$L:$L,PayPeriod,'📅 الحضور'!$E:$E,"غائب")*F108/WorkDaysMonth,0))</f>
        <v>0</v>
      </c>
      <c r="L108" s="83">
        <f>IF(B108="",0,IFERROR(SUMIFS('📅 الحضور'!$I:$I,'📅 الحضور'!$B:$B,B108,'📅 الحضور'!$L:$L,PayPeriod)/60/WorkHoursDay*F108/WorkDaysMonth,0))</f>
        <v>0</v>
      </c>
      <c r="M108" s="83">
        <f>IF(B108="",0,IFERROR(SUMIFS('➕ الخصومات والمكافآت'!$E:$E,'➕ الخصومات والمكافآت'!$B:$B,B108,'➕ الخصومات والمكافآت'!$F:$F,PayPeriod,'➕ الخصومات والمكافآت'!$C:$C,"خصم"),0))</f>
        <v>0</v>
      </c>
      <c r="N108" s="83">
        <f t="shared" si="17"/>
        <v>0</v>
      </c>
      <c r="O108" s="95">
        <f t="shared" si="18"/>
        <v>0</v>
      </c>
      <c r="P108" s="57"/>
      <c r="Q108" s="90">
        <f>IF(B108="",0,IFERROR(SUMIFS('📅 الحضور'!$J:$J,'📅 الحضور'!$B:$B,B108,'📅 الحضور'!$L:$L,PayPeriod),0))</f>
        <v>0</v>
      </c>
      <c r="R108" s="91">
        <f t="shared" si="19"/>
        <v>0</v>
      </c>
      <c r="S108" s="91">
        <f>IF(B108="",0,IF(IFERROR(VLOOKUP(B108,'👥 بيانات الموظفين'!$B:$D,3,0),"")="سعودي",MIN(F108+G108,GosiCeiling)*GosiEmpRate,IF(IFERROR(VLOOKUP(B108,'👥 بيانات الموظفين'!$B:$D,3,0),"")="سعودية",MIN(F108+G108,GosiCeiling)*GosiEmpRate,0)))</f>
        <v>0</v>
      </c>
      <c r="T108" s="91">
        <f>IF(B108="",0,IF(OR(IFERROR(VLOOKUP(B108,'👥 بيانات الموظفين'!$B:$D,3,0),"")="سعودي",IFERROR(VLOOKUP(B108,'👥 بيانات الموظفين'!$B:$D,3,0),"")="سعودية"),MIN(F108+G108,GosiCeiling)*GosiCoRate,(F108+G108)*0.02))</f>
        <v>0</v>
      </c>
      <c r="U108" s="91">
        <f>IF(B108="",0,IFERROR(IF(VLOOKUP(B108,'👥 بيانات الموظفين'!$B:$M,12,0)&lt;5,F108/24,F108/12),0))</f>
        <v>0</v>
      </c>
    </row>
    <row r="109" spans="1:21" ht="22.15" customHeight="1" x14ac:dyDescent="0.2">
      <c r="A109" s="53">
        <f t="shared" si="15"/>
        <v>105</v>
      </c>
      <c r="B109" s="53">
        <f>IFERROR('👥 بيانات الموظفين'!B109,"")</f>
        <v>0</v>
      </c>
      <c r="C109" s="53" t="str">
        <f>IFERROR(VLOOKUP(B109,'👥 بيانات الموظفين'!$B:$C,2,0),"")</f>
        <v/>
      </c>
      <c r="D109" s="53" t="str">
        <f>IFERROR(VLOOKUP(B109,'👥 بيانات الموظفين'!$B:$E,4,0),"")</f>
        <v/>
      </c>
      <c r="E109" s="68">
        <f>IF(B109="",0,IFERROR(COUNTIFS('📅 الحضور'!$B:$B,B109,'📅 الحضور'!$L:$L,PayPeriod,'📅 الحضور'!$E:$E,"حاضر")+COUNTIFS('📅 الحضور'!$B:$B,B109,'📅 الحضور'!$L:$L,PayPeriod,'📅 الحضور'!$E:$E,"متأخر"),0))</f>
        <v>0</v>
      </c>
      <c r="F109" s="82">
        <f>IFERROR(VLOOKUP(B109,'👥 بيانات الموظفين'!$B:$H,7,0),0)</f>
        <v>0</v>
      </c>
      <c r="G109" s="82">
        <f>IFERROR(VLOOKUP(B109,'👥 بيانات الموظفين'!$B:$I,8,0),0)</f>
        <v>0</v>
      </c>
      <c r="H109" s="82">
        <f>IFERROR(VLOOKUP(B109,'👥 بيانات الموظفين'!$B:$J,9,0),0)</f>
        <v>0</v>
      </c>
      <c r="I109" s="82">
        <f>IF(B109="",0,IFERROR(SUMIFS('➕ الخصومات والمكافآت'!$E:$E,'➕ الخصومات والمكافآت'!$B:$B,B109,'➕ الخصومات والمكافآت'!$F:$F,PayPeriod,'➕ الخصومات والمكافآت'!$C:$C,"مكافأة"),0))</f>
        <v>0</v>
      </c>
      <c r="J109" s="82">
        <f t="shared" si="16"/>
        <v>0</v>
      </c>
      <c r="K109" s="82">
        <f>IF(B109="",0,IFERROR(COUNTIFS('📅 الحضور'!$B:$B,B109,'📅 الحضور'!$L:$L,PayPeriod,'📅 الحضور'!$E:$E,"غائب")*F109/WorkDaysMonth,0))</f>
        <v>0</v>
      </c>
      <c r="L109" s="82">
        <f>IF(B109="",0,IFERROR(SUMIFS('📅 الحضور'!$I:$I,'📅 الحضور'!$B:$B,B109,'📅 الحضور'!$L:$L,PayPeriod)/60/WorkHoursDay*F109/WorkDaysMonth,0))</f>
        <v>0</v>
      </c>
      <c r="M109" s="82">
        <f>IF(B109="",0,IFERROR(SUMIFS('➕ الخصومات والمكافآت'!$E:$E,'➕ الخصومات والمكافآت'!$B:$B,B109,'➕ الخصومات والمكافآت'!$F:$F,PayPeriod,'➕ الخصومات والمكافآت'!$C:$C,"خصم"),0))</f>
        <v>0</v>
      </c>
      <c r="N109" s="82">
        <f t="shared" si="17"/>
        <v>0</v>
      </c>
      <c r="O109" s="94">
        <f t="shared" si="18"/>
        <v>0</v>
      </c>
      <c r="P109" s="53"/>
      <c r="Q109" s="88">
        <f>IF(B109="",0,IFERROR(SUMIFS('📅 الحضور'!$J:$J,'📅 الحضور'!$B:$B,B109,'📅 الحضور'!$L:$L,PayPeriod),0))</f>
        <v>0</v>
      </c>
      <c r="R109" s="89">
        <f t="shared" si="19"/>
        <v>0</v>
      </c>
      <c r="S109" s="89">
        <f>IF(B109="",0,IF(IFERROR(VLOOKUP(B109,'👥 بيانات الموظفين'!$B:$D,3,0),"")="سعودي",MIN(F109+G109,GosiCeiling)*GosiEmpRate,IF(IFERROR(VLOOKUP(B109,'👥 بيانات الموظفين'!$B:$D,3,0),"")="سعودية",MIN(F109+G109,GosiCeiling)*GosiEmpRate,0)))</f>
        <v>0</v>
      </c>
      <c r="T109" s="89">
        <f>IF(B109="",0,IF(OR(IFERROR(VLOOKUP(B109,'👥 بيانات الموظفين'!$B:$D,3,0),"")="سعودي",IFERROR(VLOOKUP(B109,'👥 بيانات الموظفين'!$B:$D,3,0),"")="سعودية"),MIN(F109+G109,GosiCeiling)*GosiCoRate,(F109+G109)*0.02))</f>
        <v>0</v>
      </c>
      <c r="U109" s="89">
        <f>IF(B109="",0,IFERROR(IF(VLOOKUP(B109,'👥 بيانات الموظفين'!$B:$M,12,0)&lt;5,F109/24,F109/12),0))</f>
        <v>0</v>
      </c>
    </row>
    <row r="110" spans="1:21" ht="22.15" customHeight="1" x14ac:dyDescent="0.2">
      <c r="A110" s="57">
        <f t="shared" si="15"/>
        <v>106</v>
      </c>
      <c r="B110" s="57">
        <f>IFERROR('👥 بيانات الموظفين'!B110,"")</f>
        <v>0</v>
      </c>
      <c r="C110" s="57" t="str">
        <f>IFERROR(VLOOKUP(B110,'👥 بيانات الموظفين'!$B:$C,2,0),"")</f>
        <v/>
      </c>
      <c r="D110" s="57" t="str">
        <f>IFERROR(VLOOKUP(B110,'👥 بيانات الموظفين'!$B:$E,4,0),"")</f>
        <v/>
      </c>
      <c r="E110" s="69">
        <f>IF(B110="",0,IFERROR(COUNTIFS('📅 الحضور'!$B:$B,B110,'📅 الحضور'!$L:$L,PayPeriod,'📅 الحضور'!$E:$E,"حاضر")+COUNTIFS('📅 الحضور'!$B:$B,B110,'📅 الحضور'!$L:$L,PayPeriod,'📅 الحضور'!$E:$E,"متأخر"),0))</f>
        <v>0</v>
      </c>
      <c r="F110" s="83">
        <f>IFERROR(VLOOKUP(B110,'👥 بيانات الموظفين'!$B:$H,7,0),0)</f>
        <v>0</v>
      </c>
      <c r="G110" s="83">
        <f>IFERROR(VLOOKUP(B110,'👥 بيانات الموظفين'!$B:$I,8,0),0)</f>
        <v>0</v>
      </c>
      <c r="H110" s="83">
        <f>IFERROR(VLOOKUP(B110,'👥 بيانات الموظفين'!$B:$J,9,0),0)</f>
        <v>0</v>
      </c>
      <c r="I110" s="83">
        <f>IF(B110="",0,IFERROR(SUMIFS('➕ الخصومات والمكافآت'!$E:$E,'➕ الخصومات والمكافآت'!$B:$B,B110,'➕ الخصومات والمكافآت'!$F:$F,PayPeriod,'➕ الخصومات والمكافآت'!$C:$C,"مكافأة"),0))</f>
        <v>0</v>
      </c>
      <c r="J110" s="83">
        <f t="shared" si="16"/>
        <v>0</v>
      </c>
      <c r="K110" s="83">
        <f>IF(B110="",0,IFERROR(COUNTIFS('📅 الحضور'!$B:$B,B110,'📅 الحضور'!$L:$L,PayPeriod,'📅 الحضور'!$E:$E,"غائب")*F110/WorkDaysMonth,0))</f>
        <v>0</v>
      </c>
      <c r="L110" s="83">
        <f>IF(B110="",0,IFERROR(SUMIFS('📅 الحضور'!$I:$I,'📅 الحضور'!$B:$B,B110,'📅 الحضور'!$L:$L,PayPeriod)/60/WorkHoursDay*F110/WorkDaysMonth,0))</f>
        <v>0</v>
      </c>
      <c r="M110" s="83">
        <f>IF(B110="",0,IFERROR(SUMIFS('➕ الخصومات والمكافآت'!$E:$E,'➕ الخصومات والمكافآت'!$B:$B,B110,'➕ الخصومات والمكافآت'!$F:$F,PayPeriod,'➕ الخصومات والمكافآت'!$C:$C,"خصم"),0))</f>
        <v>0</v>
      </c>
      <c r="N110" s="83">
        <f t="shared" si="17"/>
        <v>0</v>
      </c>
      <c r="O110" s="95">
        <f t="shared" si="18"/>
        <v>0</v>
      </c>
      <c r="P110" s="57"/>
      <c r="Q110" s="90">
        <f>IF(B110="",0,IFERROR(SUMIFS('📅 الحضور'!$J:$J,'📅 الحضور'!$B:$B,B110,'📅 الحضور'!$L:$L,PayPeriod),0))</f>
        <v>0</v>
      </c>
      <c r="R110" s="91">
        <f t="shared" si="19"/>
        <v>0</v>
      </c>
      <c r="S110" s="91">
        <f>IF(B110="",0,IF(IFERROR(VLOOKUP(B110,'👥 بيانات الموظفين'!$B:$D,3,0),"")="سعودي",MIN(F110+G110,GosiCeiling)*GosiEmpRate,IF(IFERROR(VLOOKUP(B110,'👥 بيانات الموظفين'!$B:$D,3,0),"")="سعودية",MIN(F110+G110,GosiCeiling)*GosiEmpRate,0)))</f>
        <v>0</v>
      </c>
      <c r="T110" s="91">
        <f>IF(B110="",0,IF(OR(IFERROR(VLOOKUP(B110,'👥 بيانات الموظفين'!$B:$D,3,0),"")="سعودي",IFERROR(VLOOKUP(B110,'👥 بيانات الموظفين'!$B:$D,3,0),"")="سعودية"),MIN(F110+G110,GosiCeiling)*GosiCoRate,(F110+G110)*0.02))</f>
        <v>0</v>
      </c>
      <c r="U110" s="91">
        <f>IF(B110="",0,IFERROR(IF(VLOOKUP(B110,'👥 بيانات الموظفين'!$B:$M,12,0)&lt;5,F110/24,F110/12),0))</f>
        <v>0</v>
      </c>
    </row>
    <row r="111" spans="1:21" ht="22.15" customHeight="1" x14ac:dyDescent="0.2">
      <c r="A111" s="53">
        <f t="shared" si="15"/>
        <v>107</v>
      </c>
      <c r="B111" s="53">
        <f>IFERROR('👥 بيانات الموظفين'!B111,"")</f>
        <v>0</v>
      </c>
      <c r="C111" s="53" t="str">
        <f>IFERROR(VLOOKUP(B111,'👥 بيانات الموظفين'!$B:$C,2,0),"")</f>
        <v/>
      </c>
      <c r="D111" s="53" t="str">
        <f>IFERROR(VLOOKUP(B111,'👥 بيانات الموظفين'!$B:$E,4,0),"")</f>
        <v/>
      </c>
      <c r="E111" s="68">
        <f>IF(B111="",0,IFERROR(COUNTIFS('📅 الحضور'!$B:$B,B111,'📅 الحضور'!$L:$L,PayPeriod,'📅 الحضور'!$E:$E,"حاضر")+COUNTIFS('📅 الحضور'!$B:$B,B111,'📅 الحضور'!$L:$L,PayPeriod,'📅 الحضور'!$E:$E,"متأخر"),0))</f>
        <v>0</v>
      </c>
      <c r="F111" s="82">
        <f>IFERROR(VLOOKUP(B111,'👥 بيانات الموظفين'!$B:$H,7,0),0)</f>
        <v>0</v>
      </c>
      <c r="G111" s="82">
        <f>IFERROR(VLOOKUP(B111,'👥 بيانات الموظفين'!$B:$I,8,0),0)</f>
        <v>0</v>
      </c>
      <c r="H111" s="82">
        <f>IFERROR(VLOOKUP(B111,'👥 بيانات الموظفين'!$B:$J,9,0),0)</f>
        <v>0</v>
      </c>
      <c r="I111" s="82">
        <f>IF(B111="",0,IFERROR(SUMIFS('➕ الخصومات والمكافآت'!$E:$E,'➕ الخصومات والمكافآت'!$B:$B,B111,'➕ الخصومات والمكافآت'!$F:$F,PayPeriod,'➕ الخصومات والمكافآت'!$C:$C,"مكافأة"),0))</f>
        <v>0</v>
      </c>
      <c r="J111" s="82">
        <f t="shared" si="16"/>
        <v>0</v>
      </c>
      <c r="K111" s="82">
        <f>IF(B111="",0,IFERROR(COUNTIFS('📅 الحضور'!$B:$B,B111,'📅 الحضور'!$L:$L,PayPeriod,'📅 الحضور'!$E:$E,"غائب")*F111/WorkDaysMonth,0))</f>
        <v>0</v>
      </c>
      <c r="L111" s="82">
        <f>IF(B111="",0,IFERROR(SUMIFS('📅 الحضور'!$I:$I,'📅 الحضور'!$B:$B,B111,'📅 الحضور'!$L:$L,PayPeriod)/60/WorkHoursDay*F111/WorkDaysMonth,0))</f>
        <v>0</v>
      </c>
      <c r="M111" s="82">
        <f>IF(B111="",0,IFERROR(SUMIFS('➕ الخصومات والمكافآت'!$E:$E,'➕ الخصومات والمكافآت'!$B:$B,B111,'➕ الخصومات والمكافآت'!$F:$F,PayPeriod,'➕ الخصومات والمكافآت'!$C:$C,"خصم"),0))</f>
        <v>0</v>
      </c>
      <c r="N111" s="82">
        <f t="shared" si="17"/>
        <v>0</v>
      </c>
      <c r="O111" s="94">
        <f t="shared" si="18"/>
        <v>0</v>
      </c>
      <c r="P111" s="53"/>
      <c r="Q111" s="88">
        <f>IF(B111="",0,IFERROR(SUMIFS('📅 الحضور'!$J:$J,'📅 الحضور'!$B:$B,B111,'📅 الحضور'!$L:$L,PayPeriod),0))</f>
        <v>0</v>
      </c>
      <c r="R111" s="89">
        <f t="shared" si="19"/>
        <v>0</v>
      </c>
      <c r="S111" s="89">
        <f>IF(B111="",0,IF(IFERROR(VLOOKUP(B111,'👥 بيانات الموظفين'!$B:$D,3,0),"")="سعودي",MIN(F111+G111,GosiCeiling)*GosiEmpRate,IF(IFERROR(VLOOKUP(B111,'👥 بيانات الموظفين'!$B:$D,3,0),"")="سعودية",MIN(F111+G111,GosiCeiling)*GosiEmpRate,0)))</f>
        <v>0</v>
      </c>
      <c r="T111" s="89">
        <f>IF(B111="",0,IF(OR(IFERROR(VLOOKUP(B111,'👥 بيانات الموظفين'!$B:$D,3,0),"")="سعودي",IFERROR(VLOOKUP(B111,'👥 بيانات الموظفين'!$B:$D,3,0),"")="سعودية"),MIN(F111+G111,GosiCeiling)*GosiCoRate,(F111+G111)*0.02))</f>
        <v>0</v>
      </c>
      <c r="U111" s="89">
        <f>IF(B111="",0,IFERROR(IF(VLOOKUP(B111,'👥 بيانات الموظفين'!$B:$M,12,0)&lt;5,F111/24,F111/12),0))</f>
        <v>0</v>
      </c>
    </row>
    <row r="112" spans="1:21" ht="22.15" customHeight="1" x14ac:dyDescent="0.2">
      <c r="A112" s="57">
        <f t="shared" si="15"/>
        <v>108</v>
      </c>
      <c r="B112" s="57">
        <f>IFERROR('👥 بيانات الموظفين'!B112,"")</f>
        <v>0</v>
      </c>
      <c r="C112" s="57" t="str">
        <f>IFERROR(VLOOKUP(B112,'👥 بيانات الموظفين'!$B:$C,2,0),"")</f>
        <v/>
      </c>
      <c r="D112" s="57" t="str">
        <f>IFERROR(VLOOKUP(B112,'👥 بيانات الموظفين'!$B:$E,4,0),"")</f>
        <v/>
      </c>
      <c r="E112" s="69">
        <f>IF(B112="",0,IFERROR(COUNTIFS('📅 الحضور'!$B:$B,B112,'📅 الحضور'!$L:$L,PayPeriod,'📅 الحضور'!$E:$E,"حاضر")+COUNTIFS('📅 الحضور'!$B:$B,B112,'📅 الحضور'!$L:$L,PayPeriod,'📅 الحضور'!$E:$E,"متأخر"),0))</f>
        <v>0</v>
      </c>
      <c r="F112" s="83">
        <f>IFERROR(VLOOKUP(B112,'👥 بيانات الموظفين'!$B:$H,7,0),0)</f>
        <v>0</v>
      </c>
      <c r="G112" s="83">
        <f>IFERROR(VLOOKUP(B112,'👥 بيانات الموظفين'!$B:$I,8,0),0)</f>
        <v>0</v>
      </c>
      <c r="H112" s="83">
        <f>IFERROR(VLOOKUP(B112,'👥 بيانات الموظفين'!$B:$J,9,0),0)</f>
        <v>0</v>
      </c>
      <c r="I112" s="83">
        <f>IF(B112="",0,IFERROR(SUMIFS('➕ الخصومات والمكافآت'!$E:$E,'➕ الخصومات والمكافآت'!$B:$B,B112,'➕ الخصومات والمكافآت'!$F:$F,PayPeriod,'➕ الخصومات والمكافآت'!$C:$C,"مكافأة"),0))</f>
        <v>0</v>
      </c>
      <c r="J112" s="83">
        <f t="shared" si="16"/>
        <v>0</v>
      </c>
      <c r="K112" s="83">
        <f>IF(B112="",0,IFERROR(COUNTIFS('📅 الحضور'!$B:$B,B112,'📅 الحضور'!$L:$L,PayPeriod,'📅 الحضور'!$E:$E,"غائب")*F112/WorkDaysMonth,0))</f>
        <v>0</v>
      </c>
      <c r="L112" s="83">
        <f>IF(B112="",0,IFERROR(SUMIFS('📅 الحضور'!$I:$I,'📅 الحضور'!$B:$B,B112,'📅 الحضور'!$L:$L,PayPeriod)/60/WorkHoursDay*F112/WorkDaysMonth,0))</f>
        <v>0</v>
      </c>
      <c r="M112" s="83">
        <f>IF(B112="",0,IFERROR(SUMIFS('➕ الخصومات والمكافآت'!$E:$E,'➕ الخصومات والمكافآت'!$B:$B,B112,'➕ الخصومات والمكافآت'!$F:$F,PayPeriod,'➕ الخصومات والمكافآت'!$C:$C,"خصم"),0))</f>
        <v>0</v>
      </c>
      <c r="N112" s="83">
        <f t="shared" si="17"/>
        <v>0</v>
      </c>
      <c r="O112" s="95">
        <f t="shared" si="18"/>
        <v>0</v>
      </c>
      <c r="P112" s="57"/>
      <c r="Q112" s="90">
        <f>IF(B112="",0,IFERROR(SUMIFS('📅 الحضور'!$J:$J,'📅 الحضور'!$B:$B,B112,'📅 الحضور'!$L:$L,PayPeriod),0))</f>
        <v>0</v>
      </c>
      <c r="R112" s="91">
        <f t="shared" si="19"/>
        <v>0</v>
      </c>
      <c r="S112" s="91">
        <f>IF(B112="",0,IF(IFERROR(VLOOKUP(B112,'👥 بيانات الموظفين'!$B:$D,3,0),"")="سعودي",MIN(F112+G112,GosiCeiling)*GosiEmpRate,IF(IFERROR(VLOOKUP(B112,'👥 بيانات الموظفين'!$B:$D,3,0),"")="سعودية",MIN(F112+G112,GosiCeiling)*GosiEmpRate,0)))</f>
        <v>0</v>
      </c>
      <c r="T112" s="91">
        <f>IF(B112="",0,IF(OR(IFERROR(VLOOKUP(B112,'👥 بيانات الموظفين'!$B:$D,3,0),"")="سعودي",IFERROR(VLOOKUP(B112,'👥 بيانات الموظفين'!$B:$D,3,0),"")="سعودية"),MIN(F112+G112,GosiCeiling)*GosiCoRate,(F112+G112)*0.02))</f>
        <v>0</v>
      </c>
      <c r="U112" s="91">
        <f>IF(B112="",0,IFERROR(IF(VLOOKUP(B112,'👥 بيانات الموظفين'!$B:$M,12,0)&lt;5,F112/24,F112/12),0))</f>
        <v>0</v>
      </c>
    </row>
    <row r="113" spans="1:21" ht="22.15" customHeight="1" x14ac:dyDescent="0.2">
      <c r="A113" s="53">
        <f t="shared" si="15"/>
        <v>109</v>
      </c>
      <c r="B113" s="53">
        <f>IFERROR('👥 بيانات الموظفين'!B113,"")</f>
        <v>0</v>
      </c>
      <c r="C113" s="53" t="str">
        <f>IFERROR(VLOOKUP(B113,'👥 بيانات الموظفين'!$B:$C,2,0),"")</f>
        <v/>
      </c>
      <c r="D113" s="53" t="str">
        <f>IFERROR(VLOOKUP(B113,'👥 بيانات الموظفين'!$B:$E,4,0),"")</f>
        <v/>
      </c>
      <c r="E113" s="68">
        <f>IF(B113="",0,IFERROR(COUNTIFS('📅 الحضور'!$B:$B,B113,'📅 الحضور'!$L:$L,PayPeriod,'📅 الحضور'!$E:$E,"حاضر")+COUNTIFS('📅 الحضور'!$B:$B,B113,'📅 الحضور'!$L:$L,PayPeriod,'📅 الحضور'!$E:$E,"متأخر"),0))</f>
        <v>0</v>
      </c>
      <c r="F113" s="82">
        <f>IFERROR(VLOOKUP(B113,'👥 بيانات الموظفين'!$B:$H,7,0),0)</f>
        <v>0</v>
      </c>
      <c r="G113" s="82">
        <f>IFERROR(VLOOKUP(B113,'👥 بيانات الموظفين'!$B:$I,8,0),0)</f>
        <v>0</v>
      </c>
      <c r="H113" s="82">
        <f>IFERROR(VLOOKUP(B113,'👥 بيانات الموظفين'!$B:$J,9,0),0)</f>
        <v>0</v>
      </c>
      <c r="I113" s="82">
        <f>IF(B113="",0,IFERROR(SUMIFS('➕ الخصومات والمكافآت'!$E:$E,'➕ الخصومات والمكافآت'!$B:$B,B113,'➕ الخصومات والمكافآت'!$F:$F,PayPeriod,'➕ الخصومات والمكافآت'!$C:$C,"مكافأة"),0))</f>
        <v>0</v>
      </c>
      <c r="J113" s="82">
        <f t="shared" si="16"/>
        <v>0</v>
      </c>
      <c r="K113" s="82">
        <f>IF(B113="",0,IFERROR(COUNTIFS('📅 الحضور'!$B:$B,B113,'📅 الحضور'!$L:$L,PayPeriod,'📅 الحضور'!$E:$E,"غائب")*F113/WorkDaysMonth,0))</f>
        <v>0</v>
      </c>
      <c r="L113" s="82">
        <f>IF(B113="",0,IFERROR(SUMIFS('📅 الحضور'!$I:$I,'📅 الحضور'!$B:$B,B113,'📅 الحضور'!$L:$L,PayPeriod)/60/WorkHoursDay*F113/WorkDaysMonth,0))</f>
        <v>0</v>
      </c>
      <c r="M113" s="82">
        <f>IF(B113="",0,IFERROR(SUMIFS('➕ الخصومات والمكافآت'!$E:$E,'➕ الخصومات والمكافآت'!$B:$B,B113,'➕ الخصومات والمكافآت'!$F:$F,PayPeriod,'➕ الخصومات والمكافآت'!$C:$C,"خصم"),0))</f>
        <v>0</v>
      </c>
      <c r="N113" s="82">
        <f t="shared" si="17"/>
        <v>0</v>
      </c>
      <c r="O113" s="94">
        <f t="shared" si="18"/>
        <v>0</v>
      </c>
      <c r="P113" s="53"/>
      <c r="Q113" s="88">
        <f>IF(B113="",0,IFERROR(SUMIFS('📅 الحضور'!$J:$J,'📅 الحضور'!$B:$B,B113,'📅 الحضور'!$L:$L,PayPeriod),0))</f>
        <v>0</v>
      </c>
      <c r="R113" s="89">
        <f t="shared" si="19"/>
        <v>0</v>
      </c>
      <c r="S113" s="89">
        <f>IF(B113="",0,IF(IFERROR(VLOOKUP(B113,'👥 بيانات الموظفين'!$B:$D,3,0),"")="سعودي",MIN(F113+G113,GosiCeiling)*GosiEmpRate,IF(IFERROR(VLOOKUP(B113,'👥 بيانات الموظفين'!$B:$D,3,0),"")="سعودية",MIN(F113+G113,GosiCeiling)*GosiEmpRate,0)))</f>
        <v>0</v>
      </c>
      <c r="T113" s="89">
        <f>IF(B113="",0,IF(OR(IFERROR(VLOOKUP(B113,'👥 بيانات الموظفين'!$B:$D,3,0),"")="سعودي",IFERROR(VLOOKUP(B113,'👥 بيانات الموظفين'!$B:$D,3,0),"")="سعودية"),MIN(F113+G113,GosiCeiling)*GosiCoRate,(F113+G113)*0.02))</f>
        <v>0</v>
      </c>
      <c r="U113" s="89">
        <f>IF(B113="",0,IFERROR(IF(VLOOKUP(B113,'👥 بيانات الموظفين'!$B:$M,12,0)&lt;5,F113/24,F113/12),0))</f>
        <v>0</v>
      </c>
    </row>
    <row r="114" spans="1:21" ht="22.15" customHeight="1" x14ac:dyDescent="0.2">
      <c r="A114" s="57">
        <f t="shared" si="15"/>
        <v>110</v>
      </c>
      <c r="B114" s="57">
        <f>IFERROR('👥 بيانات الموظفين'!B114,"")</f>
        <v>0</v>
      </c>
      <c r="C114" s="57" t="str">
        <f>IFERROR(VLOOKUP(B114,'👥 بيانات الموظفين'!$B:$C,2,0),"")</f>
        <v/>
      </c>
      <c r="D114" s="57" t="str">
        <f>IFERROR(VLOOKUP(B114,'👥 بيانات الموظفين'!$B:$E,4,0),"")</f>
        <v/>
      </c>
      <c r="E114" s="69">
        <f>IF(B114="",0,IFERROR(COUNTIFS('📅 الحضور'!$B:$B,B114,'📅 الحضور'!$L:$L,PayPeriod,'📅 الحضور'!$E:$E,"حاضر")+COUNTIFS('📅 الحضور'!$B:$B,B114,'📅 الحضور'!$L:$L,PayPeriod,'📅 الحضور'!$E:$E,"متأخر"),0))</f>
        <v>0</v>
      </c>
      <c r="F114" s="83">
        <f>IFERROR(VLOOKUP(B114,'👥 بيانات الموظفين'!$B:$H,7,0),0)</f>
        <v>0</v>
      </c>
      <c r="G114" s="83">
        <f>IFERROR(VLOOKUP(B114,'👥 بيانات الموظفين'!$B:$I,8,0),0)</f>
        <v>0</v>
      </c>
      <c r="H114" s="83">
        <f>IFERROR(VLOOKUP(B114,'👥 بيانات الموظفين'!$B:$J,9,0),0)</f>
        <v>0</v>
      </c>
      <c r="I114" s="83">
        <f>IF(B114="",0,IFERROR(SUMIFS('➕ الخصومات والمكافآت'!$E:$E,'➕ الخصومات والمكافآت'!$B:$B,B114,'➕ الخصومات والمكافآت'!$F:$F,PayPeriod,'➕ الخصومات والمكافآت'!$C:$C,"مكافأة"),0))</f>
        <v>0</v>
      </c>
      <c r="J114" s="83">
        <f t="shared" si="16"/>
        <v>0</v>
      </c>
      <c r="K114" s="83">
        <f>IF(B114="",0,IFERROR(COUNTIFS('📅 الحضور'!$B:$B,B114,'📅 الحضور'!$L:$L,PayPeriod,'📅 الحضور'!$E:$E,"غائب")*F114/WorkDaysMonth,0))</f>
        <v>0</v>
      </c>
      <c r="L114" s="83">
        <f>IF(B114="",0,IFERROR(SUMIFS('📅 الحضور'!$I:$I,'📅 الحضور'!$B:$B,B114,'📅 الحضور'!$L:$L,PayPeriod)/60/WorkHoursDay*F114/WorkDaysMonth,0))</f>
        <v>0</v>
      </c>
      <c r="M114" s="83">
        <f>IF(B114="",0,IFERROR(SUMIFS('➕ الخصومات والمكافآت'!$E:$E,'➕ الخصومات والمكافآت'!$B:$B,B114,'➕ الخصومات والمكافآت'!$F:$F,PayPeriod,'➕ الخصومات والمكافآت'!$C:$C,"خصم"),0))</f>
        <v>0</v>
      </c>
      <c r="N114" s="83">
        <f t="shared" si="17"/>
        <v>0</v>
      </c>
      <c r="O114" s="95">
        <f t="shared" si="18"/>
        <v>0</v>
      </c>
      <c r="P114" s="57"/>
      <c r="Q114" s="90">
        <f>IF(B114="",0,IFERROR(SUMIFS('📅 الحضور'!$J:$J,'📅 الحضور'!$B:$B,B114,'📅 الحضور'!$L:$L,PayPeriod),0))</f>
        <v>0</v>
      </c>
      <c r="R114" s="91">
        <f t="shared" si="19"/>
        <v>0</v>
      </c>
      <c r="S114" s="91">
        <f>IF(B114="",0,IF(IFERROR(VLOOKUP(B114,'👥 بيانات الموظفين'!$B:$D,3,0),"")="سعودي",MIN(F114+G114,GosiCeiling)*GosiEmpRate,IF(IFERROR(VLOOKUP(B114,'👥 بيانات الموظفين'!$B:$D,3,0),"")="سعودية",MIN(F114+G114,GosiCeiling)*GosiEmpRate,0)))</f>
        <v>0</v>
      </c>
      <c r="T114" s="91">
        <f>IF(B114="",0,IF(OR(IFERROR(VLOOKUP(B114,'👥 بيانات الموظفين'!$B:$D,3,0),"")="سعودي",IFERROR(VLOOKUP(B114,'👥 بيانات الموظفين'!$B:$D,3,0),"")="سعودية"),MIN(F114+G114,GosiCeiling)*GosiCoRate,(F114+G114)*0.02))</f>
        <v>0</v>
      </c>
      <c r="U114" s="91">
        <f>IF(B114="",0,IFERROR(IF(VLOOKUP(B114,'👥 بيانات الموظفين'!$B:$M,12,0)&lt;5,F114/24,F114/12),0))</f>
        <v>0</v>
      </c>
    </row>
    <row r="115" spans="1:21" ht="22.15" customHeight="1" x14ac:dyDescent="0.2">
      <c r="A115" s="53">
        <f t="shared" si="15"/>
        <v>111</v>
      </c>
      <c r="B115" s="53">
        <f>IFERROR('👥 بيانات الموظفين'!B115,"")</f>
        <v>0</v>
      </c>
      <c r="C115" s="53" t="str">
        <f>IFERROR(VLOOKUP(B115,'👥 بيانات الموظفين'!$B:$C,2,0),"")</f>
        <v/>
      </c>
      <c r="D115" s="53" t="str">
        <f>IFERROR(VLOOKUP(B115,'👥 بيانات الموظفين'!$B:$E,4,0),"")</f>
        <v/>
      </c>
      <c r="E115" s="68">
        <f>IF(B115="",0,IFERROR(COUNTIFS('📅 الحضور'!$B:$B,B115,'📅 الحضور'!$L:$L,PayPeriod,'📅 الحضور'!$E:$E,"حاضر")+COUNTIFS('📅 الحضور'!$B:$B,B115,'📅 الحضور'!$L:$L,PayPeriod,'📅 الحضور'!$E:$E,"متأخر"),0))</f>
        <v>0</v>
      </c>
      <c r="F115" s="82">
        <f>IFERROR(VLOOKUP(B115,'👥 بيانات الموظفين'!$B:$H,7,0),0)</f>
        <v>0</v>
      </c>
      <c r="G115" s="82">
        <f>IFERROR(VLOOKUP(B115,'👥 بيانات الموظفين'!$B:$I,8,0),0)</f>
        <v>0</v>
      </c>
      <c r="H115" s="82">
        <f>IFERROR(VLOOKUP(B115,'👥 بيانات الموظفين'!$B:$J,9,0),0)</f>
        <v>0</v>
      </c>
      <c r="I115" s="82">
        <f>IF(B115="",0,IFERROR(SUMIFS('➕ الخصومات والمكافآت'!$E:$E,'➕ الخصومات والمكافآت'!$B:$B,B115,'➕ الخصومات والمكافآت'!$F:$F,PayPeriod,'➕ الخصومات والمكافآت'!$C:$C,"مكافأة"),0))</f>
        <v>0</v>
      </c>
      <c r="J115" s="82">
        <f t="shared" si="16"/>
        <v>0</v>
      </c>
      <c r="K115" s="82">
        <f>IF(B115="",0,IFERROR(COUNTIFS('📅 الحضور'!$B:$B,B115,'📅 الحضور'!$L:$L,PayPeriod,'📅 الحضور'!$E:$E,"غائب")*F115/WorkDaysMonth,0))</f>
        <v>0</v>
      </c>
      <c r="L115" s="82">
        <f>IF(B115="",0,IFERROR(SUMIFS('📅 الحضور'!$I:$I,'📅 الحضور'!$B:$B,B115,'📅 الحضور'!$L:$L,PayPeriod)/60/WorkHoursDay*F115/WorkDaysMonth,0))</f>
        <v>0</v>
      </c>
      <c r="M115" s="82">
        <f>IF(B115="",0,IFERROR(SUMIFS('➕ الخصومات والمكافآت'!$E:$E,'➕ الخصومات والمكافآت'!$B:$B,B115,'➕ الخصومات والمكافآت'!$F:$F,PayPeriod,'➕ الخصومات والمكافآت'!$C:$C,"خصم"),0))</f>
        <v>0</v>
      </c>
      <c r="N115" s="82">
        <f t="shared" si="17"/>
        <v>0</v>
      </c>
      <c r="O115" s="94">
        <f t="shared" si="18"/>
        <v>0</v>
      </c>
      <c r="P115" s="53"/>
      <c r="Q115" s="88">
        <f>IF(B115="",0,IFERROR(SUMIFS('📅 الحضور'!$J:$J,'📅 الحضور'!$B:$B,B115,'📅 الحضور'!$L:$L,PayPeriod),0))</f>
        <v>0</v>
      </c>
      <c r="R115" s="89">
        <f t="shared" si="19"/>
        <v>0</v>
      </c>
      <c r="S115" s="89">
        <f>IF(B115="",0,IF(IFERROR(VLOOKUP(B115,'👥 بيانات الموظفين'!$B:$D,3,0),"")="سعودي",MIN(F115+G115,GosiCeiling)*GosiEmpRate,IF(IFERROR(VLOOKUP(B115,'👥 بيانات الموظفين'!$B:$D,3,0),"")="سعودية",MIN(F115+G115,GosiCeiling)*GosiEmpRate,0)))</f>
        <v>0</v>
      </c>
      <c r="T115" s="89">
        <f>IF(B115="",0,IF(OR(IFERROR(VLOOKUP(B115,'👥 بيانات الموظفين'!$B:$D,3,0),"")="سعودي",IFERROR(VLOOKUP(B115,'👥 بيانات الموظفين'!$B:$D,3,0),"")="سعودية"),MIN(F115+G115,GosiCeiling)*GosiCoRate,(F115+G115)*0.02))</f>
        <v>0</v>
      </c>
      <c r="U115" s="89">
        <f>IF(B115="",0,IFERROR(IF(VLOOKUP(B115,'👥 بيانات الموظفين'!$B:$M,12,0)&lt;5,F115/24,F115/12),0))</f>
        <v>0</v>
      </c>
    </row>
    <row r="116" spans="1:21" ht="22.15" customHeight="1" x14ac:dyDescent="0.2">
      <c r="A116" s="57">
        <f t="shared" si="15"/>
        <v>112</v>
      </c>
      <c r="B116" s="57">
        <f>IFERROR('👥 بيانات الموظفين'!B116,"")</f>
        <v>0</v>
      </c>
      <c r="C116" s="57" t="str">
        <f>IFERROR(VLOOKUP(B116,'👥 بيانات الموظفين'!$B:$C,2,0),"")</f>
        <v/>
      </c>
      <c r="D116" s="57" t="str">
        <f>IFERROR(VLOOKUP(B116,'👥 بيانات الموظفين'!$B:$E,4,0),"")</f>
        <v/>
      </c>
      <c r="E116" s="69">
        <f>IF(B116="",0,IFERROR(COUNTIFS('📅 الحضور'!$B:$B,B116,'📅 الحضور'!$L:$L,PayPeriod,'📅 الحضور'!$E:$E,"حاضر")+COUNTIFS('📅 الحضور'!$B:$B,B116,'📅 الحضور'!$L:$L,PayPeriod,'📅 الحضور'!$E:$E,"متأخر"),0))</f>
        <v>0</v>
      </c>
      <c r="F116" s="83">
        <f>IFERROR(VLOOKUP(B116,'👥 بيانات الموظفين'!$B:$H,7,0),0)</f>
        <v>0</v>
      </c>
      <c r="G116" s="83">
        <f>IFERROR(VLOOKUP(B116,'👥 بيانات الموظفين'!$B:$I,8,0),0)</f>
        <v>0</v>
      </c>
      <c r="H116" s="83">
        <f>IFERROR(VLOOKUP(B116,'👥 بيانات الموظفين'!$B:$J,9,0),0)</f>
        <v>0</v>
      </c>
      <c r="I116" s="83">
        <f>IF(B116="",0,IFERROR(SUMIFS('➕ الخصومات والمكافآت'!$E:$E,'➕ الخصومات والمكافآت'!$B:$B,B116,'➕ الخصومات والمكافآت'!$F:$F,PayPeriod,'➕ الخصومات والمكافآت'!$C:$C,"مكافأة"),0))</f>
        <v>0</v>
      </c>
      <c r="J116" s="83">
        <f t="shared" si="16"/>
        <v>0</v>
      </c>
      <c r="K116" s="83">
        <f>IF(B116="",0,IFERROR(COUNTIFS('📅 الحضور'!$B:$B,B116,'📅 الحضور'!$L:$L,PayPeriod,'📅 الحضور'!$E:$E,"غائب")*F116/WorkDaysMonth,0))</f>
        <v>0</v>
      </c>
      <c r="L116" s="83">
        <f>IF(B116="",0,IFERROR(SUMIFS('📅 الحضور'!$I:$I,'📅 الحضور'!$B:$B,B116,'📅 الحضور'!$L:$L,PayPeriod)/60/WorkHoursDay*F116/WorkDaysMonth,0))</f>
        <v>0</v>
      </c>
      <c r="M116" s="83">
        <f>IF(B116="",0,IFERROR(SUMIFS('➕ الخصومات والمكافآت'!$E:$E,'➕ الخصومات والمكافآت'!$B:$B,B116,'➕ الخصومات والمكافآت'!$F:$F,PayPeriod,'➕ الخصومات والمكافآت'!$C:$C,"خصم"),0))</f>
        <v>0</v>
      </c>
      <c r="N116" s="83">
        <f t="shared" si="17"/>
        <v>0</v>
      </c>
      <c r="O116" s="95">
        <f t="shared" si="18"/>
        <v>0</v>
      </c>
      <c r="P116" s="57"/>
      <c r="Q116" s="90">
        <f>IF(B116="",0,IFERROR(SUMIFS('📅 الحضور'!$J:$J,'📅 الحضور'!$B:$B,B116,'📅 الحضور'!$L:$L,PayPeriod),0))</f>
        <v>0</v>
      </c>
      <c r="R116" s="91">
        <f t="shared" si="19"/>
        <v>0</v>
      </c>
      <c r="S116" s="91">
        <f>IF(B116="",0,IF(IFERROR(VLOOKUP(B116,'👥 بيانات الموظفين'!$B:$D,3,0),"")="سعودي",MIN(F116+G116,GosiCeiling)*GosiEmpRate,IF(IFERROR(VLOOKUP(B116,'👥 بيانات الموظفين'!$B:$D,3,0),"")="سعودية",MIN(F116+G116,GosiCeiling)*GosiEmpRate,0)))</f>
        <v>0</v>
      </c>
      <c r="T116" s="91">
        <f>IF(B116="",0,IF(OR(IFERROR(VLOOKUP(B116,'👥 بيانات الموظفين'!$B:$D,3,0),"")="سعودي",IFERROR(VLOOKUP(B116,'👥 بيانات الموظفين'!$B:$D,3,0),"")="سعودية"),MIN(F116+G116,GosiCeiling)*GosiCoRate,(F116+G116)*0.02))</f>
        <v>0</v>
      </c>
      <c r="U116" s="91">
        <f>IF(B116="",0,IFERROR(IF(VLOOKUP(B116,'👥 بيانات الموظفين'!$B:$M,12,0)&lt;5,F116/24,F116/12),0))</f>
        <v>0</v>
      </c>
    </row>
    <row r="117" spans="1:21" ht="22.15" customHeight="1" x14ac:dyDescent="0.2">
      <c r="A117" s="53">
        <f t="shared" si="15"/>
        <v>113</v>
      </c>
      <c r="B117" s="53">
        <f>IFERROR('👥 بيانات الموظفين'!B117,"")</f>
        <v>0</v>
      </c>
      <c r="C117" s="53" t="str">
        <f>IFERROR(VLOOKUP(B117,'👥 بيانات الموظفين'!$B:$C,2,0),"")</f>
        <v/>
      </c>
      <c r="D117" s="53" t="str">
        <f>IFERROR(VLOOKUP(B117,'👥 بيانات الموظفين'!$B:$E,4,0),"")</f>
        <v/>
      </c>
      <c r="E117" s="68">
        <f>IF(B117="",0,IFERROR(COUNTIFS('📅 الحضور'!$B:$B,B117,'📅 الحضور'!$L:$L,PayPeriod,'📅 الحضور'!$E:$E,"حاضر")+COUNTIFS('📅 الحضور'!$B:$B,B117,'📅 الحضور'!$L:$L,PayPeriod,'📅 الحضور'!$E:$E,"متأخر"),0))</f>
        <v>0</v>
      </c>
      <c r="F117" s="82">
        <f>IFERROR(VLOOKUP(B117,'👥 بيانات الموظفين'!$B:$H,7,0),0)</f>
        <v>0</v>
      </c>
      <c r="G117" s="82">
        <f>IFERROR(VLOOKUP(B117,'👥 بيانات الموظفين'!$B:$I,8,0),0)</f>
        <v>0</v>
      </c>
      <c r="H117" s="82">
        <f>IFERROR(VLOOKUP(B117,'👥 بيانات الموظفين'!$B:$J,9,0),0)</f>
        <v>0</v>
      </c>
      <c r="I117" s="82">
        <f>IF(B117="",0,IFERROR(SUMIFS('➕ الخصومات والمكافآت'!$E:$E,'➕ الخصومات والمكافآت'!$B:$B,B117,'➕ الخصومات والمكافآت'!$F:$F,PayPeriod,'➕ الخصومات والمكافآت'!$C:$C,"مكافأة"),0))</f>
        <v>0</v>
      </c>
      <c r="J117" s="82">
        <f t="shared" si="16"/>
        <v>0</v>
      </c>
      <c r="K117" s="82">
        <f>IF(B117="",0,IFERROR(COUNTIFS('📅 الحضور'!$B:$B,B117,'📅 الحضور'!$L:$L,PayPeriod,'📅 الحضور'!$E:$E,"غائب")*F117/WorkDaysMonth,0))</f>
        <v>0</v>
      </c>
      <c r="L117" s="82">
        <f>IF(B117="",0,IFERROR(SUMIFS('📅 الحضور'!$I:$I,'📅 الحضور'!$B:$B,B117,'📅 الحضور'!$L:$L,PayPeriod)/60/WorkHoursDay*F117/WorkDaysMonth,0))</f>
        <v>0</v>
      </c>
      <c r="M117" s="82">
        <f>IF(B117="",0,IFERROR(SUMIFS('➕ الخصومات والمكافآت'!$E:$E,'➕ الخصومات والمكافآت'!$B:$B,B117,'➕ الخصومات والمكافآت'!$F:$F,PayPeriod,'➕ الخصومات والمكافآت'!$C:$C,"خصم"),0))</f>
        <v>0</v>
      </c>
      <c r="N117" s="82">
        <f t="shared" si="17"/>
        <v>0</v>
      </c>
      <c r="O117" s="94">
        <f t="shared" si="18"/>
        <v>0</v>
      </c>
      <c r="P117" s="53"/>
      <c r="Q117" s="88">
        <f>IF(B117="",0,IFERROR(SUMIFS('📅 الحضور'!$J:$J,'📅 الحضور'!$B:$B,B117,'📅 الحضور'!$L:$L,PayPeriod),0))</f>
        <v>0</v>
      </c>
      <c r="R117" s="89">
        <f t="shared" si="19"/>
        <v>0</v>
      </c>
      <c r="S117" s="89">
        <f>IF(B117="",0,IF(IFERROR(VLOOKUP(B117,'👥 بيانات الموظفين'!$B:$D,3,0),"")="سعودي",MIN(F117+G117,GosiCeiling)*GosiEmpRate,IF(IFERROR(VLOOKUP(B117,'👥 بيانات الموظفين'!$B:$D,3,0),"")="سعودية",MIN(F117+G117,GosiCeiling)*GosiEmpRate,0)))</f>
        <v>0</v>
      </c>
      <c r="T117" s="89">
        <f>IF(B117="",0,IF(OR(IFERROR(VLOOKUP(B117,'👥 بيانات الموظفين'!$B:$D,3,0),"")="سعودي",IFERROR(VLOOKUP(B117,'👥 بيانات الموظفين'!$B:$D,3,0),"")="سعودية"),MIN(F117+G117,GosiCeiling)*GosiCoRate,(F117+G117)*0.02))</f>
        <v>0</v>
      </c>
      <c r="U117" s="89">
        <f>IF(B117="",0,IFERROR(IF(VLOOKUP(B117,'👥 بيانات الموظفين'!$B:$M,12,0)&lt;5,F117/24,F117/12),0))</f>
        <v>0</v>
      </c>
    </row>
    <row r="118" spans="1:21" ht="22.15" customHeight="1" x14ac:dyDescent="0.2">
      <c r="A118" s="57">
        <f t="shared" si="15"/>
        <v>114</v>
      </c>
      <c r="B118" s="57">
        <f>IFERROR('👥 بيانات الموظفين'!B118,"")</f>
        <v>0</v>
      </c>
      <c r="C118" s="57" t="str">
        <f>IFERROR(VLOOKUP(B118,'👥 بيانات الموظفين'!$B:$C,2,0),"")</f>
        <v/>
      </c>
      <c r="D118" s="57" t="str">
        <f>IFERROR(VLOOKUP(B118,'👥 بيانات الموظفين'!$B:$E,4,0),"")</f>
        <v/>
      </c>
      <c r="E118" s="69">
        <f>IF(B118="",0,IFERROR(COUNTIFS('📅 الحضور'!$B:$B,B118,'📅 الحضور'!$L:$L,PayPeriod,'📅 الحضور'!$E:$E,"حاضر")+COUNTIFS('📅 الحضور'!$B:$B,B118,'📅 الحضور'!$L:$L,PayPeriod,'📅 الحضور'!$E:$E,"متأخر"),0))</f>
        <v>0</v>
      </c>
      <c r="F118" s="83">
        <f>IFERROR(VLOOKUP(B118,'👥 بيانات الموظفين'!$B:$H,7,0),0)</f>
        <v>0</v>
      </c>
      <c r="G118" s="83">
        <f>IFERROR(VLOOKUP(B118,'👥 بيانات الموظفين'!$B:$I,8,0),0)</f>
        <v>0</v>
      </c>
      <c r="H118" s="83">
        <f>IFERROR(VLOOKUP(B118,'👥 بيانات الموظفين'!$B:$J,9,0),0)</f>
        <v>0</v>
      </c>
      <c r="I118" s="83">
        <f>IF(B118="",0,IFERROR(SUMIFS('➕ الخصومات والمكافآت'!$E:$E,'➕ الخصومات والمكافآت'!$B:$B,B118,'➕ الخصومات والمكافآت'!$F:$F,PayPeriod,'➕ الخصومات والمكافآت'!$C:$C,"مكافأة"),0))</f>
        <v>0</v>
      </c>
      <c r="J118" s="83">
        <f t="shared" si="16"/>
        <v>0</v>
      </c>
      <c r="K118" s="83">
        <f>IF(B118="",0,IFERROR(COUNTIFS('📅 الحضور'!$B:$B,B118,'📅 الحضور'!$L:$L,PayPeriod,'📅 الحضور'!$E:$E,"غائب")*F118/WorkDaysMonth,0))</f>
        <v>0</v>
      </c>
      <c r="L118" s="83">
        <f>IF(B118="",0,IFERROR(SUMIFS('📅 الحضور'!$I:$I,'📅 الحضور'!$B:$B,B118,'📅 الحضور'!$L:$L,PayPeriod)/60/WorkHoursDay*F118/WorkDaysMonth,0))</f>
        <v>0</v>
      </c>
      <c r="M118" s="83">
        <f>IF(B118="",0,IFERROR(SUMIFS('➕ الخصومات والمكافآت'!$E:$E,'➕ الخصومات والمكافآت'!$B:$B,B118,'➕ الخصومات والمكافآت'!$F:$F,PayPeriod,'➕ الخصومات والمكافآت'!$C:$C,"خصم"),0))</f>
        <v>0</v>
      </c>
      <c r="N118" s="83">
        <f t="shared" si="17"/>
        <v>0</v>
      </c>
      <c r="O118" s="95">
        <f t="shared" si="18"/>
        <v>0</v>
      </c>
      <c r="P118" s="57"/>
      <c r="Q118" s="90">
        <f>IF(B118="",0,IFERROR(SUMIFS('📅 الحضور'!$J:$J,'📅 الحضور'!$B:$B,B118,'📅 الحضور'!$L:$L,PayPeriod),0))</f>
        <v>0</v>
      </c>
      <c r="R118" s="91">
        <f t="shared" si="19"/>
        <v>0</v>
      </c>
      <c r="S118" s="91">
        <f>IF(B118="",0,IF(IFERROR(VLOOKUP(B118,'👥 بيانات الموظفين'!$B:$D,3,0),"")="سعودي",MIN(F118+G118,GosiCeiling)*GosiEmpRate,IF(IFERROR(VLOOKUP(B118,'👥 بيانات الموظفين'!$B:$D,3,0),"")="سعودية",MIN(F118+G118,GosiCeiling)*GosiEmpRate,0)))</f>
        <v>0</v>
      </c>
      <c r="T118" s="91">
        <f>IF(B118="",0,IF(OR(IFERROR(VLOOKUP(B118,'👥 بيانات الموظفين'!$B:$D,3,0),"")="سعودي",IFERROR(VLOOKUP(B118,'👥 بيانات الموظفين'!$B:$D,3,0),"")="سعودية"),MIN(F118+G118,GosiCeiling)*GosiCoRate,(F118+G118)*0.02))</f>
        <v>0</v>
      </c>
      <c r="U118" s="91">
        <f>IF(B118="",0,IFERROR(IF(VLOOKUP(B118,'👥 بيانات الموظفين'!$B:$M,12,0)&lt;5,F118/24,F118/12),0))</f>
        <v>0</v>
      </c>
    </row>
    <row r="119" spans="1:21" ht="22.15" customHeight="1" x14ac:dyDescent="0.2">
      <c r="A119" s="53">
        <f t="shared" si="15"/>
        <v>115</v>
      </c>
      <c r="B119" s="53">
        <f>IFERROR('👥 بيانات الموظفين'!B119,"")</f>
        <v>0</v>
      </c>
      <c r="C119" s="53" t="str">
        <f>IFERROR(VLOOKUP(B119,'👥 بيانات الموظفين'!$B:$C,2,0),"")</f>
        <v/>
      </c>
      <c r="D119" s="53" t="str">
        <f>IFERROR(VLOOKUP(B119,'👥 بيانات الموظفين'!$B:$E,4,0),"")</f>
        <v/>
      </c>
      <c r="E119" s="68">
        <f>IF(B119="",0,IFERROR(COUNTIFS('📅 الحضور'!$B:$B,B119,'📅 الحضور'!$L:$L,PayPeriod,'📅 الحضور'!$E:$E,"حاضر")+COUNTIFS('📅 الحضور'!$B:$B,B119,'📅 الحضور'!$L:$L,PayPeriod,'📅 الحضور'!$E:$E,"متأخر"),0))</f>
        <v>0</v>
      </c>
      <c r="F119" s="82">
        <f>IFERROR(VLOOKUP(B119,'👥 بيانات الموظفين'!$B:$H,7,0),0)</f>
        <v>0</v>
      </c>
      <c r="G119" s="82">
        <f>IFERROR(VLOOKUP(B119,'👥 بيانات الموظفين'!$B:$I,8,0),0)</f>
        <v>0</v>
      </c>
      <c r="H119" s="82">
        <f>IFERROR(VLOOKUP(B119,'👥 بيانات الموظفين'!$B:$J,9,0),0)</f>
        <v>0</v>
      </c>
      <c r="I119" s="82">
        <f>IF(B119="",0,IFERROR(SUMIFS('➕ الخصومات والمكافآت'!$E:$E,'➕ الخصومات والمكافآت'!$B:$B,B119,'➕ الخصومات والمكافآت'!$F:$F,PayPeriod,'➕ الخصومات والمكافآت'!$C:$C,"مكافأة"),0))</f>
        <v>0</v>
      </c>
      <c r="J119" s="82">
        <f t="shared" si="16"/>
        <v>0</v>
      </c>
      <c r="K119" s="82">
        <f>IF(B119="",0,IFERROR(COUNTIFS('📅 الحضور'!$B:$B,B119,'📅 الحضور'!$L:$L,PayPeriod,'📅 الحضور'!$E:$E,"غائب")*F119/WorkDaysMonth,0))</f>
        <v>0</v>
      </c>
      <c r="L119" s="82">
        <f>IF(B119="",0,IFERROR(SUMIFS('📅 الحضور'!$I:$I,'📅 الحضور'!$B:$B,B119,'📅 الحضور'!$L:$L,PayPeriod)/60/WorkHoursDay*F119/WorkDaysMonth,0))</f>
        <v>0</v>
      </c>
      <c r="M119" s="82">
        <f>IF(B119="",0,IFERROR(SUMIFS('➕ الخصومات والمكافآت'!$E:$E,'➕ الخصومات والمكافآت'!$B:$B,B119,'➕ الخصومات والمكافآت'!$F:$F,PayPeriod,'➕ الخصومات والمكافآت'!$C:$C,"خصم"),0))</f>
        <v>0</v>
      </c>
      <c r="N119" s="82">
        <f t="shared" si="17"/>
        <v>0</v>
      </c>
      <c r="O119" s="94">
        <f t="shared" si="18"/>
        <v>0</v>
      </c>
      <c r="P119" s="53"/>
      <c r="Q119" s="88">
        <f>IF(B119="",0,IFERROR(SUMIFS('📅 الحضور'!$J:$J,'📅 الحضور'!$B:$B,B119,'📅 الحضور'!$L:$L,PayPeriod),0))</f>
        <v>0</v>
      </c>
      <c r="R119" s="89">
        <f t="shared" si="19"/>
        <v>0</v>
      </c>
      <c r="S119" s="89">
        <f>IF(B119="",0,IF(IFERROR(VLOOKUP(B119,'👥 بيانات الموظفين'!$B:$D,3,0),"")="سعودي",MIN(F119+G119,GosiCeiling)*GosiEmpRate,IF(IFERROR(VLOOKUP(B119,'👥 بيانات الموظفين'!$B:$D,3,0),"")="سعودية",MIN(F119+G119,GosiCeiling)*GosiEmpRate,0)))</f>
        <v>0</v>
      </c>
      <c r="T119" s="89">
        <f>IF(B119="",0,IF(OR(IFERROR(VLOOKUP(B119,'👥 بيانات الموظفين'!$B:$D,3,0),"")="سعودي",IFERROR(VLOOKUP(B119,'👥 بيانات الموظفين'!$B:$D,3,0),"")="سعودية"),MIN(F119+G119,GosiCeiling)*GosiCoRate,(F119+G119)*0.02))</f>
        <v>0</v>
      </c>
      <c r="U119" s="89">
        <f>IF(B119="",0,IFERROR(IF(VLOOKUP(B119,'👥 بيانات الموظفين'!$B:$M,12,0)&lt;5,F119/24,F119/12),0))</f>
        <v>0</v>
      </c>
    </row>
    <row r="120" spans="1:21" ht="22.15" customHeight="1" x14ac:dyDescent="0.2">
      <c r="A120" s="57">
        <f t="shared" si="15"/>
        <v>116</v>
      </c>
      <c r="B120" s="57">
        <f>IFERROR('👥 بيانات الموظفين'!B120,"")</f>
        <v>0</v>
      </c>
      <c r="C120" s="57" t="str">
        <f>IFERROR(VLOOKUP(B120,'👥 بيانات الموظفين'!$B:$C,2,0),"")</f>
        <v/>
      </c>
      <c r="D120" s="57" t="str">
        <f>IFERROR(VLOOKUP(B120,'👥 بيانات الموظفين'!$B:$E,4,0),"")</f>
        <v/>
      </c>
      <c r="E120" s="69">
        <f>IF(B120="",0,IFERROR(COUNTIFS('📅 الحضور'!$B:$B,B120,'📅 الحضور'!$L:$L,PayPeriod,'📅 الحضور'!$E:$E,"حاضر")+COUNTIFS('📅 الحضور'!$B:$B,B120,'📅 الحضور'!$L:$L,PayPeriod,'📅 الحضور'!$E:$E,"متأخر"),0))</f>
        <v>0</v>
      </c>
      <c r="F120" s="83">
        <f>IFERROR(VLOOKUP(B120,'👥 بيانات الموظفين'!$B:$H,7,0),0)</f>
        <v>0</v>
      </c>
      <c r="G120" s="83">
        <f>IFERROR(VLOOKUP(B120,'👥 بيانات الموظفين'!$B:$I,8,0),0)</f>
        <v>0</v>
      </c>
      <c r="H120" s="83">
        <f>IFERROR(VLOOKUP(B120,'👥 بيانات الموظفين'!$B:$J,9,0),0)</f>
        <v>0</v>
      </c>
      <c r="I120" s="83">
        <f>IF(B120="",0,IFERROR(SUMIFS('➕ الخصومات والمكافآت'!$E:$E,'➕ الخصومات والمكافآت'!$B:$B,B120,'➕ الخصومات والمكافآت'!$F:$F,PayPeriod,'➕ الخصومات والمكافآت'!$C:$C,"مكافأة"),0))</f>
        <v>0</v>
      </c>
      <c r="J120" s="83">
        <f t="shared" si="16"/>
        <v>0</v>
      </c>
      <c r="K120" s="83">
        <f>IF(B120="",0,IFERROR(COUNTIFS('📅 الحضور'!$B:$B,B120,'📅 الحضور'!$L:$L,PayPeriod,'📅 الحضور'!$E:$E,"غائب")*F120/WorkDaysMonth,0))</f>
        <v>0</v>
      </c>
      <c r="L120" s="83">
        <f>IF(B120="",0,IFERROR(SUMIFS('📅 الحضور'!$I:$I,'📅 الحضور'!$B:$B,B120,'📅 الحضور'!$L:$L,PayPeriod)/60/WorkHoursDay*F120/WorkDaysMonth,0))</f>
        <v>0</v>
      </c>
      <c r="M120" s="83">
        <f>IF(B120="",0,IFERROR(SUMIFS('➕ الخصومات والمكافآت'!$E:$E,'➕ الخصومات والمكافآت'!$B:$B,B120,'➕ الخصومات والمكافآت'!$F:$F,PayPeriod,'➕ الخصومات والمكافآت'!$C:$C,"خصم"),0))</f>
        <v>0</v>
      </c>
      <c r="N120" s="83">
        <f t="shared" si="17"/>
        <v>0</v>
      </c>
      <c r="O120" s="95">
        <f t="shared" si="18"/>
        <v>0</v>
      </c>
      <c r="P120" s="57"/>
      <c r="Q120" s="90">
        <f>IF(B120="",0,IFERROR(SUMIFS('📅 الحضور'!$J:$J,'📅 الحضور'!$B:$B,B120,'📅 الحضور'!$L:$L,PayPeriod),0))</f>
        <v>0</v>
      </c>
      <c r="R120" s="91">
        <f t="shared" si="19"/>
        <v>0</v>
      </c>
      <c r="S120" s="91">
        <f>IF(B120="",0,IF(IFERROR(VLOOKUP(B120,'👥 بيانات الموظفين'!$B:$D,3,0),"")="سعودي",MIN(F120+G120,GosiCeiling)*GosiEmpRate,IF(IFERROR(VLOOKUP(B120,'👥 بيانات الموظفين'!$B:$D,3,0),"")="سعودية",MIN(F120+G120,GosiCeiling)*GosiEmpRate,0)))</f>
        <v>0</v>
      </c>
      <c r="T120" s="91">
        <f>IF(B120="",0,IF(OR(IFERROR(VLOOKUP(B120,'👥 بيانات الموظفين'!$B:$D,3,0),"")="سعودي",IFERROR(VLOOKUP(B120,'👥 بيانات الموظفين'!$B:$D,3,0),"")="سعودية"),MIN(F120+G120,GosiCeiling)*GosiCoRate,(F120+G120)*0.02))</f>
        <v>0</v>
      </c>
      <c r="U120" s="91">
        <f>IF(B120="",0,IFERROR(IF(VLOOKUP(B120,'👥 بيانات الموظفين'!$B:$M,12,0)&lt;5,F120/24,F120/12),0))</f>
        <v>0</v>
      </c>
    </row>
    <row r="121" spans="1:21" ht="22.15" customHeight="1" x14ac:dyDescent="0.2">
      <c r="A121" s="53">
        <f t="shared" si="15"/>
        <v>117</v>
      </c>
      <c r="B121" s="53">
        <f>IFERROR('👥 بيانات الموظفين'!B121,"")</f>
        <v>0</v>
      </c>
      <c r="C121" s="53" t="str">
        <f>IFERROR(VLOOKUP(B121,'👥 بيانات الموظفين'!$B:$C,2,0),"")</f>
        <v/>
      </c>
      <c r="D121" s="53" t="str">
        <f>IFERROR(VLOOKUP(B121,'👥 بيانات الموظفين'!$B:$E,4,0),"")</f>
        <v/>
      </c>
      <c r="E121" s="68">
        <f>IF(B121="",0,IFERROR(COUNTIFS('📅 الحضور'!$B:$B,B121,'📅 الحضور'!$L:$L,PayPeriod,'📅 الحضور'!$E:$E,"حاضر")+COUNTIFS('📅 الحضور'!$B:$B,B121,'📅 الحضور'!$L:$L,PayPeriod,'📅 الحضور'!$E:$E,"متأخر"),0))</f>
        <v>0</v>
      </c>
      <c r="F121" s="82">
        <f>IFERROR(VLOOKUP(B121,'👥 بيانات الموظفين'!$B:$H,7,0),0)</f>
        <v>0</v>
      </c>
      <c r="G121" s="82">
        <f>IFERROR(VLOOKUP(B121,'👥 بيانات الموظفين'!$B:$I,8,0),0)</f>
        <v>0</v>
      </c>
      <c r="H121" s="82">
        <f>IFERROR(VLOOKUP(B121,'👥 بيانات الموظفين'!$B:$J,9,0),0)</f>
        <v>0</v>
      </c>
      <c r="I121" s="82">
        <f>IF(B121="",0,IFERROR(SUMIFS('➕ الخصومات والمكافآت'!$E:$E,'➕ الخصومات والمكافآت'!$B:$B,B121,'➕ الخصومات والمكافآت'!$F:$F,PayPeriod,'➕ الخصومات والمكافآت'!$C:$C,"مكافأة"),0))</f>
        <v>0</v>
      </c>
      <c r="J121" s="82">
        <f t="shared" si="16"/>
        <v>0</v>
      </c>
      <c r="K121" s="82">
        <f>IF(B121="",0,IFERROR(COUNTIFS('📅 الحضور'!$B:$B,B121,'📅 الحضور'!$L:$L,PayPeriod,'📅 الحضور'!$E:$E,"غائب")*F121/WorkDaysMonth,0))</f>
        <v>0</v>
      </c>
      <c r="L121" s="82">
        <f>IF(B121="",0,IFERROR(SUMIFS('📅 الحضور'!$I:$I,'📅 الحضور'!$B:$B,B121,'📅 الحضور'!$L:$L,PayPeriod)/60/WorkHoursDay*F121/WorkDaysMonth,0))</f>
        <v>0</v>
      </c>
      <c r="M121" s="82">
        <f>IF(B121="",0,IFERROR(SUMIFS('➕ الخصومات والمكافآت'!$E:$E,'➕ الخصومات والمكافآت'!$B:$B,B121,'➕ الخصومات والمكافآت'!$F:$F,PayPeriod,'➕ الخصومات والمكافآت'!$C:$C,"خصم"),0))</f>
        <v>0</v>
      </c>
      <c r="N121" s="82">
        <f t="shared" si="17"/>
        <v>0</v>
      </c>
      <c r="O121" s="94">
        <f t="shared" si="18"/>
        <v>0</v>
      </c>
      <c r="P121" s="53"/>
      <c r="Q121" s="88">
        <f>IF(B121="",0,IFERROR(SUMIFS('📅 الحضور'!$J:$J,'📅 الحضور'!$B:$B,B121,'📅 الحضور'!$L:$L,PayPeriod),0))</f>
        <v>0</v>
      </c>
      <c r="R121" s="89">
        <f t="shared" si="19"/>
        <v>0</v>
      </c>
      <c r="S121" s="89">
        <f>IF(B121="",0,IF(IFERROR(VLOOKUP(B121,'👥 بيانات الموظفين'!$B:$D,3,0),"")="سعودي",MIN(F121+G121,GosiCeiling)*GosiEmpRate,IF(IFERROR(VLOOKUP(B121,'👥 بيانات الموظفين'!$B:$D,3,0),"")="سعودية",MIN(F121+G121,GosiCeiling)*GosiEmpRate,0)))</f>
        <v>0</v>
      </c>
      <c r="T121" s="89">
        <f>IF(B121="",0,IF(OR(IFERROR(VLOOKUP(B121,'👥 بيانات الموظفين'!$B:$D,3,0),"")="سعودي",IFERROR(VLOOKUP(B121,'👥 بيانات الموظفين'!$B:$D,3,0),"")="سعودية"),MIN(F121+G121,GosiCeiling)*GosiCoRate,(F121+G121)*0.02))</f>
        <v>0</v>
      </c>
      <c r="U121" s="89">
        <f>IF(B121="",0,IFERROR(IF(VLOOKUP(B121,'👥 بيانات الموظفين'!$B:$M,12,0)&lt;5,F121/24,F121/12),0))</f>
        <v>0</v>
      </c>
    </row>
    <row r="122" spans="1:21" ht="22.15" customHeight="1" x14ac:dyDescent="0.2">
      <c r="A122" s="57">
        <f t="shared" si="15"/>
        <v>118</v>
      </c>
      <c r="B122" s="57">
        <f>IFERROR('👥 بيانات الموظفين'!B122,"")</f>
        <v>0</v>
      </c>
      <c r="C122" s="57" t="str">
        <f>IFERROR(VLOOKUP(B122,'👥 بيانات الموظفين'!$B:$C,2,0),"")</f>
        <v/>
      </c>
      <c r="D122" s="57" t="str">
        <f>IFERROR(VLOOKUP(B122,'👥 بيانات الموظفين'!$B:$E,4,0),"")</f>
        <v/>
      </c>
      <c r="E122" s="69">
        <f>IF(B122="",0,IFERROR(COUNTIFS('📅 الحضور'!$B:$B,B122,'📅 الحضور'!$L:$L,PayPeriod,'📅 الحضور'!$E:$E,"حاضر")+COUNTIFS('📅 الحضور'!$B:$B,B122,'📅 الحضور'!$L:$L,PayPeriod,'📅 الحضور'!$E:$E,"متأخر"),0))</f>
        <v>0</v>
      </c>
      <c r="F122" s="83">
        <f>IFERROR(VLOOKUP(B122,'👥 بيانات الموظفين'!$B:$H,7,0),0)</f>
        <v>0</v>
      </c>
      <c r="G122" s="83">
        <f>IFERROR(VLOOKUP(B122,'👥 بيانات الموظفين'!$B:$I,8,0),0)</f>
        <v>0</v>
      </c>
      <c r="H122" s="83">
        <f>IFERROR(VLOOKUP(B122,'👥 بيانات الموظفين'!$B:$J,9,0),0)</f>
        <v>0</v>
      </c>
      <c r="I122" s="83">
        <f>IF(B122="",0,IFERROR(SUMIFS('➕ الخصومات والمكافآت'!$E:$E,'➕ الخصومات والمكافآت'!$B:$B,B122,'➕ الخصومات والمكافآت'!$F:$F,PayPeriod,'➕ الخصومات والمكافآت'!$C:$C,"مكافأة"),0))</f>
        <v>0</v>
      </c>
      <c r="J122" s="83">
        <f t="shared" si="16"/>
        <v>0</v>
      </c>
      <c r="K122" s="83">
        <f>IF(B122="",0,IFERROR(COUNTIFS('📅 الحضور'!$B:$B,B122,'📅 الحضور'!$L:$L,PayPeriod,'📅 الحضور'!$E:$E,"غائب")*F122/WorkDaysMonth,0))</f>
        <v>0</v>
      </c>
      <c r="L122" s="83">
        <f>IF(B122="",0,IFERROR(SUMIFS('📅 الحضور'!$I:$I,'📅 الحضور'!$B:$B,B122,'📅 الحضور'!$L:$L,PayPeriod)/60/WorkHoursDay*F122/WorkDaysMonth,0))</f>
        <v>0</v>
      </c>
      <c r="M122" s="83">
        <f>IF(B122="",0,IFERROR(SUMIFS('➕ الخصومات والمكافآت'!$E:$E,'➕ الخصومات والمكافآت'!$B:$B,B122,'➕ الخصومات والمكافآت'!$F:$F,PayPeriod,'➕ الخصومات والمكافآت'!$C:$C,"خصم"),0))</f>
        <v>0</v>
      </c>
      <c r="N122" s="83">
        <f t="shared" si="17"/>
        <v>0</v>
      </c>
      <c r="O122" s="95">
        <f t="shared" si="18"/>
        <v>0</v>
      </c>
      <c r="P122" s="57"/>
      <c r="Q122" s="90">
        <f>IF(B122="",0,IFERROR(SUMIFS('📅 الحضور'!$J:$J,'📅 الحضور'!$B:$B,B122,'📅 الحضور'!$L:$L,PayPeriod),0))</f>
        <v>0</v>
      </c>
      <c r="R122" s="91">
        <f t="shared" si="19"/>
        <v>0</v>
      </c>
      <c r="S122" s="91">
        <f>IF(B122="",0,IF(IFERROR(VLOOKUP(B122,'👥 بيانات الموظفين'!$B:$D,3,0),"")="سعودي",MIN(F122+G122,GosiCeiling)*GosiEmpRate,IF(IFERROR(VLOOKUP(B122,'👥 بيانات الموظفين'!$B:$D,3,0),"")="سعودية",MIN(F122+G122,GosiCeiling)*GosiEmpRate,0)))</f>
        <v>0</v>
      </c>
      <c r="T122" s="91">
        <f>IF(B122="",0,IF(OR(IFERROR(VLOOKUP(B122,'👥 بيانات الموظفين'!$B:$D,3,0),"")="سعودي",IFERROR(VLOOKUP(B122,'👥 بيانات الموظفين'!$B:$D,3,0),"")="سعودية"),MIN(F122+G122,GosiCeiling)*GosiCoRate,(F122+G122)*0.02))</f>
        <v>0</v>
      </c>
      <c r="U122" s="91">
        <f>IF(B122="",0,IFERROR(IF(VLOOKUP(B122,'👥 بيانات الموظفين'!$B:$M,12,0)&lt;5,F122/24,F122/12),0))</f>
        <v>0</v>
      </c>
    </row>
    <row r="123" spans="1:21" ht="22.15" customHeight="1" x14ac:dyDescent="0.2">
      <c r="A123" s="53">
        <f t="shared" si="15"/>
        <v>119</v>
      </c>
      <c r="B123" s="53">
        <f>IFERROR('👥 بيانات الموظفين'!B123,"")</f>
        <v>0</v>
      </c>
      <c r="C123" s="53" t="str">
        <f>IFERROR(VLOOKUP(B123,'👥 بيانات الموظفين'!$B:$C,2,0),"")</f>
        <v/>
      </c>
      <c r="D123" s="53" t="str">
        <f>IFERROR(VLOOKUP(B123,'👥 بيانات الموظفين'!$B:$E,4,0),"")</f>
        <v/>
      </c>
      <c r="E123" s="68">
        <f>IF(B123="",0,IFERROR(COUNTIFS('📅 الحضور'!$B:$B,B123,'📅 الحضور'!$L:$L,PayPeriod,'📅 الحضور'!$E:$E,"حاضر")+COUNTIFS('📅 الحضور'!$B:$B,B123,'📅 الحضور'!$L:$L,PayPeriod,'📅 الحضور'!$E:$E,"متأخر"),0))</f>
        <v>0</v>
      </c>
      <c r="F123" s="82">
        <f>IFERROR(VLOOKUP(B123,'👥 بيانات الموظفين'!$B:$H,7,0),0)</f>
        <v>0</v>
      </c>
      <c r="G123" s="82">
        <f>IFERROR(VLOOKUP(B123,'👥 بيانات الموظفين'!$B:$I,8,0),0)</f>
        <v>0</v>
      </c>
      <c r="H123" s="82">
        <f>IFERROR(VLOOKUP(B123,'👥 بيانات الموظفين'!$B:$J,9,0),0)</f>
        <v>0</v>
      </c>
      <c r="I123" s="82">
        <f>IF(B123="",0,IFERROR(SUMIFS('➕ الخصومات والمكافآت'!$E:$E,'➕ الخصومات والمكافآت'!$B:$B,B123,'➕ الخصومات والمكافآت'!$F:$F,PayPeriod,'➕ الخصومات والمكافآت'!$C:$C,"مكافأة"),0))</f>
        <v>0</v>
      </c>
      <c r="J123" s="82">
        <f t="shared" si="16"/>
        <v>0</v>
      </c>
      <c r="K123" s="82">
        <f>IF(B123="",0,IFERROR(COUNTIFS('📅 الحضور'!$B:$B,B123,'📅 الحضور'!$L:$L,PayPeriod,'📅 الحضور'!$E:$E,"غائب")*F123/WorkDaysMonth,0))</f>
        <v>0</v>
      </c>
      <c r="L123" s="82">
        <f>IF(B123="",0,IFERROR(SUMIFS('📅 الحضور'!$I:$I,'📅 الحضور'!$B:$B,B123,'📅 الحضور'!$L:$L,PayPeriod)/60/WorkHoursDay*F123/WorkDaysMonth,0))</f>
        <v>0</v>
      </c>
      <c r="M123" s="82">
        <f>IF(B123="",0,IFERROR(SUMIFS('➕ الخصومات والمكافآت'!$E:$E,'➕ الخصومات والمكافآت'!$B:$B,B123,'➕ الخصومات والمكافآت'!$F:$F,PayPeriod,'➕ الخصومات والمكافآت'!$C:$C,"خصم"),0))</f>
        <v>0</v>
      </c>
      <c r="N123" s="82">
        <f t="shared" si="17"/>
        <v>0</v>
      </c>
      <c r="O123" s="94">
        <f t="shared" si="18"/>
        <v>0</v>
      </c>
      <c r="P123" s="53"/>
      <c r="Q123" s="88">
        <f>IF(B123="",0,IFERROR(SUMIFS('📅 الحضور'!$J:$J,'📅 الحضور'!$B:$B,B123,'📅 الحضور'!$L:$L,PayPeriod),0))</f>
        <v>0</v>
      </c>
      <c r="R123" s="89">
        <f t="shared" si="19"/>
        <v>0</v>
      </c>
      <c r="S123" s="89">
        <f>IF(B123="",0,IF(IFERROR(VLOOKUP(B123,'👥 بيانات الموظفين'!$B:$D,3,0),"")="سعودي",MIN(F123+G123,GosiCeiling)*GosiEmpRate,IF(IFERROR(VLOOKUP(B123,'👥 بيانات الموظفين'!$B:$D,3,0),"")="سعودية",MIN(F123+G123,GosiCeiling)*GosiEmpRate,0)))</f>
        <v>0</v>
      </c>
      <c r="T123" s="89">
        <f>IF(B123="",0,IF(OR(IFERROR(VLOOKUP(B123,'👥 بيانات الموظفين'!$B:$D,3,0),"")="سعودي",IFERROR(VLOOKUP(B123,'👥 بيانات الموظفين'!$B:$D,3,0),"")="سعودية"),MIN(F123+G123,GosiCeiling)*GosiCoRate,(F123+G123)*0.02))</f>
        <v>0</v>
      </c>
      <c r="U123" s="89">
        <f>IF(B123="",0,IFERROR(IF(VLOOKUP(B123,'👥 بيانات الموظفين'!$B:$M,12,0)&lt;5,F123/24,F123/12),0))</f>
        <v>0</v>
      </c>
    </row>
    <row r="124" spans="1:21" ht="22.15" customHeight="1" x14ac:dyDescent="0.2">
      <c r="A124" s="57">
        <f t="shared" si="15"/>
        <v>120</v>
      </c>
      <c r="B124" s="57">
        <f>IFERROR('👥 بيانات الموظفين'!B124,"")</f>
        <v>0</v>
      </c>
      <c r="C124" s="57" t="str">
        <f>IFERROR(VLOOKUP(B124,'👥 بيانات الموظفين'!$B:$C,2,0),"")</f>
        <v/>
      </c>
      <c r="D124" s="57" t="str">
        <f>IFERROR(VLOOKUP(B124,'👥 بيانات الموظفين'!$B:$E,4,0),"")</f>
        <v/>
      </c>
      <c r="E124" s="69">
        <f>IF(B124="",0,IFERROR(COUNTIFS('📅 الحضور'!$B:$B,B124,'📅 الحضور'!$L:$L,PayPeriod,'📅 الحضور'!$E:$E,"حاضر")+COUNTIFS('📅 الحضور'!$B:$B,B124,'📅 الحضور'!$L:$L,PayPeriod,'📅 الحضور'!$E:$E,"متأخر"),0))</f>
        <v>0</v>
      </c>
      <c r="F124" s="83">
        <f>IFERROR(VLOOKUP(B124,'👥 بيانات الموظفين'!$B:$H,7,0),0)</f>
        <v>0</v>
      </c>
      <c r="G124" s="83">
        <f>IFERROR(VLOOKUP(B124,'👥 بيانات الموظفين'!$B:$I,8,0),0)</f>
        <v>0</v>
      </c>
      <c r="H124" s="83">
        <f>IFERROR(VLOOKUP(B124,'👥 بيانات الموظفين'!$B:$J,9,0),0)</f>
        <v>0</v>
      </c>
      <c r="I124" s="83">
        <f>IF(B124="",0,IFERROR(SUMIFS('➕ الخصومات والمكافآت'!$E:$E,'➕ الخصومات والمكافآت'!$B:$B,B124,'➕ الخصومات والمكافآت'!$F:$F,PayPeriod,'➕ الخصومات والمكافآت'!$C:$C,"مكافأة"),0))</f>
        <v>0</v>
      </c>
      <c r="J124" s="83">
        <f t="shared" si="16"/>
        <v>0</v>
      </c>
      <c r="K124" s="83">
        <f>IF(B124="",0,IFERROR(COUNTIFS('📅 الحضور'!$B:$B,B124,'📅 الحضور'!$L:$L,PayPeriod,'📅 الحضور'!$E:$E,"غائب")*F124/WorkDaysMonth,0))</f>
        <v>0</v>
      </c>
      <c r="L124" s="83">
        <f>IF(B124="",0,IFERROR(SUMIFS('📅 الحضور'!$I:$I,'📅 الحضور'!$B:$B,B124,'📅 الحضور'!$L:$L,PayPeriod)/60/WorkHoursDay*F124/WorkDaysMonth,0))</f>
        <v>0</v>
      </c>
      <c r="M124" s="83">
        <f>IF(B124="",0,IFERROR(SUMIFS('➕ الخصومات والمكافآت'!$E:$E,'➕ الخصومات والمكافآت'!$B:$B,B124,'➕ الخصومات والمكافآت'!$F:$F,PayPeriod,'➕ الخصومات والمكافآت'!$C:$C,"خصم"),0))</f>
        <v>0</v>
      </c>
      <c r="N124" s="83">
        <f t="shared" si="17"/>
        <v>0</v>
      </c>
      <c r="O124" s="95">
        <f t="shared" si="18"/>
        <v>0</v>
      </c>
      <c r="P124" s="57"/>
      <c r="Q124" s="90">
        <f>IF(B124="",0,IFERROR(SUMIFS('📅 الحضور'!$J:$J,'📅 الحضور'!$B:$B,B124,'📅 الحضور'!$L:$L,PayPeriod),0))</f>
        <v>0</v>
      </c>
      <c r="R124" s="91">
        <f t="shared" si="19"/>
        <v>0</v>
      </c>
      <c r="S124" s="91">
        <f>IF(B124="",0,IF(IFERROR(VLOOKUP(B124,'👥 بيانات الموظفين'!$B:$D,3,0),"")="سعودي",MIN(F124+G124,GosiCeiling)*GosiEmpRate,IF(IFERROR(VLOOKUP(B124,'👥 بيانات الموظفين'!$B:$D,3,0),"")="سعودية",MIN(F124+G124,GosiCeiling)*GosiEmpRate,0)))</f>
        <v>0</v>
      </c>
      <c r="T124" s="91">
        <f>IF(B124="",0,IF(OR(IFERROR(VLOOKUP(B124,'👥 بيانات الموظفين'!$B:$D,3,0),"")="سعودي",IFERROR(VLOOKUP(B124,'👥 بيانات الموظفين'!$B:$D,3,0),"")="سعودية"),MIN(F124+G124,GosiCeiling)*GosiCoRate,(F124+G124)*0.02))</f>
        <v>0</v>
      </c>
      <c r="U124" s="91">
        <f>IF(B124="",0,IFERROR(IF(VLOOKUP(B124,'👥 بيانات الموظفين'!$B:$M,12,0)&lt;5,F124/24,F124/12),0))</f>
        <v>0</v>
      </c>
    </row>
    <row r="125" spans="1:21" ht="22.15" customHeight="1" x14ac:dyDescent="0.2">
      <c r="A125" s="53">
        <f t="shared" si="15"/>
        <v>121</v>
      </c>
      <c r="B125" s="53">
        <f>IFERROR('👥 بيانات الموظفين'!B125,"")</f>
        <v>0</v>
      </c>
      <c r="C125" s="53" t="str">
        <f>IFERROR(VLOOKUP(B125,'👥 بيانات الموظفين'!$B:$C,2,0),"")</f>
        <v/>
      </c>
      <c r="D125" s="53" t="str">
        <f>IFERROR(VLOOKUP(B125,'👥 بيانات الموظفين'!$B:$E,4,0),"")</f>
        <v/>
      </c>
      <c r="E125" s="68">
        <f>IF(B125="",0,IFERROR(COUNTIFS('📅 الحضور'!$B:$B,B125,'📅 الحضور'!$L:$L,PayPeriod,'📅 الحضور'!$E:$E,"حاضر")+COUNTIFS('📅 الحضور'!$B:$B,B125,'📅 الحضور'!$L:$L,PayPeriod,'📅 الحضور'!$E:$E,"متأخر"),0))</f>
        <v>0</v>
      </c>
      <c r="F125" s="82">
        <f>IFERROR(VLOOKUP(B125,'👥 بيانات الموظفين'!$B:$H,7,0),0)</f>
        <v>0</v>
      </c>
      <c r="G125" s="82">
        <f>IFERROR(VLOOKUP(B125,'👥 بيانات الموظفين'!$B:$I,8,0),0)</f>
        <v>0</v>
      </c>
      <c r="H125" s="82">
        <f>IFERROR(VLOOKUP(B125,'👥 بيانات الموظفين'!$B:$J,9,0),0)</f>
        <v>0</v>
      </c>
      <c r="I125" s="82">
        <f>IF(B125="",0,IFERROR(SUMIFS('➕ الخصومات والمكافآت'!$E:$E,'➕ الخصومات والمكافآت'!$B:$B,B125,'➕ الخصومات والمكافآت'!$F:$F,PayPeriod,'➕ الخصومات والمكافآت'!$C:$C,"مكافأة"),0))</f>
        <v>0</v>
      </c>
      <c r="J125" s="82">
        <f t="shared" si="16"/>
        <v>0</v>
      </c>
      <c r="K125" s="82">
        <f>IF(B125="",0,IFERROR(COUNTIFS('📅 الحضور'!$B:$B,B125,'📅 الحضور'!$L:$L,PayPeriod,'📅 الحضور'!$E:$E,"غائب")*F125/WorkDaysMonth,0))</f>
        <v>0</v>
      </c>
      <c r="L125" s="82">
        <f>IF(B125="",0,IFERROR(SUMIFS('📅 الحضور'!$I:$I,'📅 الحضور'!$B:$B,B125,'📅 الحضور'!$L:$L,PayPeriod)/60/WorkHoursDay*F125/WorkDaysMonth,0))</f>
        <v>0</v>
      </c>
      <c r="M125" s="82">
        <f>IF(B125="",0,IFERROR(SUMIFS('➕ الخصومات والمكافآت'!$E:$E,'➕ الخصومات والمكافآت'!$B:$B,B125,'➕ الخصومات والمكافآت'!$F:$F,PayPeriod,'➕ الخصومات والمكافآت'!$C:$C,"خصم"),0))</f>
        <v>0</v>
      </c>
      <c r="N125" s="82">
        <f t="shared" si="17"/>
        <v>0</v>
      </c>
      <c r="O125" s="94">
        <f t="shared" si="18"/>
        <v>0</v>
      </c>
      <c r="P125" s="53"/>
      <c r="Q125" s="88">
        <f>IF(B125="",0,IFERROR(SUMIFS('📅 الحضور'!$J:$J,'📅 الحضور'!$B:$B,B125,'📅 الحضور'!$L:$L,PayPeriod),0))</f>
        <v>0</v>
      </c>
      <c r="R125" s="89">
        <f t="shared" si="19"/>
        <v>0</v>
      </c>
      <c r="S125" s="89">
        <f>IF(B125="",0,IF(IFERROR(VLOOKUP(B125,'👥 بيانات الموظفين'!$B:$D,3,0),"")="سعودي",MIN(F125+G125,GosiCeiling)*GosiEmpRate,IF(IFERROR(VLOOKUP(B125,'👥 بيانات الموظفين'!$B:$D,3,0),"")="سعودية",MIN(F125+G125,GosiCeiling)*GosiEmpRate,0)))</f>
        <v>0</v>
      </c>
      <c r="T125" s="89">
        <f>IF(B125="",0,IF(OR(IFERROR(VLOOKUP(B125,'👥 بيانات الموظفين'!$B:$D,3,0),"")="سعودي",IFERROR(VLOOKUP(B125,'👥 بيانات الموظفين'!$B:$D,3,0),"")="سعودية"),MIN(F125+G125,GosiCeiling)*GosiCoRate,(F125+G125)*0.02))</f>
        <v>0</v>
      </c>
      <c r="U125" s="89">
        <f>IF(B125="",0,IFERROR(IF(VLOOKUP(B125,'👥 بيانات الموظفين'!$B:$M,12,0)&lt;5,F125/24,F125/12),0))</f>
        <v>0</v>
      </c>
    </row>
    <row r="126" spans="1:21" ht="22.15" customHeight="1" x14ac:dyDescent="0.2">
      <c r="A126" s="57">
        <f t="shared" si="15"/>
        <v>122</v>
      </c>
      <c r="B126" s="57">
        <f>IFERROR('👥 بيانات الموظفين'!B126,"")</f>
        <v>0</v>
      </c>
      <c r="C126" s="57" t="str">
        <f>IFERROR(VLOOKUP(B126,'👥 بيانات الموظفين'!$B:$C,2,0),"")</f>
        <v/>
      </c>
      <c r="D126" s="57" t="str">
        <f>IFERROR(VLOOKUP(B126,'👥 بيانات الموظفين'!$B:$E,4,0),"")</f>
        <v/>
      </c>
      <c r="E126" s="69">
        <f>IF(B126="",0,IFERROR(COUNTIFS('📅 الحضور'!$B:$B,B126,'📅 الحضور'!$L:$L,PayPeriod,'📅 الحضور'!$E:$E,"حاضر")+COUNTIFS('📅 الحضور'!$B:$B,B126,'📅 الحضور'!$L:$L,PayPeriod,'📅 الحضور'!$E:$E,"متأخر"),0))</f>
        <v>0</v>
      </c>
      <c r="F126" s="83">
        <f>IFERROR(VLOOKUP(B126,'👥 بيانات الموظفين'!$B:$H,7,0),0)</f>
        <v>0</v>
      </c>
      <c r="G126" s="83">
        <f>IFERROR(VLOOKUP(B126,'👥 بيانات الموظفين'!$B:$I,8,0),0)</f>
        <v>0</v>
      </c>
      <c r="H126" s="83">
        <f>IFERROR(VLOOKUP(B126,'👥 بيانات الموظفين'!$B:$J,9,0),0)</f>
        <v>0</v>
      </c>
      <c r="I126" s="83">
        <f>IF(B126="",0,IFERROR(SUMIFS('➕ الخصومات والمكافآت'!$E:$E,'➕ الخصومات والمكافآت'!$B:$B,B126,'➕ الخصومات والمكافآت'!$F:$F,PayPeriod,'➕ الخصومات والمكافآت'!$C:$C,"مكافأة"),0))</f>
        <v>0</v>
      </c>
      <c r="J126" s="83">
        <f t="shared" si="16"/>
        <v>0</v>
      </c>
      <c r="K126" s="83">
        <f>IF(B126="",0,IFERROR(COUNTIFS('📅 الحضور'!$B:$B,B126,'📅 الحضور'!$L:$L,PayPeriod,'📅 الحضور'!$E:$E,"غائب")*F126/WorkDaysMonth,0))</f>
        <v>0</v>
      </c>
      <c r="L126" s="83">
        <f>IF(B126="",0,IFERROR(SUMIFS('📅 الحضور'!$I:$I,'📅 الحضور'!$B:$B,B126,'📅 الحضور'!$L:$L,PayPeriod)/60/WorkHoursDay*F126/WorkDaysMonth,0))</f>
        <v>0</v>
      </c>
      <c r="M126" s="83">
        <f>IF(B126="",0,IFERROR(SUMIFS('➕ الخصومات والمكافآت'!$E:$E,'➕ الخصومات والمكافآت'!$B:$B,B126,'➕ الخصومات والمكافآت'!$F:$F,PayPeriod,'➕ الخصومات والمكافآت'!$C:$C,"خصم"),0))</f>
        <v>0</v>
      </c>
      <c r="N126" s="83">
        <f t="shared" si="17"/>
        <v>0</v>
      </c>
      <c r="O126" s="95">
        <f t="shared" si="18"/>
        <v>0</v>
      </c>
      <c r="P126" s="57"/>
      <c r="Q126" s="90">
        <f>IF(B126="",0,IFERROR(SUMIFS('📅 الحضور'!$J:$J,'📅 الحضور'!$B:$B,B126,'📅 الحضور'!$L:$L,PayPeriod),0))</f>
        <v>0</v>
      </c>
      <c r="R126" s="91">
        <f t="shared" si="19"/>
        <v>0</v>
      </c>
      <c r="S126" s="91">
        <f>IF(B126="",0,IF(IFERROR(VLOOKUP(B126,'👥 بيانات الموظفين'!$B:$D,3,0),"")="سعودي",MIN(F126+G126,GosiCeiling)*GosiEmpRate,IF(IFERROR(VLOOKUP(B126,'👥 بيانات الموظفين'!$B:$D,3,0),"")="سعودية",MIN(F126+G126,GosiCeiling)*GosiEmpRate,0)))</f>
        <v>0</v>
      </c>
      <c r="T126" s="91">
        <f>IF(B126="",0,IF(OR(IFERROR(VLOOKUP(B126,'👥 بيانات الموظفين'!$B:$D,3,0),"")="سعودي",IFERROR(VLOOKUP(B126,'👥 بيانات الموظفين'!$B:$D,3,0),"")="سعودية"),MIN(F126+G126,GosiCeiling)*GosiCoRate,(F126+G126)*0.02))</f>
        <v>0</v>
      </c>
      <c r="U126" s="91">
        <f>IF(B126="",0,IFERROR(IF(VLOOKUP(B126,'👥 بيانات الموظفين'!$B:$M,12,0)&lt;5,F126/24,F126/12),0))</f>
        <v>0</v>
      </c>
    </row>
    <row r="127" spans="1:21" ht="22.15" customHeight="1" x14ac:dyDescent="0.2">
      <c r="A127" s="53">
        <f t="shared" si="15"/>
        <v>123</v>
      </c>
      <c r="B127" s="53">
        <f>IFERROR('👥 بيانات الموظفين'!B127,"")</f>
        <v>0</v>
      </c>
      <c r="C127" s="53" t="str">
        <f>IFERROR(VLOOKUP(B127,'👥 بيانات الموظفين'!$B:$C,2,0),"")</f>
        <v/>
      </c>
      <c r="D127" s="53" t="str">
        <f>IFERROR(VLOOKUP(B127,'👥 بيانات الموظفين'!$B:$E,4,0),"")</f>
        <v/>
      </c>
      <c r="E127" s="68">
        <f>IF(B127="",0,IFERROR(COUNTIFS('📅 الحضور'!$B:$B,B127,'📅 الحضور'!$L:$L,PayPeriod,'📅 الحضور'!$E:$E,"حاضر")+COUNTIFS('📅 الحضور'!$B:$B,B127,'📅 الحضور'!$L:$L,PayPeriod,'📅 الحضور'!$E:$E,"متأخر"),0))</f>
        <v>0</v>
      </c>
      <c r="F127" s="82">
        <f>IFERROR(VLOOKUP(B127,'👥 بيانات الموظفين'!$B:$H,7,0),0)</f>
        <v>0</v>
      </c>
      <c r="G127" s="82">
        <f>IFERROR(VLOOKUP(B127,'👥 بيانات الموظفين'!$B:$I,8,0),0)</f>
        <v>0</v>
      </c>
      <c r="H127" s="82">
        <f>IFERROR(VLOOKUP(B127,'👥 بيانات الموظفين'!$B:$J,9,0),0)</f>
        <v>0</v>
      </c>
      <c r="I127" s="82">
        <f>IF(B127="",0,IFERROR(SUMIFS('➕ الخصومات والمكافآت'!$E:$E,'➕ الخصومات والمكافآت'!$B:$B,B127,'➕ الخصومات والمكافآت'!$F:$F,PayPeriod,'➕ الخصومات والمكافآت'!$C:$C,"مكافأة"),0))</f>
        <v>0</v>
      </c>
      <c r="J127" s="82">
        <f t="shared" si="16"/>
        <v>0</v>
      </c>
      <c r="K127" s="82">
        <f>IF(B127="",0,IFERROR(COUNTIFS('📅 الحضور'!$B:$B,B127,'📅 الحضور'!$L:$L,PayPeriod,'📅 الحضور'!$E:$E,"غائب")*F127/WorkDaysMonth,0))</f>
        <v>0</v>
      </c>
      <c r="L127" s="82">
        <f>IF(B127="",0,IFERROR(SUMIFS('📅 الحضور'!$I:$I,'📅 الحضور'!$B:$B,B127,'📅 الحضور'!$L:$L,PayPeriod)/60/WorkHoursDay*F127/WorkDaysMonth,0))</f>
        <v>0</v>
      </c>
      <c r="M127" s="82">
        <f>IF(B127="",0,IFERROR(SUMIFS('➕ الخصومات والمكافآت'!$E:$E,'➕ الخصومات والمكافآت'!$B:$B,B127,'➕ الخصومات والمكافآت'!$F:$F,PayPeriod,'➕ الخصومات والمكافآت'!$C:$C,"خصم"),0))</f>
        <v>0</v>
      </c>
      <c r="N127" s="82">
        <f t="shared" si="17"/>
        <v>0</v>
      </c>
      <c r="O127" s="94">
        <f t="shared" si="18"/>
        <v>0</v>
      </c>
      <c r="P127" s="53"/>
      <c r="Q127" s="88">
        <f>IF(B127="",0,IFERROR(SUMIFS('📅 الحضور'!$J:$J,'📅 الحضور'!$B:$B,B127,'📅 الحضور'!$L:$L,PayPeriod),0))</f>
        <v>0</v>
      </c>
      <c r="R127" s="89">
        <f t="shared" si="19"/>
        <v>0</v>
      </c>
      <c r="S127" s="89">
        <f>IF(B127="",0,IF(IFERROR(VLOOKUP(B127,'👥 بيانات الموظفين'!$B:$D,3,0),"")="سعودي",MIN(F127+G127,GosiCeiling)*GosiEmpRate,IF(IFERROR(VLOOKUP(B127,'👥 بيانات الموظفين'!$B:$D,3,0),"")="سعودية",MIN(F127+G127,GosiCeiling)*GosiEmpRate,0)))</f>
        <v>0</v>
      </c>
      <c r="T127" s="89">
        <f>IF(B127="",0,IF(OR(IFERROR(VLOOKUP(B127,'👥 بيانات الموظفين'!$B:$D,3,0),"")="سعودي",IFERROR(VLOOKUP(B127,'👥 بيانات الموظفين'!$B:$D,3,0),"")="سعودية"),MIN(F127+G127,GosiCeiling)*GosiCoRate,(F127+G127)*0.02))</f>
        <v>0</v>
      </c>
      <c r="U127" s="89">
        <f>IF(B127="",0,IFERROR(IF(VLOOKUP(B127,'👥 بيانات الموظفين'!$B:$M,12,0)&lt;5,F127/24,F127/12),0))</f>
        <v>0</v>
      </c>
    </row>
    <row r="128" spans="1:21" ht="22.15" customHeight="1" x14ac:dyDescent="0.2">
      <c r="A128" s="57">
        <f t="shared" si="15"/>
        <v>124</v>
      </c>
      <c r="B128" s="57">
        <f>IFERROR('👥 بيانات الموظفين'!B128,"")</f>
        <v>0</v>
      </c>
      <c r="C128" s="57" t="str">
        <f>IFERROR(VLOOKUP(B128,'👥 بيانات الموظفين'!$B:$C,2,0),"")</f>
        <v/>
      </c>
      <c r="D128" s="57" t="str">
        <f>IFERROR(VLOOKUP(B128,'👥 بيانات الموظفين'!$B:$E,4,0),"")</f>
        <v/>
      </c>
      <c r="E128" s="69">
        <f>IF(B128="",0,IFERROR(COUNTIFS('📅 الحضور'!$B:$B,B128,'📅 الحضور'!$L:$L,PayPeriod,'📅 الحضور'!$E:$E,"حاضر")+COUNTIFS('📅 الحضور'!$B:$B,B128,'📅 الحضور'!$L:$L,PayPeriod,'📅 الحضور'!$E:$E,"متأخر"),0))</f>
        <v>0</v>
      </c>
      <c r="F128" s="83">
        <f>IFERROR(VLOOKUP(B128,'👥 بيانات الموظفين'!$B:$H,7,0),0)</f>
        <v>0</v>
      </c>
      <c r="G128" s="83">
        <f>IFERROR(VLOOKUP(B128,'👥 بيانات الموظفين'!$B:$I,8,0),0)</f>
        <v>0</v>
      </c>
      <c r="H128" s="83">
        <f>IFERROR(VLOOKUP(B128,'👥 بيانات الموظفين'!$B:$J,9,0),0)</f>
        <v>0</v>
      </c>
      <c r="I128" s="83">
        <f>IF(B128="",0,IFERROR(SUMIFS('➕ الخصومات والمكافآت'!$E:$E,'➕ الخصومات والمكافآت'!$B:$B,B128,'➕ الخصومات والمكافآت'!$F:$F,PayPeriod,'➕ الخصومات والمكافآت'!$C:$C,"مكافأة"),0))</f>
        <v>0</v>
      </c>
      <c r="J128" s="83">
        <f t="shared" si="16"/>
        <v>0</v>
      </c>
      <c r="K128" s="83">
        <f>IF(B128="",0,IFERROR(COUNTIFS('📅 الحضور'!$B:$B,B128,'📅 الحضور'!$L:$L,PayPeriod,'📅 الحضور'!$E:$E,"غائب")*F128/WorkDaysMonth,0))</f>
        <v>0</v>
      </c>
      <c r="L128" s="83">
        <f>IF(B128="",0,IFERROR(SUMIFS('📅 الحضور'!$I:$I,'📅 الحضور'!$B:$B,B128,'📅 الحضور'!$L:$L,PayPeriod)/60/WorkHoursDay*F128/WorkDaysMonth,0))</f>
        <v>0</v>
      </c>
      <c r="M128" s="83">
        <f>IF(B128="",0,IFERROR(SUMIFS('➕ الخصومات والمكافآت'!$E:$E,'➕ الخصومات والمكافآت'!$B:$B,B128,'➕ الخصومات والمكافآت'!$F:$F,PayPeriod,'➕ الخصومات والمكافآت'!$C:$C,"خصم"),0))</f>
        <v>0</v>
      </c>
      <c r="N128" s="83">
        <f t="shared" si="17"/>
        <v>0</v>
      </c>
      <c r="O128" s="95">
        <f t="shared" si="18"/>
        <v>0</v>
      </c>
      <c r="P128" s="57"/>
      <c r="Q128" s="90">
        <f>IF(B128="",0,IFERROR(SUMIFS('📅 الحضور'!$J:$J,'📅 الحضور'!$B:$B,B128,'📅 الحضور'!$L:$L,PayPeriod),0))</f>
        <v>0</v>
      </c>
      <c r="R128" s="91">
        <f t="shared" si="19"/>
        <v>0</v>
      </c>
      <c r="S128" s="91">
        <f>IF(B128="",0,IF(IFERROR(VLOOKUP(B128,'👥 بيانات الموظفين'!$B:$D,3,0),"")="سعودي",MIN(F128+G128,GosiCeiling)*GosiEmpRate,IF(IFERROR(VLOOKUP(B128,'👥 بيانات الموظفين'!$B:$D,3,0),"")="سعودية",MIN(F128+G128,GosiCeiling)*GosiEmpRate,0)))</f>
        <v>0</v>
      </c>
      <c r="T128" s="91">
        <f>IF(B128="",0,IF(OR(IFERROR(VLOOKUP(B128,'👥 بيانات الموظفين'!$B:$D,3,0),"")="سعودي",IFERROR(VLOOKUP(B128,'👥 بيانات الموظفين'!$B:$D,3,0),"")="سعودية"),MIN(F128+G128,GosiCeiling)*GosiCoRate,(F128+G128)*0.02))</f>
        <v>0</v>
      </c>
      <c r="U128" s="91">
        <f>IF(B128="",0,IFERROR(IF(VLOOKUP(B128,'👥 بيانات الموظفين'!$B:$M,12,0)&lt;5,F128/24,F128/12),0))</f>
        <v>0</v>
      </c>
    </row>
    <row r="129" spans="1:21" ht="22.15" customHeight="1" x14ac:dyDescent="0.2">
      <c r="A129" s="53">
        <f t="shared" si="15"/>
        <v>125</v>
      </c>
      <c r="B129" s="53">
        <f>IFERROR('👥 بيانات الموظفين'!B129,"")</f>
        <v>0</v>
      </c>
      <c r="C129" s="53" t="str">
        <f>IFERROR(VLOOKUP(B129,'👥 بيانات الموظفين'!$B:$C,2,0),"")</f>
        <v/>
      </c>
      <c r="D129" s="53" t="str">
        <f>IFERROR(VLOOKUP(B129,'👥 بيانات الموظفين'!$B:$E,4,0),"")</f>
        <v/>
      </c>
      <c r="E129" s="68">
        <f>IF(B129="",0,IFERROR(COUNTIFS('📅 الحضور'!$B:$B,B129,'📅 الحضور'!$L:$L,PayPeriod,'📅 الحضور'!$E:$E,"حاضر")+COUNTIFS('📅 الحضور'!$B:$B,B129,'📅 الحضور'!$L:$L,PayPeriod,'📅 الحضور'!$E:$E,"متأخر"),0))</f>
        <v>0</v>
      </c>
      <c r="F129" s="82">
        <f>IFERROR(VLOOKUP(B129,'👥 بيانات الموظفين'!$B:$H,7,0),0)</f>
        <v>0</v>
      </c>
      <c r="G129" s="82">
        <f>IFERROR(VLOOKUP(B129,'👥 بيانات الموظفين'!$B:$I,8,0),0)</f>
        <v>0</v>
      </c>
      <c r="H129" s="82">
        <f>IFERROR(VLOOKUP(B129,'👥 بيانات الموظفين'!$B:$J,9,0),0)</f>
        <v>0</v>
      </c>
      <c r="I129" s="82">
        <f>IF(B129="",0,IFERROR(SUMIFS('➕ الخصومات والمكافآت'!$E:$E,'➕ الخصومات والمكافآت'!$B:$B,B129,'➕ الخصومات والمكافآت'!$F:$F,PayPeriod,'➕ الخصومات والمكافآت'!$C:$C,"مكافأة"),0))</f>
        <v>0</v>
      </c>
      <c r="J129" s="82">
        <f t="shared" si="16"/>
        <v>0</v>
      </c>
      <c r="K129" s="82">
        <f>IF(B129="",0,IFERROR(COUNTIFS('📅 الحضور'!$B:$B,B129,'📅 الحضور'!$L:$L,PayPeriod,'📅 الحضور'!$E:$E,"غائب")*F129/WorkDaysMonth,0))</f>
        <v>0</v>
      </c>
      <c r="L129" s="82">
        <f>IF(B129="",0,IFERROR(SUMIFS('📅 الحضور'!$I:$I,'📅 الحضور'!$B:$B,B129,'📅 الحضور'!$L:$L,PayPeriod)/60/WorkHoursDay*F129/WorkDaysMonth,0))</f>
        <v>0</v>
      </c>
      <c r="M129" s="82">
        <f>IF(B129="",0,IFERROR(SUMIFS('➕ الخصومات والمكافآت'!$E:$E,'➕ الخصومات والمكافآت'!$B:$B,B129,'➕ الخصومات والمكافآت'!$F:$F,PayPeriod,'➕ الخصومات والمكافآت'!$C:$C,"خصم"),0))</f>
        <v>0</v>
      </c>
      <c r="N129" s="82">
        <f t="shared" si="17"/>
        <v>0</v>
      </c>
      <c r="O129" s="94">
        <f t="shared" si="18"/>
        <v>0</v>
      </c>
      <c r="P129" s="53"/>
      <c r="Q129" s="88">
        <f>IF(B129="",0,IFERROR(SUMIFS('📅 الحضور'!$J:$J,'📅 الحضور'!$B:$B,B129,'📅 الحضور'!$L:$L,PayPeriod),0))</f>
        <v>0</v>
      </c>
      <c r="R129" s="89">
        <f t="shared" si="19"/>
        <v>0</v>
      </c>
      <c r="S129" s="89">
        <f>IF(B129="",0,IF(IFERROR(VLOOKUP(B129,'👥 بيانات الموظفين'!$B:$D,3,0),"")="سعودي",MIN(F129+G129,GosiCeiling)*GosiEmpRate,IF(IFERROR(VLOOKUP(B129,'👥 بيانات الموظفين'!$B:$D,3,0),"")="سعودية",MIN(F129+G129,GosiCeiling)*GosiEmpRate,0)))</f>
        <v>0</v>
      </c>
      <c r="T129" s="89">
        <f>IF(B129="",0,IF(OR(IFERROR(VLOOKUP(B129,'👥 بيانات الموظفين'!$B:$D,3,0),"")="سعودي",IFERROR(VLOOKUP(B129,'👥 بيانات الموظفين'!$B:$D,3,0),"")="سعودية"),MIN(F129+G129,GosiCeiling)*GosiCoRate,(F129+G129)*0.02))</f>
        <v>0</v>
      </c>
      <c r="U129" s="89">
        <f>IF(B129="",0,IFERROR(IF(VLOOKUP(B129,'👥 بيانات الموظفين'!$B:$M,12,0)&lt;5,F129/24,F129/12),0))</f>
        <v>0</v>
      </c>
    </row>
    <row r="130" spans="1:21" ht="22.15" customHeight="1" x14ac:dyDescent="0.2">
      <c r="A130" s="57">
        <f t="shared" si="15"/>
        <v>126</v>
      </c>
      <c r="B130" s="57">
        <f>IFERROR('👥 بيانات الموظفين'!B130,"")</f>
        <v>0</v>
      </c>
      <c r="C130" s="57" t="str">
        <f>IFERROR(VLOOKUP(B130,'👥 بيانات الموظفين'!$B:$C,2,0),"")</f>
        <v/>
      </c>
      <c r="D130" s="57" t="str">
        <f>IFERROR(VLOOKUP(B130,'👥 بيانات الموظفين'!$B:$E,4,0),"")</f>
        <v/>
      </c>
      <c r="E130" s="69">
        <f>IF(B130="",0,IFERROR(COUNTIFS('📅 الحضور'!$B:$B,B130,'📅 الحضور'!$L:$L,PayPeriod,'📅 الحضور'!$E:$E,"حاضر")+COUNTIFS('📅 الحضور'!$B:$B,B130,'📅 الحضور'!$L:$L,PayPeriod,'📅 الحضور'!$E:$E,"متأخر"),0))</f>
        <v>0</v>
      </c>
      <c r="F130" s="83">
        <f>IFERROR(VLOOKUP(B130,'👥 بيانات الموظفين'!$B:$H,7,0),0)</f>
        <v>0</v>
      </c>
      <c r="G130" s="83">
        <f>IFERROR(VLOOKUP(B130,'👥 بيانات الموظفين'!$B:$I,8,0),0)</f>
        <v>0</v>
      </c>
      <c r="H130" s="83">
        <f>IFERROR(VLOOKUP(B130,'👥 بيانات الموظفين'!$B:$J,9,0),0)</f>
        <v>0</v>
      </c>
      <c r="I130" s="83">
        <f>IF(B130="",0,IFERROR(SUMIFS('➕ الخصومات والمكافآت'!$E:$E,'➕ الخصومات والمكافآت'!$B:$B,B130,'➕ الخصومات والمكافآت'!$F:$F,PayPeriod,'➕ الخصومات والمكافآت'!$C:$C,"مكافأة"),0))</f>
        <v>0</v>
      </c>
      <c r="J130" s="83">
        <f t="shared" si="16"/>
        <v>0</v>
      </c>
      <c r="K130" s="83">
        <f>IF(B130="",0,IFERROR(COUNTIFS('📅 الحضور'!$B:$B,B130,'📅 الحضور'!$L:$L,PayPeriod,'📅 الحضور'!$E:$E,"غائب")*F130/WorkDaysMonth,0))</f>
        <v>0</v>
      </c>
      <c r="L130" s="83">
        <f>IF(B130="",0,IFERROR(SUMIFS('📅 الحضور'!$I:$I,'📅 الحضور'!$B:$B,B130,'📅 الحضور'!$L:$L,PayPeriod)/60/WorkHoursDay*F130/WorkDaysMonth,0))</f>
        <v>0</v>
      </c>
      <c r="M130" s="83">
        <f>IF(B130="",0,IFERROR(SUMIFS('➕ الخصومات والمكافآت'!$E:$E,'➕ الخصومات والمكافآت'!$B:$B,B130,'➕ الخصومات والمكافآت'!$F:$F,PayPeriod,'➕ الخصومات والمكافآت'!$C:$C,"خصم"),0))</f>
        <v>0</v>
      </c>
      <c r="N130" s="83">
        <f t="shared" si="17"/>
        <v>0</v>
      </c>
      <c r="O130" s="95">
        <f t="shared" si="18"/>
        <v>0</v>
      </c>
      <c r="P130" s="57"/>
      <c r="Q130" s="90">
        <f>IF(B130="",0,IFERROR(SUMIFS('📅 الحضور'!$J:$J,'📅 الحضور'!$B:$B,B130,'📅 الحضور'!$L:$L,PayPeriod),0))</f>
        <v>0</v>
      </c>
      <c r="R130" s="91">
        <f t="shared" si="19"/>
        <v>0</v>
      </c>
      <c r="S130" s="91">
        <f>IF(B130="",0,IF(IFERROR(VLOOKUP(B130,'👥 بيانات الموظفين'!$B:$D,3,0),"")="سعودي",MIN(F130+G130,GosiCeiling)*GosiEmpRate,IF(IFERROR(VLOOKUP(B130,'👥 بيانات الموظفين'!$B:$D,3,0),"")="سعودية",MIN(F130+G130,GosiCeiling)*GosiEmpRate,0)))</f>
        <v>0</v>
      </c>
      <c r="T130" s="91">
        <f>IF(B130="",0,IF(OR(IFERROR(VLOOKUP(B130,'👥 بيانات الموظفين'!$B:$D,3,0),"")="سعودي",IFERROR(VLOOKUP(B130,'👥 بيانات الموظفين'!$B:$D,3,0),"")="سعودية"),MIN(F130+G130,GosiCeiling)*GosiCoRate,(F130+G130)*0.02))</f>
        <v>0</v>
      </c>
      <c r="U130" s="91">
        <f>IF(B130="",0,IFERROR(IF(VLOOKUP(B130,'👥 بيانات الموظفين'!$B:$M,12,0)&lt;5,F130/24,F130/12),0))</f>
        <v>0</v>
      </c>
    </row>
    <row r="131" spans="1:21" ht="22.15" customHeight="1" x14ac:dyDescent="0.2">
      <c r="A131" s="53">
        <f t="shared" si="15"/>
        <v>127</v>
      </c>
      <c r="B131" s="53">
        <f>IFERROR('👥 بيانات الموظفين'!B131,"")</f>
        <v>0</v>
      </c>
      <c r="C131" s="53" t="str">
        <f>IFERROR(VLOOKUP(B131,'👥 بيانات الموظفين'!$B:$C,2,0),"")</f>
        <v/>
      </c>
      <c r="D131" s="53" t="str">
        <f>IFERROR(VLOOKUP(B131,'👥 بيانات الموظفين'!$B:$E,4,0),"")</f>
        <v/>
      </c>
      <c r="E131" s="68">
        <f>IF(B131="",0,IFERROR(COUNTIFS('📅 الحضور'!$B:$B,B131,'📅 الحضور'!$L:$L,PayPeriod,'📅 الحضور'!$E:$E,"حاضر")+COUNTIFS('📅 الحضور'!$B:$B,B131,'📅 الحضور'!$L:$L,PayPeriod,'📅 الحضور'!$E:$E,"متأخر"),0))</f>
        <v>0</v>
      </c>
      <c r="F131" s="82">
        <f>IFERROR(VLOOKUP(B131,'👥 بيانات الموظفين'!$B:$H,7,0),0)</f>
        <v>0</v>
      </c>
      <c r="G131" s="82">
        <f>IFERROR(VLOOKUP(B131,'👥 بيانات الموظفين'!$B:$I,8,0),0)</f>
        <v>0</v>
      </c>
      <c r="H131" s="82">
        <f>IFERROR(VLOOKUP(B131,'👥 بيانات الموظفين'!$B:$J,9,0),0)</f>
        <v>0</v>
      </c>
      <c r="I131" s="82">
        <f>IF(B131="",0,IFERROR(SUMIFS('➕ الخصومات والمكافآت'!$E:$E,'➕ الخصومات والمكافآت'!$B:$B,B131,'➕ الخصومات والمكافآت'!$F:$F,PayPeriod,'➕ الخصومات والمكافآت'!$C:$C,"مكافأة"),0))</f>
        <v>0</v>
      </c>
      <c r="J131" s="82">
        <f t="shared" si="16"/>
        <v>0</v>
      </c>
      <c r="K131" s="82">
        <f>IF(B131="",0,IFERROR(COUNTIFS('📅 الحضور'!$B:$B,B131,'📅 الحضور'!$L:$L,PayPeriod,'📅 الحضور'!$E:$E,"غائب")*F131/WorkDaysMonth,0))</f>
        <v>0</v>
      </c>
      <c r="L131" s="82">
        <f>IF(B131="",0,IFERROR(SUMIFS('📅 الحضور'!$I:$I,'📅 الحضور'!$B:$B,B131,'📅 الحضور'!$L:$L,PayPeriod)/60/WorkHoursDay*F131/WorkDaysMonth,0))</f>
        <v>0</v>
      </c>
      <c r="M131" s="82">
        <f>IF(B131="",0,IFERROR(SUMIFS('➕ الخصومات والمكافآت'!$E:$E,'➕ الخصومات والمكافآت'!$B:$B,B131,'➕ الخصومات والمكافآت'!$F:$F,PayPeriod,'➕ الخصومات والمكافآت'!$C:$C,"خصم"),0))</f>
        <v>0</v>
      </c>
      <c r="N131" s="82">
        <f t="shared" si="17"/>
        <v>0</v>
      </c>
      <c r="O131" s="94">
        <f t="shared" si="18"/>
        <v>0</v>
      </c>
      <c r="P131" s="53"/>
      <c r="Q131" s="88">
        <f>IF(B131="",0,IFERROR(SUMIFS('📅 الحضور'!$J:$J,'📅 الحضور'!$B:$B,B131,'📅 الحضور'!$L:$L,PayPeriod),0))</f>
        <v>0</v>
      </c>
      <c r="R131" s="89">
        <f t="shared" si="19"/>
        <v>0</v>
      </c>
      <c r="S131" s="89">
        <f>IF(B131="",0,IF(IFERROR(VLOOKUP(B131,'👥 بيانات الموظفين'!$B:$D,3,0),"")="سعودي",MIN(F131+G131,GosiCeiling)*GosiEmpRate,IF(IFERROR(VLOOKUP(B131,'👥 بيانات الموظفين'!$B:$D,3,0),"")="سعودية",MIN(F131+G131,GosiCeiling)*GosiEmpRate,0)))</f>
        <v>0</v>
      </c>
      <c r="T131" s="89">
        <f>IF(B131="",0,IF(OR(IFERROR(VLOOKUP(B131,'👥 بيانات الموظفين'!$B:$D,3,0),"")="سعودي",IFERROR(VLOOKUP(B131,'👥 بيانات الموظفين'!$B:$D,3,0),"")="سعودية"),MIN(F131+G131,GosiCeiling)*GosiCoRate,(F131+G131)*0.02))</f>
        <v>0</v>
      </c>
      <c r="U131" s="89">
        <f>IF(B131="",0,IFERROR(IF(VLOOKUP(B131,'👥 بيانات الموظفين'!$B:$M,12,0)&lt;5,F131/24,F131/12),0))</f>
        <v>0</v>
      </c>
    </row>
    <row r="132" spans="1:21" ht="22.15" customHeight="1" x14ac:dyDescent="0.2">
      <c r="A132" s="57">
        <f t="shared" si="15"/>
        <v>128</v>
      </c>
      <c r="B132" s="57">
        <f>IFERROR('👥 بيانات الموظفين'!B132,"")</f>
        <v>0</v>
      </c>
      <c r="C132" s="57" t="str">
        <f>IFERROR(VLOOKUP(B132,'👥 بيانات الموظفين'!$B:$C,2,0),"")</f>
        <v/>
      </c>
      <c r="D132" s="57" t="str">
        <f>IFERROR(VLOOKUP(B132,'👥 بيانات الموظفين'!$B:$E,4,0),"")</f>
        <v/>
      </c>
      <c r="E132" s="69">
        <f>IF(B132="",0,IFERROR(COUNTIFS('📅 الحضور'!$B:$B,B132,'📅 الحضور'!$L:$L,PayPeriod,'📅 الحضور'!$E:$E,"حاضر")+COUNTIFS('📅 الحضور'!$B:$B,B132,'📅 الحضور'!$L:$L,PayPeriod,'📅 الحضور'!$E:$E,"متأخر"),0))</f>
        <v>0</v>
      </c>
      <c r="F132" s="83">
        <f>IFERROR(VLOOKUP(B132,'👥 بيانات الموظفين'!$B:$H,7,0),0)</f>
        <v>0</v>
      </c>
      <c r="G132" s="83">
        <f>IFERROR(VLOOKUP(B132,'👥 بيانات الموظفين'!$B:$I,8,0),0)</f>
        <v>0</v>
      </c>
      <c r="H132" s="83">
        <f>IFERROR(VLOOKUP(B132,'👥 بيانات الموظفين'!$B:$J,9,0),0)</f>
        <v>0</v>
      </c>
      <c r="I132" s="83">
        <f>IF(B132="",0,IFERROR(SUMIFS('➕ الخصومات والمكافآت'!$E:$E,'➕ الخصومات والمكافآت'!$B:$B,B132,'➕ الخصومات والمكافآت'!$F:$F,PayPeriod,'➕ الخصومات والمكافآت'!$C:$C,"مكافأة"),0))</f>
        <v>0</v>
      </c>
      <c r="J132" s="83">
        <f t="shared" si="16"/>
        <v>0</v>
      </c>
      <c r="K132" s="83">
        <f>IF(B132="",0,IFERROR(COUNTIFS('📅 الحضور'!$B:$B,B132,'📅 الحضور'!$L:$L,PayPeriod,'📅 الحضور'!$E:$E,"غائب")*F132/WorkDaysMonth,0))</f>
        <v>0</v>
      </c>
      <c r="L132" s="83">
        <f>IF(B132="",0,IFERROR(SUMIFS('📅 الحضور'!$I:$I,'📅 الحضور'!$B:$B,B132,'📅 الحضور'!$L:$L,PayPeriod)/60/WorkHoursDay*F132/WorkDaysMonth,0))</f>
        <v>0</v>
      </c>
      <c r="M132" s="83">
        <f>IF(B132="",0,IFERROR(SUMIFS('➕ الخصومات والمكافآت'!$E:$E,'➕ الخصومات والمكافآت'!$B:$B,B132,'➕ الخصومات والمكافآت'!$F:$F,PayPeriod,'➕ الخصومات والمكافآت'!$C:$C,"خصم"),0))</f>
        <v>0</v>
      </c>
      <c r="N132" s="83">
        <f t="shared" si="17"/>
        <v>0</v>
      </c>
      <c r="O132" s="95">
        <f t="shared" si="18"/>
        <v>0</v>
      </c>
      <c r="P132" s="57"/>
      <c r="Q132" s="90">
        <f>IF(B132="",0,IFERROR(SUMIFS('📅 الحضور'!$J:$J,'📅 الحضور'!$B:$B,B132,'📅 الحضور'!$L:$L,PayPeriod),0))</f>
        <v>0</v>
      </c>
      <c r="R132" s="91">
        <f t="shared" si="19"/>
        <v>0</v>
      </c>
      <c r="S132" s="91">
        <f>IF(B132="",0,IF(IFERROR(VLOOKUP(B132,'👥 بيانات الموظفين'!$B:$D,3,0),"")="سعودي",MIN(F132+G132,GosiCeiling)*GosiEmpRate,IF(IFERROR(VLOOKUP(B132,'👥 بيانات الموظفين'!$B:$D,3,0),"")="سعودية",MIN(F132+G132,GosiCeiling)*GosiEmpRate,0)))</f>
        <v>0</v>
      </c>
      <c r="T132" s="91">
        <f>IF(B132="",0,IF(OR(IFERROR(VLOOKUP(B132,'👥 بيانات الموظفين'!$B:$D,3,0),"")="سعودي",IFERROR(VLOOKUP(B132,'👥 بيانات الموظفين'!$B:$D,3,0),"")="سعودية"),MIN(F132+G132,GosiCeiling)*GosiCoRate,(F132+G132)*0.02))</f>
        <v>0</v>
      </c>
      <c r="U132" s="91">
        <f>IF(B132="",0,IFERROR(IF(VLOOKUP(B132,'👥 بيانات الموظفين'!$B:$M,12,0)&lt;5,F132/24,F132/12),0))</f>
        <v>0</v>
      </c>
    </row>
    <row r="133" spans="1:21" ht="22.15" customHeight="1" x14ac:dyDescent="0.2">
      <c r="A133" s="53">
        <f t="shared" ref="A133:A164" si="20">IF(B133&lt;&gt;"",ROW()-4,"")</f>
        <v>129</v>
      </c>
      <c r="B133" s="53">
        <f>IFERROR('👥 بيانات الموظفين'!B133,"")</f>
        <v>0</v>
      </c>
      <c r="C133" s="53" t="str">
        <f>IFERROR(VLOOKUP(B133,'👥 بيانات الموظفين'!$B:$C,2,0),"")</f>
        <v/>
      </c>
      <c r="D133" s="53" t="str">
        <f>IFERROR(VLOOKUP(B133,'👥 بيانات الموظفين'!$B:$E,4,0),"")</f>
        <v/>
      </c>
      <c r="E133" s="68">
        <f>IF(B133="",0,IFERROR(COUNTIFS('📅 الحضور'!$B:$B,B133,'📅 الحضور'!$L:$L,PayPeriod,'📅 الحضور'!$E:$E,"حاضر")+COUNTIFS('📅 الحضور'!$B:$B,B133,'📅 الحضور'!$L:$L,PayPeriod,'📅 الحضور'!$E:$E,"متأخر"),0))</f>
        <v>0</v>
      </c>
      <c r="F133" s="82">
        <f>IFERROR(VLOOKUP(B133,'👥 بيانات الموظفين'!$B:$H,7,0),0)</f>
        <v>0</v>
      </c>
      <c r="G133" s="82">
        <f>IFERROR(VLOOKUP(B133,'👥 بيانات الموظفين'!$B:$I,8,0),0)</f>
        <v>0</v>
      </c>
      <c r="H133" s="82">
        <f>IFERROR(VLOOKUP(B133,'👥 بيانات الموظفين'!$B:$J,9,0),0)</f>
        <v>0</v>
      </c>
      <c r="I133" s="82">
        <f>IF(B133="",0,IFERROR(SUMIFS('➕ الخصومات والمكافآت'!$E:$E,'➕ الخصومات والمكافآت'!$B:$B,B133,'➕ الخصومات والمكافآت'!$F:$F,PayPeriod,'➕ الخصومات والمكافآت'!$C:$C,"مكافأة"),0))</f>
        <v>0</v>
      </c>
      <c r="J133" s="82">
        <f t="shared" ref="J133:J164" si="21">IF(B133="","",F133+G133+H133+I133+R133)</f>
        <v>0</v>
      </c>
      <c r="K133" s="82">
        <f>IF(B133="",0,IFERROR(COUNTIFS('📅 الحضور'!$B:$B,B133,'📅 الحضور'!$L:$L,PayPeriod,'📅 الحضور'!$E:$E,"غائب")*F133/WorkDaysMonth,0))</f>
        <v>0</v>
      </c>
      <c r="L133" s="82">
        <f>IF(B133="",0,IFERROR(SUMIFS('📅 الحضور'!$I:$I,'📅 الحضور'!$B:$B,B133,'📅 الحضور'!$L:$L,PayPeriod)/60/WorkHoursDay*F133/WorkDaysMonth,0))</f>
        <v>0</v>
      </c>
      <c r="M133" s="82">
        <f>IF(B133="",0,IFERROR(SUMIFS('➕ الخصومات والمكافآت'!$E:$E,'➕ الخصومات والمكافآت'!$B:$B,B133,'➕ الخصومات والمكافآت'!$F:$F,PayPeriod,'➕ الخصومات والمكافآت'!$C:$C,"خصم"),0))</f>
        <v>0</v>
      </c>
      <c r="N133" s="82">
        <f t="shared" ref="N133:N164" si="22">IF(B133="","",K133+L133+M133+S133)</f>
        <v>0</v>
      </c>
      <c r="O133" s="94">
        <f t="shared" ref="O133:O164" si="23">IF(B133="","",J133-N133)</f>
        <v>0</v>
      </c>
      <c r="P133" s="53"/>
      <c r="Q133" s="88">
        <f>IF(B133="",0,IFERROR(SUMIFS('📅 الحضور'!$J:$J,'📅 الحضور'!$B:$B,B133,'📅 الحضور'!$L:$L,PayPeriod),0))</f>
        <v>0</v>
      </c>
      <c r="R133" s="89">
        <f t="shared" ref="R133:R164" si="24">IF(B133="",0,IFERROR(Q133*(F133/WorkHoursMonth)*OTRateRegular,0))</f>
        <v>0</v>
      </c>
      <c r="S133" s="89">
        <f>IF(B133="",0,IF(IFERROR(VLOOKUP(B133,'👥 بيانات الموظفين'!$B:$D,3,0),"")="سعودي",MIN(F133+G133,GosiCeiling)*GosiEmpRate,IF(IFERROR(VLOOKUP(B133,'👥 بيانات الموظفين'!$B:$D,3,0),"")="سعودية",MIN(F133+G133,GosiCeiling)*GosiEmpRate,0)))</f>
        <v>0</v>
      </c>
      <c r="T133" s="89">
        <f>IF(B133="",0,IF(OR(IFERROR(VLOOKUP(B133,'👥 بيانات الموظفين'!$B:$D,3,0),"")="سعودي",IFERROR(VLOOKUP(B133,'👥 بيانات الموظفين'!$B:$D,3,0),"")="سعودية"),MIN(F133+G133,GosiCeiling)*GosiCoRate,(F133+G133)*0.02))</f>
        <v>0</v>
      </c>
      <c r="U133" s="89">
        <f>IF(B133="",0,IFERROR(IF(VLOOKUP(B133,'👥 بيانات الموظفين'!$B:$M,12,0)&lt;5,F133/24,F133/12),0))</f>
        <v>0</v>
      </c>
    </row>
    <row r="134" spans="1:21" ht="22.15" customHeight="1" x14ac:dyDescent="0.2">
      <c r="A134" s="57">
        <f t="shared" si="20"/>
        <v>130</v>
      </c>
      <c r="B134" s="57">
        <f>IFERROR('👥 بيانات الموظفين'!B134,"")</f>
        <v>0</v>
      </c>
      <c r="C134" s="57" t="str">
        <f>IFERROR(VLOOKUP(B134,'👥 بيانات الموظفين'!$B:$C,2,0),"")</f>
        <v/>
      </c>
      <c r="D134" s="57" t="str">
        <f>IFERROR(VLOOKUP(B134,'👥 بيانات الموظفين'!$B:$E,4,0),"")</f>
        <v/>
      </c>
      <c r="E134" s="69">
        <f>IF(B134="",0,IFERROR(COUNTIFS('📅 الحضور'!$B:$B,B134,'📅 الحضور'!$L:$L,PayPeriod,'📅 الحضور'!$E:$E,"حاضر")+COUNTIFS('📅 الحضور'!$B:$B,B134,'📅 الحضور'!$L:$L,PayPeriod,'📅 الحضور'!$E:$E,"متأخر"),0))</f>
        <v>0</v>
      </c>
      <c r="F134" s="83">
        <f>IFERROR(VLOOKUP(B134,'👥 بيانات الموظفين'!$B:$H,7,0),0)</f>
        <v>0</v>
      </c>
      <c r="G134" s="83">
        <f>IFERROR(VLOOKUP(B134,'👥 بيانات الموظفين'!$B:$I,8,0),0)</f>
        <v>0</v>
      </c>
      <c r="H134" s="83">
        <f>IFERROR(VLOOKUP(B134,'👥 بيانات الموظفين'!$B:$J,9,0),0)</f>
        <v>0</v>
      </c>
      <c r="I134" s="83">
        <f>IF(B134="",0,IFERROR(SUMIFS('➕ الخصومات والمكافآت'!$E:$E,'➕ الخصومات والمكافآت'!$B:$B,B134,'➕ الخصومات والمكافآت'!$F:$F,PayPeriod,'➕ الخصومات والمكافآت'!$C:$C,"مكافأة"),0))</f>
        <v>0</v>
      </c>
      <c r="J134" s="83">
        <f t="shared" si="21"/>
        <v>0</v>
      </c>
      <c r="K134" s="83">
        <f>IF(B134="",0,IFERROR(COUNTIFS('📅 الحضور'!$B:$B,B134,'📅 الحضور'!$L:$L,PayPeriod,'📅 الحضور'!$E:$E,"غائب")*F134/WorkDaysMonth,0))</f>
        <v>0</v>
      </c>
      <c r="L134" s="83">
        <f>IF(B134="",0,IFERROR(SUMIFS('📅 الحضور'!$I:$I,'📅 الحضور'!$B:$B,B134,'📅 الحضور'!$L:$L,PayPeriod)/60/WorkHoursDay*F134/WorkDaysMonth,0))</f>
        <v>0</v>
      </c>
      <c r="M134" s="83">
        <f>IF(B134="",0,IFERROR(SUMIFS('➕ الخصومات والمكافآت'!$E:$E,'➕ الخصومات والمكافآت'!$B:$B,B134,'➕ الخصومات والمكافآت'!$F:$F,PayPeriod,'➕ الخصومات والمكافآت'!$C:$C,"خصم"),0))</f>
        <v>0</v>
      </c>
      <c r="N134" s="83">
        <f t="shared" si="22"/>
        <v>0</v>
      </c>
      <c r="O134" s="95">
        <f t="shared" si="23"/>
        <v>0</v>
      </c>
      <c r="P134" s="57"/>
      <c r="Q134" s="90">
        <f>IF(B134="",0,IFERROR(SUMIFS('📅 الحضور'!$J:$J,'📅 الحضور'!$B:$B,B134,'📅 الحضور'!$L:$L,PayPeriod),0))</f>
        <v>0</v>
      </c>
      <c r="R134" s="91">
        <f t="shared" si="24"/>
        <v>0</v>
      </c>
      <c r="S134" s="91">
        <f>IF(B134="",0,IF(IFERROR(VLOOKUP(B134,'👥 بيانات الموظفين'!$B:$D,3,0),"")="سعودي",MIN(F134+G134,GosiCeiling)*GosiEmpRate,IF(IFERROR(VLOOKUP(B134,'👥 بيانات الموظفين'!$B:$D,3,0),"")="سعودية",MIN(F134+G134,GosiCeiling)*GosiEmpRate,0)))</f>
        <v>0</v>
      </c>
      <c r="T134" s="91">
        <f>IF(B134="",0,IF(OR(IFERROR(VLOOKUP(B134,'👥 بيانات الموظفين'!$B:$D,3,0),"")="سعودي",IFERROR(VLOOKUP(B134,'👥 بيانات الموظفين'!$B:$D,3,0),"")="سعودية"),MIN(F134+G134,GosiCeiling)*GosiCoRate,(F134+G134)*0.02))</f>
        <v>0</v>
      </c>
      <c r="U134" s="91">
        <f>IF(B134="",0,IFERROR(IF(VLOOKUP(B134,'👥 بيانات الموظفين'!$B:$M,12,0)&lt;5,F134/24,F134/12),0))</f>
        <v>0</v>
      </c>
    </row>
    <row r="135" spans="1:21" ht="22.15" customHeight="1" x14ac:dyDescent="0.2">
      <c r="A135" s="53">
        <f t="shared" si="20"/>
        <v>131</v>
      </c>
      <c r="B135" s="53">
        <f>IFERROR('👥 بيانات الموظفين'!B135,"")</f>
        <v>0</v>
      </c>
      <c r="C135" s="53" t="str">
        <f>IFERROR(VLOOKUP(B135,'👥 بيانات الموظفين'!$B:$C,2,0),"")</f>
        <v/>
      </c>
      <c r="D135" s="53" t="str">
        <f>IFERROR(VLOOKUP(B135,'👥 بيانات الموظفين'!$B:$E,4,0),"")</f>
        <v/>
      </c>
      <c r="E135" s="68">
        <f>IF(B135="",0,IFERROR(COUNTIFS('📅 الحضور'!$B:$B,B135,'📅 الحضور'!$L:$L,PayPeriod,'📅 الحضور'!$E:$E,"حاضر")+COUNTIFS('📅 الحضور'!$B:$B,B135,'📅 الحضور'!$L:$L,PayPeriod,'📅 الحضور'!$E:$E,"متأخر"),0))</f>
        <v>0</v>
      </c>
      <c r="F135" s="82">
        <f>IFERROR(VLOOKUP(B135,'👥 بيانات الموظفين'!$B:$H,7,0),0)</f>
        <v>0</v>
      </c>
      <c r="G135" s="82">
        <f>IFERROR(VLOOKUP(B135,'👥 بيانات الموظفين'!$B:$I,8,0),0)</f>
        <v>0</v>
      </c>
      <c r="H135" s="82">
        <f>IFERROR(VLOOKUP(B135,'👥 بيانات الموظفين'!$B:$J,9,0),0)</f>
        <v>0</v>
      </c>
      <c r="I135" s="82">
        <f>IF(B135="",0,IFERROR(SUMIFS('➕ الخصومات والمكافآت'!$E:$E,'➕ الخصومات والمكافآت'!$B:$B,B135,'➕ الخصومات والمكافآت'!$F:$F,PayPeriod,'➕ الخصومات والمكافآت'!$C:$C,"مكافأة"),0))</f>
        <v>0</v>
      </c>
      <c r="J135" s="82">
        <f t="shared" si="21"/>
        <v>0</v>
      </c>
      <c r="K135" s="82">
        <f>IF(B135="",0,IFERROR(COUNTIFS('📅 الحضور'!$B:$B,B135,'📅 الحضور'!$L:$L,PayPeriod,'📅 الحضور'!$E:$E,"غائب")*F135/WorkDaysMonth,0))</f>
        <v>0</v>
      </c>
      <c r="L135" s="82">
        <f>IF(B135="",0,IFERROR(SUMIFS('📅 الحضور'!$I:$I,'📅 الحضور'!$B:$B,B135,'📅 الحضور'!$L:$L,PayPeriod)/60/WorkHoursDay*F135/WorkDaysMonth,0))</f>
        <v>0</v>
      </c>
      <c r="M135" s="82">
        <f>IF(B135="",0,IFERROR(SUMIFS('➕ الخصومات والمكافآت'!$E:$E,'➕ الخصومات والمكافآت'!$B:$B,B135,'➕ الخصومات والمكافآت'!$F:$F,PayPeriod,'➕ الخصومات والمكافآت'!$C:$C,"خصم"),0))</f>
        <v>0</v>
      </c>
      <c r="N135" s="82">
        <f t="shared" si="22"/>
        <v>0</v>
      </c>
      <c r="O135" s="94">
        <f t="shared" si="23"/>
        <v>0</v>
      </c>
      <c r="P135" s="53"/>
      <c r="Q135" s="88">
        <f>IF(B135="",0,IFERROR(SUMIFS('📅 الحضور'!$J:$J,'📅 الحضور'!$B:$B,B135,'📅 الحضور'!$L:$L,PayPeriod),0))</f>
        <v>0</v>
      </c>
      <c r="R135" s="89">
        <f t="shared" si="24"/>
        <v>0</v>
      </c>
      <c r="S135" s="89">
        <f>IF(B135="",0,IF(IFERROR(VLOOKUP(B135,'👥 بيانات الموظفين'!$B:$D,3,0),"")="سعودي",MIN(F135+G135,GosiCeiling)*GosiEmpRate,IF(IFERROR(VLOOKUP(B135,'👥 بيانات الموظفين'!$B:$D,3,0),"")="سعودية",MIN(F135+G135,GosiCeiling)*GosiEmpRate,0)))</f>
        <v>0</v>
      </c>
      <c r="T135" s="89">
        <f>IF(B135="",0,IF(OR(IFERROR(VLOOKUP(B135,'👥 بيانات الموظفين'!$B:$D,3,0),"")="سعودي",IFERROR(VLOOKUP(B135,'👥 بيانات الموظفين'!$B:$D,3,0),"")="سعودية"),MIN(F135+G135,GosiCeiling)*GosiCoRate,(F135+G135)*0.02))</f>
        <v>0</v>
      </c>
      <c r="U135" s="89">
        <f>IF(B135="",0,IFERROR(IF(VLOOKUP(B135,'👥 بيانات الموظفين'!$B:$M,12,0)&lt;5,F135/24,F135/12),0))</f>
        <v>0</v>
      </c>
    </row>
    <row r="136" spans="1:21" ht="22.15" customHeight="1" x14ac:dyDescent="0.2">
      <c r="A136" s="57">
        <f t="shared" si="20"/>
        <v>132</v>
      </c>
      <c r="B136" s="57">
        <f>IFERROR('👥 بيانات الموظفين'!B136,"")</f>
        <v>0</v>
      </c>
      <c r="C136" s="57" t="str">
        <f>IFERROR(VLOOKUP(B136,'👥 بيانات الموظفين'!$B:$C,2,0),"")</f>
        <v/>
      </c>
      <c r="D136" s="57" t="str">
        <f>IFERROR(VLOOKUP(B136,'👥 بيانات الموظفين'!$B:$E,4,0),"")</f>
        <v/>
      </c>
      <c r="E136" s="69">
        <f>IF(B136="",0,IFERROR(COUNTIFS('📅 الحضور'!$B:$B,B136,'📅 الحضور'!$L:$L,PayPeriod,'📅 الحضور'!$E:$E,"حاضر")+COUNTIFS('📅 الحضور'!$B:$B,B136,'📅 الحضور'!$L:$L,PayPeriod,'📅 الحضور'!$E:$E,"متأخر"),0))</f>
        <v>0</v>
      </c>
      <c r="F136" s="83">
        <f>IFERROR(VLOOKUP(B136,'👥 بيانات الموظفين'!$B:$H,7,0),0)</f>
        <v>0</v>
      </c>
      <c r="G136" s="83">
        <f>IFERROR(VLOOKUP(B136,'👥 بيانات الموظفين'!$B:$I,8,0),0)</f>
        <v>0</v>
      </c>
      <c r="H136" s="83">
        <f>IFERROR(VLOOKUP(B136,'👥 بيانات الموظفين'!$B:$J,9,0),0)</f>
        <v>0</v>
      </c>
      <c r="I136" s="83">
        <f>IF(B136="",0,IFERROR(SUMIFS('➕ الخصومات والمكافآت'!$E:$E,'➕ الخصومات والمكافآت'!$B:$B,B136,'➕ الخصومات والمكافآت'!$F:$F,PayPeriod,'➕ الخصومات والمكافآت'!$C:$C,"مكافأة"),0))</f>
        <v>0</v>
      </c>
      <c r="J136" s="83">
        <f t="shared" si="21"/>
        <v>0</v>
      </c>
      <c r="K136" s="83">
        <f>IF(B136="",0,IFERROR(COUNTIFS('📅 الحضور'!$B:$B,B136,'📅 الحضور'!$L:$L,PayPeriod,'📅 الحضور'!$E:$E,"غائب")*F136/WorkDaysMonth,0))</f>
        <v>0</v>
      </c>
      <c r="L136" s="83">
        <f>IF(B136="",0,IFERROR(SUMIFS('📅 الحضور'!$I:$I,'📅 الحضور'!$B:$B,B136,'📅 الحضور'!$L:$L,PayPeriod)/60/WorkHoursDay*F136/WorkDaysMonth,0))</f>
        <v>0</v>
      </c>
      <c r="M136" s="83">
        <f>IF(B136="",0,IFERROR(SUMIFS('➕ الخصومات والمكافآت'!$E:$E,'➕ الخصومات والمكافآت'!$B:$B,B136,'➕ الخصومات والمكافآت'!$F:$F,PayPeriod,'➕ الخصومات والمكافآت'!$C:$C,"خصم"),0))</f>
        <v>0</v>
      </c>
      <c r="N136" s="83">
        <f t="shared" si="22"/>
        <v>0</v>
      </c>
      <c r="O136" s="95">
        <f t="shared" si="23"/>
        <v>0</v>
      </c>
      <c r="P136" s="57"/>
      <c r="Q136" s="90">
        <f>IF(B136="",0,IFERROR(SUMIFS('📅 الحضور'!$J:$J,'📅 الحضور'!$B:$B,B136,'📅 الحضور'!$L:$L,PayPeriod),0))</f>
        <v>0</v>
      </c>
      <c r="R136" s="91">
        <f t="shared" si="24"/>
        <v>0</v>
      </c>
      <c r="S136" s="91">
        <f>IF(B136="",0,IF(IFERROR(VLOOKUP(B136,'👥 بيانات الموظفين'!$B:$D,3,0),"")="سعودي",MIN(F136+G136,GosiCeiling)*GosiEmpRate,IF(IFERROR(VLOOKUP(B136,'👥 بيانات الموظفين'!$B:$D,3,0),"")="سعودية",MIN(F136+G136,GosiCeiling)*GosiEmpRate,0)))</f>
        <v>0</v>
      </c>
      <c r="T136" s="91">
        <f>IF(B136="",0,IF(OR(IFERROR(VLOOKUP(B136,'👥 بيانات الموظفين'!$B:$D,3,0),"")="سعودي",IFERROR(VLOOKUP(B136,'👥 بيانات الموظفين'!$B:$D,3,0),"")="سعودية"),MIN(F136+G136,GosiCeiling)*GosiCoRate,(F136+G136)*0.02))</f>
        <v>0</v>
      </c>
      <c r="U136" s="91">
        <f>IF(B136="",0,IFERROR(IF(VLOOKUP(B136,'👥 بيانات الموظفين'!$B:$M,12,0)&lt;5,F136/24,F136/12),0))</f>
        <v>0</v>
      </c>
    </row>
    <row r="137" spans="1:21" ht="22.15" customHeight="1" x14ac:dyDescent="0.2">
      <c r="A137" s="53">
        <f t="shared" si="20"/>
        <v>133</v>
      </c>
      <c r="B137" s="53">
        <f>IFERROR('👥 بيانات الموظفين'!B137,"")</f>
        <v>0</v>
      </c>
      <c r="C137" s="53" t="str">
        <f>IFERROR(VLOOKUP(B137,'👥 بيانات الموظفين'!$B:$C,2,0),"")</f>
        <v/>
      </c>
      <c r="D137" s="53" t="str">
        <f>IFERROR(VLOOKUP(B137,'👥 بيانات الموظفين'!$B:$E,4,0),"")</f>
        <v/>
      </c>
      <c r="E137" s="68">
        <f>IF(B137="",0,IFERROR(COUNTIFS('📅 الحضور'!$B:$B,B137,'📅 الحضور'!$L:$L,PayPeriod,'📅 الحضور'!$E:$E,"حاضر")+COUNTIFS('📅 الحضور'!$B:$B,B137,'📅 الحضور'!$L:$L,PayPeriod,'📅 الحضور'!$E:$E,"متأخر"),0))</f>
        <v>0</v>
      </c>
      <c r="F137" s="82">
        <f>IFERROR(VLOOKUP(B137,'👥 بيانات الموظفين'!$B:$H,7,0),0)</f>
        <v>0</v>
      </c>
      <c r="G137" s="82">
        <f>IFERROR(VLOOKUP(B137,'👥 بيانات الموظفين'!$B:$I,8,0),0)</f>
        <v>0</v>
      </c>
      <c r="H137" s="82">
        <f>IFERROR(VLOOKUP(B137,'👥 بيانات الموظفين'!$B:$J,9,0),0)</f>
        <v>0</v>
      </c>
      <c r="I137" s="82">
        <f>IF(B137="",0,IFERROR(SUMIFS('➕ الخصومات والمكافآت'!$E:$E,'➕ الخصومات والمكافآت'!$B:$B,B137,'➕ الخصومات والمكافآت'!$F:$F,PayPeriod,'➕ الخصومات والمكافآت'!$C:$C,"مكافأة"),0))</f>
        <v>0</v>
      </c>
      <c r="J137" s="82">
        <f t="shared" si="21"/>
        <v>0</v>
      </c>
      <c r="K137" s="82">
        <f>IF(B137="",0,IFERROR(COUNTIFS('📅 الحضور'!$B:$B,B137,'📅 الحضور'!$L:$L,PayPeriod,'📅 الحضور'!$E:$E,"غائب")*F137/WorkDaysMonth,0))</f>
        <v>0</v>
      </c>
      <c r="L137" s="82">
        <f>IF(B137="",0,IFERROR(SUMIFS('📅 الحضور'!$I:$I,'📅 الحضور'!$B:$B,B137,'📅 الحضور'!$L:$L,PayPeriod)/60/WorkHoursDay*F137/WorkDaysMonth,0))</f>
        <v>0</v>
      </c>
      <c r="M137" s="82">
        <f>IF(B137="",0,IFERROR(SUMIFS('➕ الخصومات والمكافآت'!$E:$E,'➕ الخصومات والمكافآت'!$B:$B,B137,'➕ الخصومات والمكافآت'!$F:$F,PayPeriod,'➕ الخصومات والمكافآت'!$C:$C,"خصم"),0))</f>
        <v>0</v>
      </c>
      <c r="N137" s="82">
        <f t="shared" si="22"/>
        <v>0</v>
      </c>
      <c r="O137" s="94">
        <f t="shared" si="23"/>
        <v>0</v>
      </c>
      <c r="P137" s="53"/>
      <c r="Q137" s="88">
        <f>IF(B137="",0,IFERROR(SUMIFS('📅 الحضور'!$J:$J,'📅 الحضور'!$B:$B,B137,'📅 الحضور'!$L:$L,PayPeriod),0))</f>
        <v>0</v>
      </c>
      <c r="R137" s="89">
        <f t="shared" si="24"/>
        <v>0</v>
      </c>
      <c r="S137" s="89">
        <f>IF(B137="",0,IF(IFERROR(VLOOKUP(B137,'👥 بيانات الموظفين'!$B:$D,3,0),"")="سعودي",MIN(F137+G137,GosiCeiling)*GosiEmpRate,IF(IFERROR(VLOOKUP(B137,'👥 بيانات الموظفين'!$B:$D,3,0),"")="سعودية",MIN(F137+G137,GosiCeiling)*GosiEmpRate,0)))</f>
        <v>0</v>
      </c>
      <c r="T137" s="89">
        <f>IF(B137="",0,IF(OR(IFERROR(VLOOKUP(B137,'👥 بيانات الموظفين'!$B:$D,3,0),"")="سعودي",IFERROR(VLOOKUP(B137,'👥 بيانات الموظفين'!$B:$D,3,0),"")="سعودية"),MIN(F137+G137,GosiCeiling)*GosiCoRate,(F137+G137)*0.02))</f>
        <v>0</v>
      </c>
      <c r="U137" s="89">
        <f>IF(B137="",0,IFERROR(IF(VLOOKUP(B137,'👥 بيانات الموظفين'!$B:$M,12,0)&lt;5,F137/24,F137/12),0))</f>
        <v>0</v>
      </c>
    </row>
    <row r="138" spans="1:21" ht="22.15" customHeight="1" x14ac:dyDescent="0.2">
      <c r="A138" s="57">
        <f t="shared" si="20"/>
        <v>134</v>
      </c>
      <c r="B138" s="57">
        <f>IFERROR('👥 بيانات الموظفين'!B138,"")</f>
        <v>0</v>
      </c>
      <c r="C138" s="57" t="str">
        <f>IFERROR(VLOOKUP(B138,'👥 بيانات الموظفين'!$B:$C,2,0),"")</f>
        <v/>
      </c>
      <c r="D138" s="57" t="str">
        <f>IFERROR(VLOOKUP(B138,'👥 بيانات الموظفين'!$B:$E,4,0),"")</f>
        <v/>
      </c>
      <c r="E138" s="69">
        <f>IF(B138="",0,IFERROR(COUNTIFS('📅 الحضور'!$B:$B,B138,'📅 الحضور'!$L:$L,PayPeriod,'📅 الحضور'!$E:$E,"حاضر")+COUNTIFS('📅 الحضور'!$B:$B,B138,'📅 الحضور'!$L:$L,PayPeriod,'📅 الحضور'!$E:$E,"متأخر"),0))</f>
        <v>0</v>
      </c>
      <c r="F138" s="83">
        <f>IFERROR(VLOOKUP(B138,'👥 بيانات الموظفين'!$B:$H,7,0),0)</f>
        <v>0</v>
      </c>
      <c r="G138" s="83">
        <f>IFERROR(VLOOKUP(B138,'👥 بيانات الموظفين'!$B:$I,8,0),0)</f>
        <v>0</v>
      </c>
      <c r="H138" s="83">
        <f>IFERROR(VLOOKUP(B138,'👥 بيانات الموظفين'!$B:$J,9,0),0)</f>
        <v>0</v>
      </c>
      <c r="I138" s="83">
        <f>IF(B138="",0,IFERROR(SUMIFS('➕ الخصومات والمكافآت'!$E:$E,'➕ الخصومات والمكافآت'!$B:$B,B138,'➕ الخصومات والمكافآت'!$F:$F,PayPeriod,'➕ الخصومات والمكافآت'!$C:$C,"مكافأة"),0))</f>
        <v>0</v>
      </c>
      <c r="J138" s="83">
        <f t="shared" si="21"/>
        <v>0</v>
      </c>
      <c r="K138" s="83">
        <f>IF(B138="",0,IFERROR(COUNTIFS('📅 الحضور'!$B:$B,B138,'📅 الحضور'!$L:$L,PayPeriod,'📅 الحضور'!$E:$E,"غائب")*F138/WorkDaysMonth,0))</f>
        <v>0</v>
      </c>
      <c r="L138" s="83">
        <f>IF(B138="",0,IFERROR(SUMIFS('📅 الحضور'!$I:$I,'📅 الحضور'!$B:$B,B138,'📅 الحضور'!$L:$L,PayPeriod)/60/WorkHoursDay*F138/WorkDaysMonth,0))</f>
        <v>0</v>
      </c>
      <c r="M138" s="83">
        <f>IF(B138="",0,IFERROR(SUMIFS('➕ الخصومات والمكافآت'!$E:$E,'➕ الخصومات والمكافآت'!$B:$B,B138,'➕ الخصومات والمكافآت'!$F:$F,PayPeriod,'➕ الخصومات والمكافآت'!$C:$C,"خصم"),0))</f>
        <v>0</v>
      </c>
      <c r="N138" s="83">
        <f t="shared" si="22"/>
        <v>0</v>
      </c>
      <c r="O138" s="95">
        <f t="shared" si="23"/>
        <v>0</v>
      </c>
      <c r="P138" s="57"/>
      <c r="Q138" s="90">
        <f>IF(B138="",0,IFERROR(SUMIFS('📅 الحضور'!$J:$J,'📅 الحضور'!$B:$B,B138,'📅 الحضور'!$L:$L,PayPeriod),0))</f>
        <v>0</v>
      </c>
      <c r="R138" s="91">
        <f t="shared" si="24"/>
        <v>0</v>
      </c>
      <c r="S138" s="91">
        <f>IF(B138="",0,IF(IFERROR(VLOOKUP(B138,'👥 بيانات الموظفين'!$B:$D,3,0),"")="سعودي",MIN(F138+G138,GosiCeiling)*GosiEmpRate,IF(IFERROR(VLOOKUP(B138,'👥 بيانات الموظفين'!$B:$D,3,0),"")="سعودية",MIN(F138+G138,GosiCeiling)*GosiEmpRate,0)))</f>
        <v>0</v>
      </c>
      <c r="T138" s="91">
        <f>IF(B138="",0,IF(OR(IFERROR(VLOOKUP(B138,'👥 بيانات الموظفين'!$B:$D,3,0),"")="سعودي",IFERROR(VLOOKUP(B138,'👥 بيانات الموظفين'!$B:$D,3,0),"")="سعودية"),MIN(F138+G138,GosiCeiling)*GosiCoRate,(F138+G138)*0.02))</f>
        <v>0</v>
      </c>
      <c r="U138" s="91">
        <f>IF(B138="",0,IFERROR(IF(VLOOKUP(B138,'👥 بيانات الموظفين'!$B:$M,12,0)&lt;5,F138/24,F138/12),0))</f>
        <v>0</v>
      </c>
    </row>
    <row r="139" spans="1:21" ht="22.15" customHeight="1" x14ac:dyDescent="0.2">
      <c r="A139" s="53">
        <f t="shared" si="20"/>
        <v>135</v>
      </c>
      <c r="B139" s="53">
        <f>IFERROR('👥 بيانات الموظفين'!B139,"")</f>
        <v>0</v>
      </c>
      <c r="C139" s="53" t="str">
        <f>IFERROR(VLOOKUP(B139,'👥 بيانات الموظفين'!$B:$C,2,0),"")</f>
        <v/>
      </c>
      <c r="D139" s="53" t="str">
        <f>IFERROR(VLOOKUP(B139,'👥 بيانات الموظفين'!$B:$E,4,0),"")</f>
        <v/>
      </c>
      <c r="E139" s="68">
        <f>IF(B139="",0,IFERROR(COUNTIFS('📅 الحضور'!$B:$B,B139,'📅 الحضور'!$L:$L,PayPeriod,'📅 الحضور'!$E:$E,"حاضر")+COUNTIFS('📅 الحضور'!$B:$B,B139,'📅 الحضور'!$L:$L,PayPeriod,'📅 الحضور'!$E:$E,"متأخر"),0))</f>
        <v>0</v>
      </c>
      <c r="F139" s="82">
        <f>IFERROR(VLOOKUP(B139,'👥 بيانات الموظفين'!$B:$H,7,0),0)</f>
        <v>0</v>
      </c>
      <c r="G139" s="82">
        <f>IFERROR(VLOOKUP(B139,'👥 بيانات الموظفين'!$B:$I,8,0),0)</f>
        <v>0</v>
      </c>
      <c r="H139" s="82">
        <f>IFERROR(VLOOKUP(B139,'👥 بيانات الموظفين'!$B:$J,9,0),0)</f>
        <v>0</v>
      </c>
      <c r="I139" s="82">
        <f>IF(B139="",0,IFERROR(SUMIFS('➕ الخصومات والمكافآت'!$E:$E,'➕ الخصومات والمكافآت'!$B:$B,B139,'➕ الخصومات والمكافآت'!$F:$F,PayPeriod,'➕ الخصومات والمكافآت'!$C:$C,"مكافأة"),0))</f>
        <v>0</v>
      </c>
      <c r="J139" s="82">
        <f t="shared" si="21"/>
        <v>0</v>
      </c>
      <c r="K139" s="82">
        <f>IF(B139="",0,IFERROR(COUNTIFS('📅 الحضور'!$B:$B,B139,'📅 الحضور'!$L:$L,PayPeriod,'📅 الحضور'!$E:$E,"غائب")*F139/WorkDaysMonth,0))</f>
        <v>0</v>
      </c>
      <c r="L139" s="82">
        <f>IF(B139="",0,IFERROR(SUMIFS('📅 الحضور'!$I:$I,'📅 الحضور'!$B:$B,B139,'📅 الحضور'!$L:$L,PayPeriod)/60/WorkHoursDay*F139/WorkDaysMonth,0))</f>
        <v>0</v>
      </c>
      <c r="M139" s="82">
        <f>IF(B139="",0,IFERROR(SUMIFS('➕ الخصومات والمكافآت'!$E:$E,'➕ الخصومات والمكافآت'!$B:$B,B139,'➕ الخصومات والمكافآت'!$F:$F,PayPeriod,'➕ الخصومات والمكافآت'!$C:$C,"خصم"),0))</f>
        <v>0</v>
      </c>
      <c r="N139" s="82">
        <f t="shared" si="22"/>
        <v>0</v>
      </c>
      <c r="O139" s="94">
        <f t="shared" si="23"/>
        <v>0</v>
      </c>
      <c r="P139" s="53"/>
      <c r="Q139" s="88">
        <f>IF(B139="",0,IFERROR(SUMIFS('📅 الحضور'!$J:$J,'📅 الحضور'!$B:$B,B139,'📅 الحضور'!$L:$L,PayPeriod),0))</f>
        <v>0</v>
      </c>
      <c r="R139" s="89">
        <f t="shared" si="24"/>
        <v>0</v>
      </c>
      <c r="S139" s="89">
        <f>IF(B139="",0,IF(IFERROR(VLOOKUP(B139,'👥 بيانات الموظفين'!$B:$D,3,0),"")="سعودي",MIN(F139+G139,GosiCeiling)*GosiEmpRate,IF(IFERROR(VLOOKUP(B139,'👥 بيانات الموظفين'!$B:$D,3,0),"")="سعودية",MIN(F139+G139,GosiCeiling)*GosiEmpRate,0)))</f>
        <v>0</v>
      </c>
      <c r="T139" s="89">
        <f>IF(B139="",0,IF(OR(IFERROR(VLOOKUP(B139,'👥 بيانات الموظفين'!$B:$D,3,0),"")="سعودي",IFERROR(VLOOKUP(B139,'👥 بيانات الموظفين'!$B:$D,3,0),"")="سعودية"),MIN(F139+G139,GosiCeiling)*GosiCoRate,(F139+G139)*0.02))</f>
        <v>0</v>
      </c>
      <c r="U139" s="89">
        <f>IF(B139="",0,IFERROR(IF(VLOOKUP(B139,'👥 بيانات الموظفين'!$B:$M,12,0)&lt;5,F139/24,F139/12),0))</f>
        <v>0</v>
      </c>
    </row>
    <row r="140" spans="1:21" ht="22.15" customHeight="1" x14ac:dyDescent="0.2">
      <c r="A140" s="57">
        <f t="shared" si="20"/>
        <v>136</v>
      </c>
      <c r="B140" s="57">
        <f>IFERROR('👥 بيانات الموظفين'!B140,"")</f>
        <v>0</v>
      </c>
      <c r="C140" s="57" t="str">
        <f>IFERROR(VLOOKUP(B140,'👥 بيانات الموظفين'!$B:$C,2,0),"")</f>
        <v/>
      </c>
      <c r="D140" s="57" t="str">
        <f>IFERROR(VLOOKUP(B140,'👥 بيانات الموظفين'!$B:$E,4,0),"")</f>
        <v/>
      </c>
      <c r="E140" s="69">
        <f>IF(B140="",0,IFERROR(COUNTIFS('📅 الحضور'!$B:$B,B140,'📅 الحضور'!$L:$L,PayPeriod,'📅 الحضور'!$E:$E,"حاضر")+COUNTIFS('📅 الحضور'!$B:$B,B140,'📅 الحضور'!$L:$L,PayPeriod,'📅 الحضور'!$E:$E,"متأخر"),0))</f>
        <v>0</v>
      </c>
      <c r="F140" s="83">
        <f>IFERROR(VLOOKUP(B140,'👥 بيانات الموظفين'!$B:$H,7,0),0)</f>
        <v>0</v>
      </c>
      <c r="G140" s="83">
        <f>IFERROR(VLOOKUP(B140,'👥 بيانات الموظفين'!$B:$I,8,0),0)</f>
        <v>0</v>
      </c>
      <c r="H140" s="83">
        <f>IFERROR(VLOOKUP(B140,'👥 بيانات الموظفين'!$B:$J,9,0),0)</f>
        <v>0</v>
      </c>
      <c r="I140" s="83">
        <f>IF(B140="",0,IFERROR(SUMIFS('➕ الخصومات والمكافآت'!$E:$E,'➕ الخصومات والمكافآت'!$B:$B,B140,'➕ الخصومات والمكافآت'!$F:$F,PayPeriod,'➕ الخصومات والمكافآت'!$C:$C,"مكافأة"),0))</f>
        <v>0</v>
      </c>
      <c r="J140" s="83">
        <f t="shared" si="21"/>
        <v>0</v>
      </c>
      <c r="K140" s="83">
        <f>IF(B140="",0,IFERROR(COUNTIFS('📅 الحضور'!$B:$B,B140,'📅 الحضور'!$L:$L,PayPeriod,'📅 الحضور'!$E:$E,"غائب")*F140/WorkDaysMonth,0))</f>
        <v>0</v>
      </c>
      <c r="L140" s="83">
        <f>IF(B140="",0,IFERROR(SUMIFS('📅 الحضور'!$I:$I,'📅 الحضور'!$B:$B,B140,'📅 الحضور'!$L:$L,PayPeriod)/60/WorkHoursDay*F140/WorkDaysMonth,0))</f>
        <v>0</v>
      </c>
      <c r="M140" s="83">
        <f>IF(B140="",0,IFERROR(SUMIFS('➕ الخصومات والمكافآت'!$E:$E,'➕ الخصومات والمكافآت'!$B:$B,B140,'➕ الخصومات والمكافآت'!$F:$F,PayPeriod,'➕ الخصومات والمكافآت'!$C:$C,"خصم"),0))</f>
        <v>0</v>
      </c>
      <c r="N140" s="83">
        <f t="shared" si="22"/>
        <v>0</v>
      </c>
      <c r="O140" s="95">
        <f t="shared" si="23"/>
        <v>0</v>
      </c>
      <c r="P140" s="57"/>
      <c r="Q140" s="90">
        <f>IF(B140="",0,IFERROR(SUMIFS('📅 الحضور'!$J:$J,'📅 الحضور'!$B:$B,B140,'📅 الحضور'!$L:$L,PayPeriod),0))</f>
        <v>0</v>
      </c>
      <c r="R140" s="91">
        <f t="shared" si="24"/>
        <v>0</v>
      </c>
      <c r="S140" s="91">
        <f>IF(B140="",0,IF(IFERROR(VLOOKUP(B140,'👥 بيانات الموظفين'!$B:$D,3,0),"")="سعودي",MIN(F140+G140,GosiCeiling)*GosiEmpRate,IF(IFERROR(VLOOKUP(B140,'👥 بيانات الموظفين'!$B:$D,3,0),"")="سعودية",MIN(F140+G140,GosiCeiling)*GosiEmpRate,0)))</f>
        <v>0</v>
      </c>
      <c r="T140" s="91">
        <f>IF(B140="",0,IF(OR(IFERROR(VLOOKUP(B140,'👥 بيانات الموظفين'!$B:$D,3,0),"")="سعودي",IFERROR(VLOOKUP(B140,'👥 بيانات الموظفين'!$B:$D,3,0),"")="سعودية"),MIN(F140+G140,GosiCeiling)*GosiCoRate,(F140+G140)*0.02))</f>
        <v>0</v>
      </c>
      <c r="U140" s="91">
        <f>IF(B140="",0,IFERROR(IF(VLOOKUP(B140,'👥 بيانات الموظفين'!$B:$M,12,0)&lt;5,F140/24,F140/12),0))</f>
        <v>0</v>
      </c>
    </row>
    <row r="141" spans="1:21" ht="22.15" customHeight="1" x14ac:dyDescent="0.2">
      <c r="A141" s="53">
        <f t="shared" si="20"/>
        <v>137</v>
      </c>
      <c r="B141" s="53">
        <f>IFERROR('👥 بيانات الموظفين'!B141,"")</f>
        <v>0</v>
      </c>
      <c r="C141" s="53" t="str">
        <f>IFERROR(VLOOKUP(B141,'👥 بيانات الموظفين'!$B:$C,2,0),"")</f>
        <v/>
      </c>
      <c r="D141" s="53" t="str">
        <f>IFERROR(VLOOKUP(B141,'👥 بيانات الموظفين'!$B:$E,4,0),"")</f>
        <v/>
      </c>
      <c r="E141" s="68">
        <f>IF(B141="",0,IFERROR(COUNTIFS('📅 الحضور'!$B:$B,B141,'📅 الحضور'!$L:$L,PayPeriod,'📅 الحضور'!$E:$E,"حاضر")+COUNTIFS('📅 الحضور'!$B:$B,B141,'📅 الحضور'!$L:$L,PayPeriod,'📅 الحضور'!$E:$E,"متأخر"),0))</f>
        <v>0</v>
      </c>
      <c r="F141" s="82">
        <f>IFERROR(VLOOKUP(B141,'👥 بيانات الموظفين'!$B:$H,7,0),0)</f>
        <v>0</v>
      </c>
      <c r="G141" s="82">
        <f>IFERROR(VLOOKUP(B141,'👥 بيانات الموظفين'!$B:$I,8,0),0)</f>
        <v>0</v>
      </c>
      <c r="H141" s="82">
        <f>IFERROR(VLOOKUP(B141,'👥 بيانات الموظفين'!$B:$J,9,0),0)</f>
        <v>0</v>
      </c>
      <c r="I141" s="82">
        <f>IF(B141="",0,IFERROR(SUMIFS('➕ الخصومات والمكافآت'!$E:$E,'➕ الخصومات والمكافآت'!$B:$B,B141,'➕ الخصومات والمكافآت'!$F:$F,PayPeriod,'➕ الخصومات والمكافآت'!$C:$C,"مكافأة"),0))</f>
        <v>0</v>
      </c>
      <c r="J141" s="82">
        <f t="shared" si="21"/>
        <v>0</v>
      </c>
      <c r="K141" s="82">
        <f>IF(B141="",0,IFERROR(COUNTIFS('📅 الحضور'!$B:$B,B141,'📅 الحضور'!$L:$L,PayPeriod,'📅 الحضور'!$E:$E,"غائب")*F141/WorkDaysMonth,0))</f>
        <v>0</v>
      </c>
      <c r="L141" s="82">
        <f>IF(B141="",0,IFERROR(SUMIFS('📅 الحضور'!$I:$I,'📅 الحضور'!$B:$B,B141,'📅 الحضور'!$L:$L,PayPeriod)/60/WorkHoursDay*F141/WorkDaysMonth,0))</f>
        <v>0</v>
      </c>
      <c r="M141" s="82">
        <f>IF(B141="",0,IFERROR(SUMIFS('➕ الخصومات والمكافآت'!$E:$E,'➕ الخصومات والمكافآت'!$B:$B,B141,'➕ الخصومات والمكافآت'!$F:$F,PayPeriod,'➕ الخصومات والمكافآت'!$C:$C,"خصم"),0))</f>
        <v>0</v>
      </c>
      <c r="N141" s="82">
        <f t="shared" si="22"/>
        <v>0</v>
      </c>
      <c r="O141" s="94">
        <f t="shared" si="23"/>
        <v>0</v>
      </c>
      <c r="P141" s="53"/>
      <c r="Q141" s="88">
        <f>IF(B141="",0,IFERROR(SUMIFS('📅 الحضور'!$J:$J,'📅 الحضور'!$B:$B,B141,'📅 الحضور'!$L:$L,PayPeriod),0))</f>
        <v>0</v>
      </c>
      <c r="R141" s="89">
        <f t="shared" si="24"/>
        <v>0</v>
      </c>
      <c r="S141" s="89">
        <f>IF(B141="",0,IF(IFERROR(VLOOKUP(B141,'👥 بيانات الموظفين'!$B:$D,3,0),"")="سعودي",MIN(F141+G141,GosiCeiling)*GosiEmpRate,IF(IFERROR(VLOOKUP(B141,'👥 بيانات الموظفين'!$B:$D,3,0),"")="سعودية",MIN(F141+G141,GosiCeiling)*GosiEmpRate,0)))</f>
        <v>0</v>
      </c>
      <c r="T141" s="89">
        <f>IF(B141="",0,IF(OR(IFERROR(VLOOKUP(B141,'👥 بيانات الموظفين'!$B:$D,3,0),"")="سعودي",IFERROR(VLOOKUP(B141,'👥 بيانات الموظفين'!$B:$D,3,0),"")="سعودية"),MIN(F141+G141,GosiCeiling)*GosiCoRate,(F141+G141)*0.02))</f>
        <v>0</v>
      </c>
      <c r="U141" s="89">
        <f>IF(B141="",0,IFERROR(IF(VLOOKUP(B141,'👥 بيانات الموظفين'!$B:$M,12,0)&lt;5,F141/24,F141/12),0))</f>
        <v>0</v>
      </c>
    </row>
    <row r="142" spans="1:21" ht="22.15" customHeight="1" x14ac:dyDescent="0.2">
      <c r="A142" s="57">
        <f t="shared" si="20"/>
        <v>138</v>
      </c>
      <c r="B142" s="57">
        <f>IFERROR('👥 بيانات الموظفين'!B142,"")</f>
        <v>0</v>
      </c>
      <c r="C142" s="57" t="str">
        <f>IFERROR(VLOOKUP(B142,'👥 بيانات الموظفين'!$B:$C,2,0),"")</f>
        <v/>
      </c>
      <c r="D142" s="57" t="str">
        <f>IFERROR(VLOOKUP(B142,'👥 بيانات الموظفين'!$B:$E,4,0),"")</f>
        <v/>
      </c>
      <c r="E142" s="69">
        <f>IF(B142="",0,IFERROR(COUNTIFS('📅 الحضور'!$B:$B,B142,'📅 الحضور'!$L:$L,PayPeriod,'📅 الحضور'!$E:$E,"حاضر")+COUNTIFS('📅 الحضور'!$B:$B,B142,'📅 الحضور'!$L:$L,PayPeriod,'📅 الحضور'!$E:$E,"متأخر"),0))</f>
        <v>0</v>
      </c>
      <c r="F142" s="83">
        <f>IFERROR(VLOOKUP(B142,'👥 بيانات الموظفين'!$B:$H,7,0),0)</f>
        <v>0</v>
      </c>
      <c r="G142" s="83">
        <f>IFERROR(VLOOKUP(B142,'👥 بيانات الموظفين'!$B:$I,8,0),0)</f>
        <v>0</v>
      </c>
      <c r="H142" s="83">
        <f>IFERROR(VLOOKUP(B142,'👥 بيانات الموظفين'!$B:$J,9,0),0)</f>
        <v>0</v>
      </c>
      <c r="I142" s="83">
        <f>IF(B142="",0,IFERROR(SUMIFS('➕ الخصومات والمكافآت'!$E:$E,'➕ الخصومات والمكافآت'!$B:$B,B142,'➕ الخصومات والمكافآت'!$F:$F,PayPeriod,'➕ الخصومات والمكافآت'!$C:$C,"مكافأة"),0))</f>
        <v>0</v>
      </c>
      <c r="J142" s="83">
        <f t="shared" si="21"/>
        <v>0</v>
      </c>
      <c r="K142" s="83">
        <f>IF(B142="",0,IFERROR(COUNTIFS('📅 الحضور'!$B:$B,B142,'📅 الحضور'!$L:$L,PayPeriod,'📅 الحضور'!$E:$E,"غائب")*F142/WorkDaysMonth,0))</f>
        <v>0</v>
      </c>
      <c r="L142" s="83">
        <f>IF(B142="",0,IFERROR(SUMIFS('📅 الحضور'!$I:$I,'📅 الحضور'!$B:$B,B142,'📅 الحضور'!$L:$L,PayPeriod)/60/WorkHoursDay*F142/WorkDaysMonth,0))</f>
        <v>0</v>
      </c>
      <c r="M142" s="83">
        <f>IF(B142="",0,IFERROR(SUMIFS('➕ الخصومات والمكافآت'!$E:$E,'➕ الخصومات والمكافآت'!$B:$B,B142,'➕ الخصومات والمكافآت'!$F:$F,PayPeriod,'➕ الخصومات والمكافآت'!$C:$C,"خصم"),0))</f>
        <v>0</v>
      </c>
      <c r="N142" s="83">
        <f t="shared" si="22"/>
        <v>0</v>
      </c>
      <c r="O142" s="95">
        <f t="shared" si="23"/>
        <v>0</v>
      </c>
      <c r="P142" s="57"/>
      <c r="Q142" s="90">
        <f>IF(B142="",0,IFERROR(SUMIFS('📅 الحضور'!$J:$J,'📅 الحضور'!$B:$B,B142,'📅 الحضور'!$L:$L,PayPeriod),0))</f>
        <v>0</v>
      </c>
      <c r="R142" s="91">
        <f t="shared" si="24"/>
        <v>0</v>
      </c>
      <c r="S142" s="91">
        <f>IF(B142="",0,IF(IFERROR(VLOOKUP(B142,'👥 بيانات الموظفين'!$B:$D,3,0),"")="سعودي",MIN(F142+G142,GosiCeiling)*GosiEmpRate,IF(IFERROR(VLOOKUP(B142,'👥 بيانات الموظفين'!$B:$D,3,0),"")="سعودية",MIN(F142+G142,GosiCeiling)*GosiEmpRate,0)))</f>
        <v>0</v>
      </c>
      <c r="T142" s="91">
        <f>IF(B142="",0,IF(OR(IFERROR(VLOOKUP(B142,'👥 بيانات الموظفين'!$B:$D,3,0),"")="سعودي",IFERROR(VLOOKUP(B142,'👥 بيانات الموظفين'!$B:$D,3,0),"")="سعودية"),MIN(F142+G142,GosiCeiling)*GosiCoRate,(F142+G142)*0.02))</f>
        <v>0</v>
      </c>
      <c r="U142" s="91">
        <f>IF(B142="",0,IFERROR(IF(VLOOKUP(B142,'👥 بيانات الموظفين'!$B:$M,12,0)&lt;5,F142/24,F142/12),0))</f>
        <v>0</v>
      </c>
    </row>
    <row r="143" spans="1:21" ht="22.15" customHeight="1" x14ac:dyDescent="0.2">
      <c r="A143" s="53">
        <f t="shared" si="20"/>
        <v>139</v>
      </c>
      <c r="B143" s="53">
        <f>IFERROR('👥 بيانات الموظفين'!B143,"")</f>
        <v>0</v>
      </c>
      <c r="C143" s="53" t="str">
        <f>IFERROR(VLOOKUP(B143,'👥 بيانات الموظفين'!$B:$C,2,0),"")</f>
        <v/>
      </c>
      <c r="D143" s="53" t="str">
        <f>IFERROR(VLOOKUP(B143,'👥 بيانات الموظفين'!$B:$E,4,0),"")</f>
        <v/>
      </c>
      <c r="E143" s="68">
        <f>IF(B143="",0,IFERROR(COUNTIFS('📅 الحضور'!$B:$B,B143,'📅 الحضور'!$L:$L,PayPeriod,'📅 الحضور'!$E:$E,"حاضر")+COUNTIFS('📅 الحضور'!$B:$B,B143,'📅 الحضور'!$L:$L,PayPeriod,'📅 الحضور'!$E:$E,"متأخر"),0))</f>
        <v>0</v>
      </c>
      <c r="F143" s="82">
        <f>IFERROR(VLOOKUP(B143,'👥 بيانات الموظفين'!$B:$H,7,0),0)</f>
        <v>0</v>
      </c>
      <c r="G143" s="82">
        <f>IFERROR(VLOOKUP(B143,'👥 بيانات الموظفين'!$B:$I,8,0),0)</f>
        <v>0</v>
      </c>
      <c r="H143" s="82">
        <f>IFERROR(VLOOKUP(B143,'👥 بيانات الموظفين'!$B:$J,9,0),0)</f>
        <v>0</v>
      </c>
      <c r="I143" s="82">
        <f>IF(B143="",0,IFERROR(SUMIFS('➕ الخصومات والمكافآت'!$E:$E,'➕ الخصومات والمكافآت'!$B:$B,B143,'➕ الخصومات والمكافآت'!$F:$F,PayPeriod,'➕ الخصومات والمكافآت'!$C:$C,"مكافأة"),0))</f>
        <v>0</v>
      </c>
      <c r="J143" s="82">
        <f t="shared" si="21"/>
        <v>0</v>
      </c>
      <c r="K143" s="82">
        <f>IF(B143="",0,IFERROR(COUNTIFS('📅 الحضور'!$B:$B,B143,'📅 الحضور'!$L:$L,PayPeriod,'📅 الحضور'!$E:$E,"غائب")*F143/WorkDaysMonth,0))</f>
        <v>0</v>
      </c>
      <c r="L143" s="82">
        <f>IF(B143="",0,IFERROR(SUMIFS('📅 الحضور'!$I:$I,'📅 الحضور'!$B:$B,B143,'📅 الحضور'!$L:$L,PayPeriod)/60/WorkHoursDay*F143/WorkDaysMonth,0))</f>
        <v>0</v>
      </c>
      <c r="M143" s="82">
        <f>IF(B143="",0,IFERROR(SUMIFS('➕ الخصومات والمكافآت'!$E:$E,'➕ الخصومات والمكافآت'!$B:$B,B143,'➕ الخصومات والمكافآت'!$F:$F,PayPeriod,'➕ الخصومات والمكافآت'!$C:$C,"خصم"),0))</f>
        <v>0</v>
      </c>
      <c r="N143" s="82">
        <f t="shared" si="22"/>
        <v>0</v>
      </c>
      <c r="O143" s="94">
        <f t="shared" si="23"/>
        <v>0</v>
      </c>
      <c r="P143" s="53"/>
      <c r="Q143" s="88">
        <f>IF(B143="",0,IFERROR(SUMIFS('📅 الحضور'!$J:$J,'📅 الحضور'!$B:$B,B143,'📅 الحضور'!$L:$L,PayPeriod),0))</f>
        <v>0</v>
      </c>
      <c r="R143" s="89">
        <f t="shared" si="24"/>
        <v>0</v>
      </c>
      <c r="S143" s="89">
        <f>IF(B143="",0,IF(IFERROR(VLOOKUP(B143,'👥 بيانات الموظفين'!$B:$D,3,0),"")="سعودي",MIN(F143+G143,GosiCeiling)*GosiEmpRate,IF(IFERROR(VLOOKUP(B143,'👥 بيانات الموظفين'!$B:$D,3,0),"")="سعودية",MIN(F143+G143,GosiCeiling)*GosiEmpRate,0)))</f>
        <v>0</v>
      </c>
      <c r="T143" s="89">
        <f>IF(B143="",0,IF(OR(IFERROR(VLOOKUP(B143,'👥 بيانات الموظفين'!$B:$D,3,0),"")="سعودي",IFERROR(VLOOKUP(B143,'👥 بيانات الموظفين'!$B:$D,3,0),"")="سعودية"),MIN(F143+G143,GosiCeiling)*GosiCoRate,(F143+G143)*0.02))</f>
        <v>0</v>
      </c>
      <c r="U143" s="89">
        <f>IF(B143="",0,IFERROR(IF(VLOOKUP(B143,'👥 بيانات الموظفين'!$B:$M,12,0)&lt;5,F143/24,F143/12),0))</f>
        <v>0</v>
      </c>
    </row>
    <row r="144" spans="1:21" ht="22.15" customHeight="1" x14ac:dyDescent="0.2">
      <c r="A144" s="57">
        <f t="shared" si="20"/>
        <v>140</v>
      </c>
      <c r="B144" s="57">
        <f>IFERROR('👥 بيانات الموظفين'!B144,"")</f>
        <v>0</v>
      </c>
      <c r="C144" s="57" t="str">
        <f>IFERROR(VLOOKUP(B144,'👥 بيانات الموظفين'!$B:$C,2,0),"")</f>
        <v/>
      </c>
      <c r="D144" s="57" t="str">
        <f>IFERROR(VLOOKUP(B144,'👥 بيانات الموظفين'!$B:$E,4,0),"")</f>
        <v/>
      </c>
      <c r="E144" s="69">
        <f>IF(B144="",0,IFERROR(COUNTIFS('📅 الحضور'!$B:$B,B144,'📅 الحضور'!$L:$L,PayPeriod,'📅 الحضور'!$E:$E,"حاضر")+COUNTIFS('📅 الحضور'!$B:$B,B144,'📅 الحضور'!$L:$L,PayPeriod,'📅 الحضور'!$E:$E,"متأخر"),0))</f>
        <v>0</v>
      </c>
      <c r="F144" s="83">
        <f>IFERROR(VLOOKUP(B144,'👥 بيانات الموظفين'!$B:$H,7,0),0)</f>
        <v>0</v>
      </c>
      <c r="G144" s="83">
        <f>IFERROR(VLOOKUP(B144,'👥 بيانات الموظفين'!$B:$I,8,0),0)</f>
        <v>0</v>
      </c>
      <c r="H144" s="83">
        <f>IFERROR(VLOOKUP(B144,'👥 بيانات الموظفين'!$B:$J,9,0),0)</f>
        <v>0</v>
      </c>
      <c r="I144" s="83">
        <f>IF(B144="",0,IFERROR(SUMIFS('➕ الخصومات والمكافآت'!$E:$E,'➕ الخصومات والمكافآت'!$B:$B,B144,'➕ الخصومات والمكافآت'!$F:$F,PayPeriod,'➕ الخصومات والمكافآت'!$C:$C,"مكافأة"),0))</f>
        <v>0</v>
      </c>
      <c r="J144" s="83">
        <f t="shared" si="21"/>
        <v>0</v>
      </c>
      <c r="K144" s="83">
        <f>IF(B144="",0,IFERROR(COUNTIFS('📅 الحضور'!$B:$B,B144,'📅 الحضور'!$L:$L,PayPeriod,'📅 الحضور'!$E:$E,"غائب")*F144/WorkDaysMonth,0))</f>
        <v>0</v>
      </c>
      <c r="L144" s="83">
        <f>IF(B144="",0,IFERROR(SUMIFS('📅 الحضور'!$I:$I,'📅 الحضور'!$B:$B,B144,'📅 الحضور'!$L:$L,PayPeriod)/60/WorkHoursDay*F144/WorkDaysMonth,0))</f>
        <v>0</v>
      </c>
      <c r="M144" s="83">
        <f>IF(B144="",0,IFERROR(SUMIFS('➕ الخصومات والمكافآت'!$E:$E,'➕ الخصومات والمكافآت'!$B:$B,B144,'➕ الخصومات والمكافآت'!$F:$F,PayPeriod,'➕ الخصومات والمكافآت'!$C:$C,"خصم"),0))</f>
        <v>0</v>
      </c>
      <c r="N144" s="83">
        <f t="shared" si="22"/>
        <v>0</v>
      </c>
      <c r="O144" s="95">
        <f t="shared" si="23"/>
        <v>0</v>
      </c>
      <c r="P144" s="57"/>
      <c r="Q144" s="90">
        <f>IF(B144="",0,IFERROR(SUMIFS('📅 الحضور'!$J:$J,'📅 الحضور'!$B:$B,B144,'📅 الحضور'!$L:$L,PayPeriod),0))</f>
        <v>0</v>
      </c>
      <c r="R144" s="91">
        <f t="shared" si="24"/>
        <v>0</v>
      </c>
      <c r="S144" s="91">
        <f>IF(B144="",0,IF(IFERROR(VLOOKUP(B144,'👥 بيانات الموظفين'!$B:$D,3,0),"")="سعودي",MIN(F144+G144,GosiCeiling)*GosiEmpRate,IF(IFERROR(VLOOKUP(B144,'👥 بيانات الموظفين'!$B:$D,3,0),"")="سعودية",MIN(F144+G144,GosiCeiling)*GosiEmpRate,0)))</f>
        <v>0</v>
      </c>
      <c r="T144" s="91">
        <f>IF(B144="",0,IF(OR(IFERROR(VLOOKUP(B144,'👥 بيانات الموظفين'!$B:$D,3,0),"")="سعودي",IFERROR(VLOOKUP(B144,'👥 بيانات الموظفين'!$B:$D,3,0),"")="سعودية"),MIN(F144+G144,GosiCeiling)*GosiCoRate,(F144+G144)*0.02))</f>
        <v>0</v>
      </c>
      <c r="U144" s="91">
        <f>IF(B144="",0,IFERROR(IF(VLOOKUP(B144,'👥 بيانات الموظفين'!$B:$M,12,0)&lt;5,F144/24,F144/12),0))</f>
        <v>0</v>
      </c>
    </row>
    <row r="145" spans="1:21" ht="22.15" customHeight="1" x14ac:dyDescent="0.2">
      <c r="A145" s="53">
        <f t="shared" si="20"/>
        <v>141</v>
      </c>
      <c r="B145" s="53">
        <f>IFERROR('👥 بيانات الموظفين'!B145,"")</f>
        <v>0</v>
      </c>
      <c r="C145" s="53" t="str">
        <f>IFERROR(VLOOKUP(B145,'👥 بيانات الموظفين'!$B:$C,2,0),"")</f>
        <v/>
      </c>
      <c r="D145" s="53" t="str">
        <f>IFERROR(VLOOKUP(B145,'👥 بيانات الموظفين'!$B:$E,4,0),"")</f>
        <v/>
      </c>
      <c r="E145" s="68">
        <f>IF(B145="",0,IFERROR(COUNTIFS('📅 الحضور'!$B:$B,B145,'📅 الحضور'!$L:$L,PayPeriod,'📅 الحضور'!$E:$E,"حاضر")+COUNTIFS('📅 الحضور'!$B:$B,B145,'📅 الحضور'!$L:$L,PayPeriod,'📅 الحضور'!$E:$E,"متأخر"),0))</f>
        <v>0</v>
      </c>
      <c r="F145" s="82">
        <f>IFERROR(VLOOKUP(B145,'👥 بيانات الموظفين'!$B:$H,7,0),0)</f>
        <v>0</v>
      </c>
      <c r="G145" s="82">
        <f>IFERROR(VLOOKUP(B145,'👥 بيانات الموظفين'!$B:$I,8,0),0)</f>
        <v>0</v>
      </c>
      <c r="H145" s="82">
        <f>IFERROR(VLOOKUP(B145,'👥 بيانات الموظفين'!$B:$J,9,0),0)</f>
        <v>0</v>
      </c>
      <c r="I145" s="82">
        <f>IF(B145="",0,IFERROR(SUMIFS('➕ الخصومات والمكافآت'!$E:$E,'➕ الخصومات والمكافآت'!$B:$B,B145,'➕ الخصومات والمكافآت'!$F:$F,PayPeriod,'➕ الخصومات والمكافآت'!$C:$C,"مكافأة"),0))</f>
        <v>0</v>
      </c>
      <c r="J145" s="82">
        <f t="shared" si="21"/>
        <v>0</v>
      </c>
      <c r="K145" s="82">
        <f>IF(B145="",0,IFERROR(COUNTIFS('📅 الحضور'!$B:$B,B145,'📅 الحضور'!$L:$L,PayPeriod,'📅 الحضور'!$E:$E,"غائب")*F145/WorkDaysMonth,0))</f>
        <v>0</v>
      </c>
      <c r="L145" s="82">
        <f>IF(B145="",0,IFERROR(SUMIFS('📅 الحضور'!$I:$I,'📅 الحضور'!$B:$B,B145,'📅 الحضور'!$L:$L,PayPeriod)/60/WorkHoursDay*F145/WorkDaysMonth,0))</f>
        <v>0</v>
      </c>
      <c r="M145" s="82">
        <f>IF(B145="",0,IFERROR(SUMIFS('➕ الخصومات والمكافآت'!$E:$E,'➕ الخصومات والمكافآت'!$B:$B,B145,'➕ الخصومات والمكافآت'!$F:$F,PayPeriod,'➕ الخصومات والمكافآت'!$C:$C,"خصم"),0))</f>
        <v>0</v>
      </c>
      <c r="N145" s="82">
        <f t="shared" si="22"/>
        <v>0</v>
      </c>
      <c r="O145" s="94">
        <f t="shared" si="23"/>
        <v>0</v>
      </c>
      <c r="P145" s="53"/>
      <c r="Q145" s="88">
        <f>IF(B145="",0,IFERROR(SUMIFS('📅 الحضور'!$J:$J,'📅 الحضور'!$B:$B,B145,'📅 الحضور'!$L:$L,PayPeriod),0))</f>
        <v>0</v>
      </c>
      <c r="R145" s="89">
        <f t="shared" si="24"/>
        <v>0</v>
      </c>
      <c r="S145" s="89">
        <f>IF(B145="",0,IF(IFERROR(VLOOKUP(B145,'👥 بيانات الموظفين'!$B:$D,3,0),"")="سعودي",MIN(F145+G145,GosiCeiling)*GosiEmpRate,IF(IFERROR(VLOOKUP(B145,'👥 بيانات الموظفين'!$B:$D,3,0),"")="سعودية",MIN(F145+G145,GosiCeiling)*GosiEmpRate,0)))</f>
        <v>0</v>
      </c>
      <c r="T145" s="89">
        <f>IF(B145="",0,IF(OR(IFERROR(VLOOKUP(B145,'👥 بيانات الموظفين'!$B:$D,3,0),"")="سعودي",IFERROR(VLOOKUP(B145,'👥 بيانات الموظفين'!$B:$D,3,0),"")="سعودية"),MIN(F145+G145,GosiCeiling)*GosiCoRate,(F145+G145)*0.02))</f>
        <v>0</v>
      </c>
      <c r="U145" s="89">
        <f>IF(B145="",0,IFERROR(IF(VLOOKUP(B145,'👥 بيانات الموظفين'!$B:$M,12,0)&lt;5,F145/24,F145/12),0))</f>
        <v>0</v>
      </c>
    </row>
    <row r="146" spans="1:21" ht="22.15" customHeight="1" x14ac:dyDescent="0.2">
      <c r="A146" s="57">
        <f t="shared" si="20"/>
        <v>142</v>
      </c>
      <c r="B146" s="57">
        <f>IFERROR('👥 بيانات الموظفين'!B146,"")</f>
        <v>0</v>
      </c>
      <c r="C146" s="57" t="str">
        <f>IFERROR(VLOOKUP(B146,'👥 بيانات الموظفين'!$B:$C,2,0),"")</f>
        <v/>
      </c>
      <c r="D146" s="57" t="str">
        <f>IFERROR(VLOOKUP(B146,'👥 بيانات الموظفين'!$B:$E,4,0),"")</f>
        <v/>
      </c>
      <c r="E146" s="69">
        <f>IF(B146="",0,IFERROR(COUNTIFS('📅 الحضور'!$B:$B,B146,'📅 الحضور'!$L:$L,PayPeriod,'📅 الحضور'!$E:$E,"حاضر")+COUNTIFS('📅 الحضور'!$B:$B,B146,'📅 الحضور'!$L:$L,PayPeriod,'📅 الحضور'!$E:$E,"متأخر"),0))</f>
        <v>0</v>
      </c>
      <c r="F146" s="83">
        <f>IFERROR(VLOOKUP(B146,'👥 بيانات الموظفين'!$B:$H,7,0),0)</f>
        <v>0</v>
      </c>
      <c r="G146" s="83">
        <f>IFERROR(VLOOKUP(B146,'👥 بيانات الموظفين'!$B:$I,8,0),0)</f>
        <v>0</v>
      </c>
      <c r="H146" s="83">
        <f>IFERROR(VLOOKUP(B146,'👥 بيانات الموظفين'!$B:$J,9,0),0)</f>
        <v>0</v>
      </c>
      <c r="I146" s="83">
        <f>IF(B146="",0,IFERROR(SUMIFS('➕ الخصومات والمكافآت'!$E:$E,'➕ الخصومات والمكافآت'!$B:$B,B146,'➕ الخصومات والمكافآت'!$F:$F,PayPeriod,'➕ الخصومات والمكافآت'!$C:$C,"مكافأة"),0))</f>
        <v>0</v>
      </c>
      <c r="J146" s="83">
        <f t="shared" si="21"/>
        <v>0</v>
      </c>
      <c r="K146" s="83">
        <f>IF(B146="",0,IFERROR(COUNTIFS('📅 الحضور'!$B:$B,B146,'📅 الحضور'!$L:$L,PayPeriod,'📅 الحضور'!$E:$E,"غائب")*F146/WorkDaysMonth,0))</f>
        <v>0</v>
      </c>
      <c r="L146" s="83">
        <f>IF(B146="",0,IFERROR(SUMIFS('📅 الحضور'!$I:$I,'📅 الحضور'!$B:$B,B146,'📅 الحضور'!$L:$L,PayPeriod)/60/WorkHoursDay*F146/WorkDaysMonth,0))</f>
        <v>0</v>
      </c>
      <c r="M146" s="83">
        <f>IF(B146="",0,IFERROR(SUMIFS('➕ الخصومات والمكافآت'!$E:$E,'➕ الخصومات والمكافآت'!$B:$B,B146,'➕ الخصومات والمكافآت'!$F:$F,PayPeriod,'➕ الخصومات والمكافآت'!$C:$C,"خصم"),0))</f>
        <v>0</v>
      </c>
      <c r="N146" s="83">
        <f t="shared" si="22"/>
        <v>0</v>
      </c>
      <c r="O146" s="95">
        <f t="shared" si="23"/>
        <v>0</v>
      </c>
      <c r="P146" s="57"/>
      <c r="Q146" s="90">
        <f>IF(B146="",0,IFERROR(SUMIFS('📅 الحضور'!$J:$J,'📅 الحضور'!$B:$B,B146,'📅 الحضور'!$L:$L,PayPeriod),0))</f>
        <v>0</v>
      </c>
      <c r="R146" s="91">
        <f t="shared" si="24"/>
        <v>0</v>
      </c>
      <c r="S146" s="91">
        <f>IF(B146="",0,IF(IFERROR(VLOOKUP(B146,'👥 بيانات الموظفين'!$B:$D,3,0),"")="سعودي",MIN(F146+G146,GosiCeiling)*GosiEmpRate,IF(IFERROR(VLOOKUP(B146,'👥 بيانات الموظفين'!$B:$D,3,0),"")="سعودية",MIN(F146+G146,GosiCeiling)*GosiEmpRate,0)))</f>
        <v>0</v>
      </c>
      <c r="T146" s="91">
        <f>IF(B146="",0,IF(OR(IFERROR(VLOOKUP(B146,'👥 بيانات الموظفين'!$B:$D,3,0),"")="سعودي",IFERROR(VLOOKUP(B146,'👥 بيانات الموظفين'!$B:$D,3,0),"")="سعودية"),MIN(F146+G146,GosiCeiling)*GosiCoRate,(F146+G146)*0.02))</f>
        <v>0</v>
      </c>
      <c r="U146" s="91">
        <f>IF(B146="",0,IFERROR(IF(VLOOKUP(B146,'👥 بيانات الموظفين'!$B:$M,12,0)&lt;5,F146/24,F146/12),0))</f>
        <v>0</v>
      </c>
    </row>
    <row r="147" spans="1:21" ht="22.15" customHeight="1" x14ac:dyDescent="0.2">
      <c r="A147" s="53">
        <f t="shared" si="20"/>
        <v>143</v>
      </c>
      <c r="B147" s="53">
        <f>IFERROR('👥 بيانات الموظفين'!B147,"")</f>
        <v>0</v>
      </c>
      <c r="C147" s="53" t="str">
        <f>IFERROR(VLOOKUP(B147,'👥 بيانات الموظفين'!$B:$C,2,0),"")</f>
        <v/>
      </c>
      <c r="D147" s="53" t="str">
        <f>IFERROR(VLOOKUP(B147,'👥 بيانات الموظفين'!$B:$E,4,0),"")</f>
        <v/>
      </c>
      <c r="E147" s="68">
        <f>IF(B147="",0,IFERROR(COUNTIFS('📅 الحضور'!$B:$B,B147,'📅 الحضور'!$L:$L,PayPeriod,'📅 الحضور'!$E:$E,"حاضر")+COUNTIFS('📅 الحضور'!$B:$B,B147,'📅 الحضور'!$L:$L,PayPeriod,'📅 الحضور'!$E:$E,"متأخر"),0))</f>
        <v>0</v>
      </c>
      <c r="F147" s="82">
        <f>IFERROR(VLOOKUP(B147,'👥 بيانات الموظفين'!$B:$H,7,0),0)</f>
        <v>0</v>
      </c>
      <c r="G147" s="82">
        <f>IFERROR(VLOOKUP(B147,'👥 بيانات الموظفين'!$B:$I,8,0),0)</f>
        <v>0</v>
      </c>
      <c r="H147" s="82">
        <f>IFERROR(VLOOKUP(B147,'👥 بيانات الموظفين'!$B:$J,9,0),0)</f>
        <v>0</v>
      </c>
      <c r="I147" s="82">
        <f>IF(B147="",0,IFERROR(SUMIFS('➕ الخصومات والمكافآت'!$E:$E,'➕ الخصومات والمكافآت'!$B:$B,B147,'➕ الخصومات والمكافآت'!$F:$F,PayPeriod,'➕ الخصومات والمكافآت'!$C:$C,"مكافأة"),0))</f>
        <v>0</v>
      </c>
      <c r="J147" s="82">
        <f t="shared" si="21"/>
        <v>0</v>
      </c>
      <c r="K147" s="82">
        <f>IF(B147="",0,IFERROR(COUNTIFS('📅 الحضور'!$B:$B,B147,'📅 الحضور'!$L:$L,PayPeriod,'📅 الحضور'!$E:$E,"غائب")*F147/WorkDaysMonth,0))</f>
        <v>0</v>
      </c>
      <c r="L147" s="82">
        <f>IF(B147="",0,IFERROR(SUMIFS('📅 الحضور'!$I:$I,'📅 الحضور'!$B:$B,B147,'📅 الحضور'!$L:$L,PayPeriod)/60/WorkHoursDay*F147/WorkDaysMonth,0))</f>
        <v>0</v>
      </c>
      <c r="M147" s="82">
        <f>IF(B147="",0,IFERROR(SUMIFS('➕ الخصومات والمكافآت'!$E:$E,'➕ الخصومات والمكافآت'!$B:$B,B147,'➕ الخصومات والمكافآت'!$F:$F,PayPeriod,'➕ الخصومات والمكافآت'!$C:$C,"خصم"),0))</f>
        <v>0</v>
      </c>
      <c r="N147" s="82">
        <f t="shared" si="22"/>
        <v>0</v>
      </c>
      <c r="O147" s="94">
        <f t="shared" si="23"/>
        <v>0</v>
      </c>
      <c r="P147" s="53"/>
      <c r="Q147" s="88">
        <f>IF(B147="",0,IFERROR(SUMIFS('📅 الحضور'!$J:$J,'📅 الحضور'!$B:$B,B147,'📅 الحضور'!$L:$L,PayPeriod),0))</f>
        <v>0</v>
      </c>
      <c r="R147" s="89">
        <f t="shared" si="24"/>
        <v>0</v>
      </c>
      <c r="S147" s="89">
        <f>IF(B147="",0,IF(IFERROR(VLOOKUP(B147,'👥 بيانات الموظفين'!$B:$D,3,0),"")="سعودي",MIN(F147+G147,GosiCeiling)*GosiEmpRate,IF(IFERROR(VLOOKUP(B147,'👥 بيانات الموظفين'!$B:$D,3,0),"")="سعودية",MIN(F147+G147,GosiCeiling)*GosiEmpRate,0)))</f>
        <v>0</v>
      </c>
      <c r="T147" s="89">
        <f>IF(B147="",0,IF(OR(IFERROR(VLOOKUP(B147,'👥 بيانات الموظفين'!$B:$D,3,0),"")="سعودي",IFERROR(VLOOKUP(B147,'👥 بيانات الموظفين'!$B:$D,3,0),"")="سعودية"),MIN(F147+G147,GosiCeiling)*GosiCoRate,(F147+G147)*0.02))</f>
        <v>0</v>
      </c>
      <c r="U147" s="89">
        <f>IF(B147="",0,IFERROR(IF(VLOOKUP(B147,'👥 بيانات الموظفين'!$B:$M,12,0)&lt;5,F147/24,F147/12),0))</f>
        <v>0</v>
      </c>
    </row>
    <row r="148" spans="1:21" ht="22.15" customHeight="1" x14ac:dyDescent="0.2">
      <c r="A148" s="57">
        <f t="shared" si="20"/>
        <v>144</v>
      </c>
      <c r="B148" s="57">
        <f>IFERROR('👥 بيانات الموظفين'!B148,"")</f>
        <v>0</v>
      </c>
      <c r="C148" s="57" t="str">
        <f>IFERROR(VLOOKUP(B148,'👥 بيانات الموظفين'!$B:$C,2,0),"")</f>
        <v/>
      </c>
      <c r="D148" s="57" t="str">
        <f>IFERROR(VLOOKUP(B148,'👥 بيانات الموظفين'!$B:$E,4,0),"")</f>
        <v/>
      </c>
      <c r="E148" s="69">
        <f>IF(B148="",0,IFERROR(COUNTIFS('📅 الحضور'!$B:$B,B148,'📅 الحضور'!$L:$L,PayPeriod,'📅 الحضور'!$E:$E,"حاضر")+COUNTIFS('📅 الحضور'!$B:$B,B148,'📅 الحضور'!$L:$L,PayPeriod,'📅 الحضور'!$E:$E,"متأخر"),0))</f>
        <v>0</v>
      </c>
      <c r="F148" s="83">
        <f>IFERROR(VLOOKUP(B148,'👥 بيانات الموظفين'!$B:$H,7,0),0)</f>
        <v>0</v>
      </c>
      <c r="G148" s="83">
        <f>IFERROR(VLOOKUP(B148,'👥 بيانات الموظفين'!$B:$I,8,0),0)</f>
        <v>0</v>
      </c>
      <c r="H148" s="83">
        <f>IFERROR(VLOOKUP(B148,'👥 بيانات الموظفين'!$B:$J,9,0),0)</f>
        <v>0</v>
      </c>
      <c r="I148" s="83">
        <f>IF(B148="",0,IFERROR(SUMIFS('➕ الخصومات والمكافآت'!$E:$E,'➕ الخصومات والمكافآت'!$B:$B,B148,'➕ الخصومات والمكافآت'!$F:$F,PayPeriod,'➕ الخصومات والمكافآت'!$C:$C,"مكافأة"),0))</f>
        <v>0</v>
      </c>
      <c r="J148" s="83">
        <f t="shared" si="21"/>
        <v>0</v>
      </c>
      <c r="K148" s="83">
        <f>IF(B148="",0,IFERROR(COUNTIFS('📅 الحضور'!$B:$B,B148,'📅 الحضور'!$L:$L,PayPeriod,'📅 الحضور'!$E:$E,"غائب")*F148/WorkDaysMonth,0))</f>
        <v>0</v>
      </c>
      <c r="L148" s="83">
        <f>IF(B148="",0,IFERROR(SUMIFS('📅 الحضور'!$I:$I,'📅 الحضور'!$B:$B,B148,'📅 الحضور'!$L:$L,PayPeriod)/60/WorkHoursDay*F148/WorkDaysMonth,0))</f>
        <v>0</v>
      </c>
      <c r="M148" s="83">
        <f>IF(B148="",0,IFERROR(SUMIFS('➕ الخصومات والمكافآت'!$E:$E,'➕ الخصومات والمكافآت'!$B:$B,B148,'➕ الخصومات والمكافآت'!$F:$F,PayPeriod,'➕ الخصومات والمكافآت'!$C:$C,"خصم"),0))</f>
        <v>0</v>
      </c>
      <c r="N148" s="83">
        <f t="shared" si="22"/>
        <v>0</v>
      </c>
      <c r="O148" s="95">
        <f t="shared" si="23"/>
        <v>0</v>
      </c>
      <c r="P148" s="57"/>
      <c r="Q148" s="90">
        <f>IF(B148="",0,IFERROR(SUMIFS('📅 الحضور'!$J:$J,'📅 الحضور'!$B:$B,B148,'📅 الحضور'!$L:$L,PayPeriod),0))</f>
        <v>0</v>
      </c>
      <c r="R148" s="91">
        <f t="shared" si="24"/>
        <v>0</v>
      </c>
      <c r="S148" s="91">
        <f>IF(B148="",0,IF(IFERROR(VLOOKUP(B148,'👥 بيانات الموظفين'!$B:$D,3,0),"")="سعودي",MIN(F148+G148,GosiCeiling)*GosiEmpRate,IF(IFERROR(VLOOKUP(B148,'👥 بيانات الموظفين'!$B:$D,3,0),"")="سعودية",MIN(F148+G148,GosiCeiling)*GosiEmpRate,0)))</f>
        <v>0</v>
      </c>
      <c r="T148" s="91">
        <f>IF(B148="",0,IF(OR(IFERROR(VLOOKUP(B148,'👥 بيانات الموظفين'!$B:$D,3,0),"")="سعودي",IFERROR(VLOOKUP(B148,'👥 بيانات الموظفين'!$B:$D,3,0),"")="سعودية"),MIN(F148+G148,GosiCeiling)*GosiCoRate,(F148+G148)*0.02))</f>
        <v>0</v>
      </c>
      <c r="U148" s="91">
        <f>IF(B148="",0,IFERROR(IF(VLOOKUP(B148,'👥 بيانات الموظفين'!$B:$M,12,0)&lt;5,F148/24,F148/12),0))</f>
        <v>0</v>
      </c>
    </row>
    <row r="149" spans="1:21" ht="22.15" customHeight="1" x14ac:dyDescent="0.2">
      <c r="A149" s="53">
        <f t="shared" si="20"/>
        <v>145</v>
      </c>
      <c r="B149" s="53">
        <f>IFERROR('👥 بيانات الموظفين'!B149,"")</f>
        <v>0</v>
      </c>
      <c r="C149" s="53" t="str">
        <f>IFERROR(VLOOKUP(B149,'👥 بيانات الموظفين'!$B:$C,2,0),"")</f>
        <v/>
      </c>
      <c r="D149" s="53" t="str">
        <f>IFERROR(VLOOKUP(B149,'👥 بيانات الموظفين'!$B:$E,4,0),"")</f>
        <v/>
      </c>
      <c r="E149" s="68">
        <f>IF(B149="",0,IFERROR(COUNTIFS('📅 الحضور'!$B:$B,B149,'📅 الحضور'!$L:$L,PayPeriod,'📅 الحضور'!$E:$E,"حاضر")+COUNTIFS('📅 الحضور'!$B:$B,B149,'📅 الحضور'!$L:$L,PayPeriod,'📅 الحضور'!$E:$E,"متأخر"),0))</f>
        <v>0</v>
      </c>
      <c r="F149" s="82">
        <f>IFERROR(VLOOKUP(B149,'👥 بيانات الموظفين'!$B:$H,7,0),0)</f>
        <v>0</v>
      </c>
      <c r="G149" s="82">
        <f>IFERROR(VLOOKUP(B149,'👥 بيانات الموظفين'!$B:$I,8,0),0)</f>
        <v>0</v>
      </c>
      <c r="H149" s="82">
        <f>IFERROR(VLOOKUP(B149,'👥 بيانات الموظفين'!$B:$J,9,0),0)</f>
        <v>0</v>
      </c>
      <c r="I149" s="82">
        <f>IF(B149="",0,IFERROR(SUMIFS('➕ الخصومات والمكافآت'!$E:$E,'➕ الخصومات والمكافآت'!$B:$B,B149,'➕ الخصومات والمكافآت'!$F:$F,PayPeriod,'➕ الخصومات والمكافآت'!$C:$C,"مكافأة"),0))</f>
        <v>0</v>
      </c>
      <c r="J149" s="82">
        <f t="shared" si="21"/>
        <v>0</v>
      </c>
      <c r="K149" s="82">
        <f>IF(B149="",0,IFERROR(COUNTIFS('📅 الحضور'!$B:$B,B149,'📅 الحضور'!$L:$L,PayPeriod,'📅 الحضور'!$E:$E,"غائب")*F149/WorkDaysMonth,0))</f>
        <v>0</v>
      </c>
      <c r="L149" s="82">
        <f>IF(B149="",0,IFERROR(SUMIFS('📅 الحضور'!$I:$I,'📅 الحضور'!$B:$B,B149,'📅 الحضور'!$L:$L,PayPeriod)/60/WorkHoursDay*F149/WorkDaysMonth,0))</f>
        <v>0</v>
      </c>
      <c r="M149" s="82">
        <f>IF(B149="",0,IFERROR(SUMIFS('➕ الخصومات والمكافآت'!$E:$E,'➕ الخصومات والمكافآت'!$B:$B,B149,'➕ الخصومات والمكافآت'!$F:$F,PayPeriod,'➕ الخصومات والمكافآت'!$C:$C,"خصم"),0))</f>
        <v>0</v>
      </c>
      <c r="N149" s="82">
        <f t="shared" si="22"/>
        <v>0</v>
      </c>
      <c r="O149" s="94">
        <f t="shared" si="23"/>
        <v>0</v>
      </c>
      <c r="P149" s="53"/>
      <c r="Q149" s="88">
        <f>IF(B149="",0,IFERROR(SUMIFS('📅 الحضور'!$J:$J,'📅 الحضور'!$B:$B,B149,'📅 الحضور'!$L:$L,PayPeriod),0))</f>
        <v>0</v>
      </c>
      <c r="R149" s="89">
        <f t="shared" si="24"/>
        <v>0</v>
      </c>
      <c r="S149" s="89">
        <f>IF(B149="",0,IF(IFERROR(VLOOKUP(B149,'👥 بيانات الموظفين'!$B:$D,3,0),"")="سعودي",MIN(F149+G149,GosiCeiling)*GosiEmpRate,IF(IFERROR(VLOOKUP(B149,'👥 بيانات الموظفين'!$B:$D,3,0),"")="سعودية",MIN(F149+G149,GosiCeiling)*GosiEmpRate,0)))</f>
        <v>0</v>
      </c>
      <c r="T149" s="89">
        <f>IF(B149="",0,IF(OR(IFERROR(VLOOKUP(B149,'👥 بيانات الموظفين'!$B:$D,3,0),"")="سعودي",IFERROR(VLOOKUP(B149,'👥 بيانات الموظفين'!$B:$D,3,0),"")="سعودية"),MIN(F149+G149,GosiCeiling)*GosiCoRate,(F149+G149)*0.02))</f>
        <v>0</v>
      </c>
      <c r="U149" s="89">
        <f>IF(B149="",0,IFERROR(IF(VLOOKUP(B149,'👥 بيانات الموظفين'!$B:$M,12,0)&lt;5,F149/24,F149/12),0))</f>
        <v>0</v>
      </c>
    </row>
    <row r="150" spans="1:21" ht="22.15" customHeight="1" x14ac:dyDescent="0.2">
      <c r="A150" s="57">
        <f t="shared" si="20"/>
        <v>146</v>
      </c>
      <c r="B150" s="57">
        <f>IFERROR('👥 بيانات الموظفين'!B150,"")</f>
        <v>0</v>
      </c>
      <c r="C150" s="57" t="str">
        <f>IFERROR(VLOOKUP(B150,'👥 بيانات الموظفين'!$B:$C,2,0),"")</f>
        <v/>
      </c>
      <c r="D150" s="57" t="str">
        <f>IFERROR(VLOOKUP(B150,'👥 بيانات الموظفين'!$B:$E,4,0),"")</f>
        <v/>
      </c>
      <c r="E150" s="69">
        <f>IF(B150="",0,IFERROR(COUNTIFS('📅 الحضور'!$B:$B,B150,'📅 الحضور'!$L:$L,PayPeriod,'📅 الحضور'!$E:$E,"حاضر")+COUNTIFS('📅 الحضور'!$B:$B,B150,'📅 الحضور'!$L:$L,PayPeriod,'📅 الحضور'!$E:$E,"متأخر"),0))</f>
        <v>0</v>
      </c>
      <c r="F150" s="83">
        <f>IFERROR(VLOOKUP(B150,'👥 بيانات الموظفين'!$B:$H,7,0),0)</f>
        <v>0</v>
      </c>
      <c r="G150" s="83">
        <f>IFERROR(VLOOKUP(B150,'👥 بيانات الموظفين'!$B:$I,8,0),0)</f>
        <v>0</v>
      </c>
      <c r="H150" s="83">
        <f>IFERROR(VLOOKUP(B150,'👥 بيانات الموظفين'!$B:$J,9,0),0)</f>
        <v>0</v>
      </c>
      <c r="I150" s="83">
        <f>IF(B150="",0,IFERROR(SUMIFS('➕ الخصومات والمكافآت'!$E:$E,'➕ الخصومات والمكافآت'!$B:$B,B150,'➕ الخصومات والمكافآت'!$F:$F,PayPeriod,'➕ الخصومات والمكافآت'!$C:$C,"مكافأة"),0))</f>
        <v>0</v>
      </c>
      <c r="J150" s="83">
        <f t="shared" si="21"/>
        <v>0</v>
      </c>
      <c r="K150" s="83">
        <f>IF(B150="",0,IFERROR(COUNTIFS('📅 الحضور'!$B:$B,B150,'📅 الحضور'!$L:$L,PayPeriod,'📅 الحضور'!$E:$E,"غائب")*F150/WorkDaysMonth,0))</f>
        <v>0</v>
      </c>
      <c r="L150" s="83">
        <f>IF(B150="",0,IFERROR(SUMIFS('📅 الحضور'!$I:$I,'📅 الحضور'!$B:$B,B150,'📅 الحضور'!$L:$L,PayPeriod)/60/WorkHoursDay*F150/WorkDaysMonth,0))</f>
        <v>0</v>
      </c>
      <c r="M150" s="83">
        <f>IF(B150="",0,IFERROR(SUMIFS('➕ الخصومات والمكافآت'!$E:$E,'➕ الخصومات والمكافآت'!$B:$B,B150,'➕ الخصومات والمكافآت'!$F:$F,PayPeriod,'➕ الخصومات والمكافآت'!$C:$C,"خصم"),0))</f>
        <v>0</v>
      </c>
      <c r="N150" s="83">
        <f t="shared" si="22"/>
        <v>0</v>
      </c>
      <c r="O150" s="95">
        <f t="shared" si="23"/>
        <v>0</v>
      </c>
      <c r="P150" s="57"/>
      <c r="Q150" s="90">
        <f>IF(B150="",0,IFERROR(SUMIFS('📅 الحضور'!$J:$J,'📅 الحضور'!$B:$B,B150,'📅 الحضور'!$L:$L,PayPeriod),0))</f>
        <v>0</v>
      </c>
      <c r="R150" s="91">
        <f t="shared" si="24"/>
        <v>0</v>
      </c>
      <c r="S150" s="91">
        <f>IF(B150="",0,IF(IFERROR(VLOOKUP(B150,'👥 بيانات الموظفين'!$B:$D,3,0),"")="سعودي",MIN(F150+G150,GosiCeiling)*GosiEmpRate,IF(IFERROR(VLOOKUP(B150,'👥 بيانات الموظفين'!$B:$D,3,0),"")="سعودية",MIN(F150+G150,GosiCeiling)*GosiEmpRate,0)))</f>
        <v>0</v>
      </c>
      <c r="T150" s="91">
        <f>IF(B150="",0,IF(OR(IFERROR(VLOOKUP(B150,'👥 بيانات الموظفين'!$B:$D,3,0),"")="سعودي",IFERROR(VLOOKUP(B150,'👥 بيانات الموظفين'!$B:$D,3,0),"")="سعودية"),MIN(F150+G150,GosiCeiling)*GosiCoRate,(F150+G150)*0.02))</f>
        <v>0</v>
      </c>
      <c r="U150" s="91">
        <f>IF(B150="",0,IFERROR(IF(VLOOKUP(B150,'👥 بيانات الموظفين'!$B:$M,12,0)&lt;5,F150/24,F150/12),0))</f>
        <v>0</v>
      </c>
    </row>
    <row r="151" spans="1:21" ht="22.15" customHeight="1" x14ac:dyDescent="0.2">
      <c r="A151" s="53">
        <f t="shared" si="20"/>
        <v>147</v>
      </c>
      <c r="B151" s="53">
        <f>IFERROR('👥 بيانات الموظفين'!B151,"")</f>
        <v>0</v>
      </c>
      <c r="C151" s="53" t="str">
        <f>IFERROR(VLOOKUP(B151,'👥 بيانات الموظفين'!$B:$C,2,0),"")</f>
        <v/>
      </c>
      <c r="D151" s="53" t="str">
        <f>IFERROR(VLOOKUP(B151,'👥 بيانات الموظفين'!$B:$E,4,0),"")</f>
        <v/>
      </c>
      <c r="E151" s="68">
        <f>IF(B151="",0,IFERROR(COUNTIFS('📅 الحضور'!$B:$B,B151,'📅 الحضور'!$L:$L,PayPeriod,'📅 الحضور'!$E:$E,"حاضر")+COUNTIFS('📅 الحضور'!$B:$B,B151,'📅 الحضور'!$L:$L,PayPeriod,'📅 الحضور'!$E:$E,"متأخر"),0))</f>
        <v>0</v>
      </c>
      <c r="F151" s="82">
        <f>IFERROR(VLOOKUP(B151,'👥 بيانات الموظفين'!$B:$H,7,0),0)</f>
        <v>0</v>
      </c>
      <c r="G151" s="82">
        <f>IFERROR(VLOOKUP(B151,'👥 بيانات الموظفين'!$B:$I,8,0),0)</f>
        <v>0</v>
      </c>
      <c r="H151" s="82">
        <f>IFERROR(VLOOKUP(B151,'👥 بيانات الموظفين'!$B:$J,9,0),0)</f>
        <v>0</v>
      </c>
      <c r="I151" s="82">
        <f>IF(B151="",0,IFERROR(SUMIFS('➕ الخصومات والمكافآت'!$E:$E,'➕ الخصومات والمكافآت'!$B:$B,B151,'➕ الخصومات والمكافآت'!$F:$F,PayPeriod,'➕ الخصومات والمكافآت'!$C:$C,"مكافأة"),0))</f>
        <v>0</v>
      </c>
      <c r="J151" s="82">
        <f t="shared" si="21"/>
        <v>0</v>
      </c>
      <c r="K151" s="82">
        <f>IF(B151="",0,IFERROR(COUNTIFS('📅 الحضور'!$B:$B,B151,'📅 الحضور'!$L:$L,PayPeriod,'📅 الحضور'!$E:$E,"غائب")*F151/WorkDaysMonth,0))</f>
        <v>0</v>
      </c>
      <c r="L151" s="82">
        <f>IF(B151="",0,IFERROR(SUMIFS('📅 الحضور'!$I:$I,'📅 الحضور'!$B:$B,B151,'📅 الحضور'!$L:$L,PayPeriod)/60/WorkHoursDay*F151/WorkDaysMonth,0))</f>
        <v>0</v>
      </c>
      <c r="M151" s="82">
        <f>IF(B151="",0,IFERROR(SUMIFS('➕ الخصومات والمكافآت'!$E:$E,'➕ الخصومات والمكافآت'!$B:$B,B151,'➕ الخصومات والمكافآت'!$F:$F,PayPeriod,'➕ الخصومات والمكافآت'!$C:$C,"خصم"),0))</f>
        <v>0</v>
      </c>
      <c r="N151" s="82">
        <f t="shared" si="22"/>
        <v>0</v>
      </c>
      <c r="O151" s="94">
        <f t="shared" si="23"/>
        <v>0</v>
      </c>
      <c r="P151" s="53"/>
      <c r="Q151" s="88">
        <f>IF(B151="",0,IFERROR(SUMIFS('📅 الحضور'!$J:$J,'📅 الحضور'!$B:$B,B151,'📅 الحضور'!$L:$L,PayPeriod),0))</f>
        <v>0</v>
      </c>
      <c r="R151" s="89">
        <f t="shared" si="24"/>
        <v>0</v>
      </c>
      <c r="S151" s="89">
        <f>IF(B151="",0,IF(IFERROR(VLOOKUP(B151,'👥 بيانات الموظفين'!$B:$D,3,0),"")="سعودي",MIN(F151+G151,GosiCeiling)*GosiEmpRate,IF(IFERROR(VLOOKUP(B151,'👥 بيانات الموظفين'!$B:$D,3,0),"")="سعودية",MIN(F151+G151,GosiCeiling)*GosiEmpRate,0)))</f>
        <v>0</v>
      </c>
      <c r="T151" s="89">
        <f>IF(B151="",0,IF(OR(IFERROR(VLOOKUP(B151,'👥 بيانات الموظفين'!$B:$D,3,0),"")="سعودي",IFERROR(VLOOKUP(B151,'👥 بيانات الموظفين'!$B:$D,3,0),"")="سعودية"),MIN(F151+G151,GosiCeiling)*GosiCoRate,(F151+G151)*0.02))</f>
        <v>0</v>
      </c>
      <c r="U151" s="89">
        <f>IF(B151="",0,IFERROR(IF(VLOOKUP(B151,'👥 بيانات الموظفين'!$B:$M,12,0)&lt;5,F151/24,F151/12),0))</f>
        <v>0</v>
      </c>
    </row>
    <row r="152" spans="1:21" ht="22.15" customHeight="1" x14ac:dyDescent="0.2">
      <c r="A152" s="57">
        <f t="shared" si="20"/>
        <v>148</v>
      </c>
      <c r="B152" s="57">
        <f>IFERROR('👥 بيانات الموظفين'!B152,"")</f>
        <v>0</v>
      </c>
      <c r="C152" s="57" t="str">
        <f>IFERROR(VLOOKUP(B152,'👥 بيانات الموظفين'!$B:$C,2,0),"")</f>
        <v/>
      </c>
      <c r="D152" s="57" t="str">
        <f>IFERROR(VLOOKUP(B152,'👥 بيانات الموظفين'!$B:$E,4,0),"")</f>
        <v/>
      </c>
      <c r="E152" s="69">
        <f>IF(B152="",0,IFERROR(COUNTIFS('📅 الحضور'!$B:$B,B152,'📅 الحضور'!$L:$L,PayPeriod,'📅 الحضور'!$E:$E,"حاضر")+COUNTIFS('📅 الحضور'!$B:$B,B152,'📅 الحضور'!$L:$L,PayPeriod,'📅 الحضور'!$E:$E,"متأخر"),0))</f>
        <v>0</v>
      </c>
      <c r="F152" s="83">
        <f>IFERROR(VLOOKUP(B152,'👥 بيانات الموظفين'!$B:$H,7,0),0)</f>
        <v>0</v>
      </c>
      <c r="G152" s="83">
        <f>IFERROR(VLOOKUP(B152,'👥 بيانات الموظفين'!$B:$I,8,0),0)</f>
        <v>0</v>
      </c>
      <c r="H152" s="83">
        <f>IFERROR(VLOOKUP(B152,'👥 بيانات الموظفين'!$B:$J,9,0),0)</f>
        <v>0</v>
      </c>
      <c r="I152" s="83">
        <f>IF(B152="",0,IFERROR(SUMIFS('➕ الخصومات والمكافآت'!$E:$E,'➕ الخصومات والمكافآت'!$B:$B,B152,'➕ الخصومات والمكافآت'!$F:$F,PayPeriod,'➕ الخصومات والمكافآت'!$C:$C,"مكافأة"),0))</f>
        <v>0</v>
      </c>
      <c r="J152" s="83">
        <f t="shared" si="21"/>
        <v>0</v>
      </c>
      <c r="K152" s="83">
        <f>IF(B152="",0,IFERROR(COUNTIFS('📅 الحضور'!$B:$B,B152,'📅 الحضور'!$L:$L,PayPeriod,'📅 الحضور'!$E:$E,"غائب")*F152/WorkDaysMonth,0))</f>
        <v>0</v>
      </c>
      <c r="L152" s="83">
        <f>IF(B152="",0,IFERROR(SUMIFS('📅 الحضور'!$I:$I,'📅 الحضور'!$B:$B,B152,'📅 الحضور'!$L:$L,PayPeriod)/60/WorkHoursDay*F152/WorkDaysMonth,0))</f>
        <v>0</v>
      </c>
      <c r="M152" s="83">
        <f>IF(B152="",0,IFERROR(SUMIFS('➕ الخصومات والمكافآت'!$E:$E,'➕ الخصومات والمكافآت'!$B:$B,B152,'➕ الخصومات والمكافآت'!$F:$F,PayPeriod,'➕ الخصومات والمكافآت'!$C:$C,"خصم"),0))</f>
        <v>0</v>
      </c>
      <c r="N152" s="83">
        <f t="shared" si="22"/>
        <v>0</v>
      </c>
      <c r="O152" s="95">
        <f t="shared" si="23"/>
        <v>0</v>
      </c>
      <c r="P152" s="57"/>
      <c r="Q152" s="90">
        <f>IF(B152="",0,IFERROR(SUMIFS('📅 الحضور'!$J:$J,'📅 الحضور'!$B:$B,B152,'📅 الحضور'!$L:$L,PayPeriod),0))</f>
        <v>0</v>
      </c>
      <c r="R152" s="91">
        <f t="shared" si="24"/>
        <v>0</v>
      </c>
      <c r="S152" s="91">
        <f>IF(B152="",0,IF(IFERROR(VLOOKUP(B152,'👥 بيانات الموظفين'!$B:$D,3,0),"")="سعودي",MIN(F152+G152,GosiCeiling)*GosiEmpRate,IF(IFERROR(VLOOKUP(B152,'👥 بيانات الموظفين'!$B:$D,3,0),"")="سعودية",MIN(F152+G152,GosiCeiling)*GosiEmpRate,0)))</f>
        <v>0</v>
      </c>
      <c r="T152" s="91">
        <f>IF(B152="",0,IF(OR(IFERROR(VLOOKUP(B152,'👥 بيانات الموظفين'!$B:$D,3,0),"")="سعودي",IFERROR(VLOOKUP(B152,'👥 بيانات الموظفين'!$B:$D,3,0),"")="سعودية"),MIN(F152+G152,GosiCeiling)*GosiCoRate,(F152+G152)*0.02))</f>
        <v>0</v>
      </c>
      <c r="U152" s="91">
        <f>IF(B152="",0,IFERROR(IF(VLOOKUP(B152,'👥 بيانات الموظفين'!$B:$M,12,0)&lt;5,F152/24,F152/12),0))</f>
        <v>0</v>
      </c>
    </row>
    <row r="153" spans="1:21" ht="22.15" customHeight="1" x14ac:dyDescent="0.2">
      <c r="A153" s="53">
        <f t="shared" si="20"/>
        <v>149</v>
      </c>
      <c r="B153" s="53">
        <f>IFERROR('👥 بيانات الموظفين'!B153,"")</f>
        <v>0</v>
      </c>
      <c r="C153" s="53" t="str">
        <f>IFERROR(VLOOKUP(B153,'👥 بيانات الموظفين'!$B:$C,2,0),"")</f>
        <v/>
      </c>
      <c r="D153" s="53" t="str">
        <f>IFERROR(VLOOKUP(B153,'👥 بيانات الموظفين'!$B:$E,4,0),"")</f>
        <v/>
      </c>
      <c r="E153" s="68">
        <f>IF(B153="",0,IFERROR(COUNTIFS('📅 الحضور'!$B:$B,B153,'📅 الحضور'!$L:$L,PayPeriod,'📅 الحضور'!$E:$E,"حاضر")+COUNTIFS('📅 الحضور'!$B:$B,B153,'📅 الحضور'!$L:$L,PayPeriod,'📅 الحضور'!$E:$E,"متأخر"),0))</f>
        <v>0</v>
      </c>
      <c r="F153" s="82">
        <f>IFERROR(VLOOKUP(B153,'👥 بيانات الموظفين'!$B:$H,7,0),0)</f>
        <v>0</v>
      </c>
      <c r="G153" s="82">
        <f>IFERROR(VLOOKUP(B153,'👥 بيانات الموظفين'!$B:$I,8,0),0)</f>
        <v>0</v>
      </c>
      <c r="H153" s="82">
        <f>IFERROR(VLOOKUP(B153,'👥 بيانات الموظفين'!$B:$J,9,0),0)</f>
        <v>0</v>
      </c>
      <c r="I153" s="82">
        <f>IF(B153="",0,IFERROR(SUMIFS('➕ الخصومات والمكافآت'!$E:$E,'➕ الخصومات والمكافآت'!$B:$B,B153,'➕ الخصومات والمكافآت'!$F:$F,PayPeriod,'➕ الخصومات والمكافآت'!$C:$C,"مكافأة"),0))</f>
        <v>0</v>
      </c>
      <c r="J153" s="82">
        <f t="shared" si="21"/>
        <v>0</v>
      </c>
      <c r="K153" s="82">
        <f>IF(B153="",0,IFERROR(COUNTIFS('📅 الحضور'!$B:$B,B153,'📅 الحضور'!$L:$L,PayPeriod,'📅 الحضور'!$E:$E,"غائب")*F153/WorkDaysMonth,0))</f>
        <v>0</v>
      </c>
      <c r="L153" s="82">
        <f>IF(B153="",0,IFERROR(SUMIFS('📅 الحضور'!$I:$I,'📅 الحضور'!$B:$B,B153,'📅 الحضور'!$L:$L,PayPeriod)/60/WorkHoursDay*F153/WorkDaysMonth,0))</f>
        <v>0</v>
      </c>
      <c r="M153" s="82">
        <f>IF(B153="",0,IFERROR(SUMIFS('➕ الخصومات والمكافآت'!$E:$E,'➕ الخصومات والمكافآت'!$B:$B,B153,'➕ الخصومات والمكافآت'!$F:$F,PayPeriod,'➕ الخصومات والمكافآت'!$C:$C,"خصم"),0))</f>
        <v>0</v>
      </c>
      <c r="N153" s="82">
        <f t="shared" si="22"/>
        <v>0</v>
      </c>
      <c r="O153" s="94">
        <f t="shared" si="23"/>
        <v>0</v>
      </c>
      <c r="P153" s="53"/>
      <c r="Q153" s="88">
        <f>IF(B153="",0,IFERROR(SUMIFS('📅 الحضور'!$J:$J,'📅 الحضور'!$B:$B,B153,'📅 الحضور'!$L:$L,PayPeriod),0))</f>
        <v>0</v>
      </c>
      <c r="R153" s="89">
        <f t="shared" si="24"/>
        <v>0</v>
      </c>
      <c r="S153" s="89">
        <f>IF(B153="",0,IF(IFERROR(VLOOKUP(B153,'👥 بيانات الموظفين'!$B:$D,3,0),"")="سعودي",MIN(F153+G153,GosiCeiling)*GosiEmpRate,IF(IFERROR(VLOOKUP(B153,'👥 بيانات الموظفين'!$B:$D,3,0),"")="سعودية",MIN(F153+G153,GosiCeiling)*GosiEmpRate,0)))</f>
        <v>0</v>
      </c>
      <c r="T153" s="89">
        <f>IF(B153="",0,IF(OR(IFERROR(VLOOKUP(B153,'👥 بيانات الموظفين'!$B:$D,3,0),"")="سعودي",IFERROR(VLOOKUP(B153,'👥 بيانات الموظفين'!$B:$D,3,0),"")="سعودية"),MIN(F153+G153,GosiCeiling)*GosiCoRate,(F153+G153)*0.02))</f>
        <v>0</v>
      </c>
      <c r="U153" s="89">
        <f>IF(B153="",0,IFERROR(IF(VLOOKUP(B153,'👥 بيانات الموظفين'!$B:$M,12,0)&lt;5,F153/24,F153/12),0))</f>
        <v>0</v>
      </c>
    </row>
    <row r="154" spans="1:21" ht="22.15" customHeight="1" x14ac:dyDescent="0.2">
      <c r="A154" s="57">
        <f t="shared" si="20"/>
        <v>150</v>
      </c>
      <c r="B154" s="57">
        <f>IFERROR('👥 بيانات الموظفين'!B154,"")</f>
        <v>0</v>
      </c>
      <c r="C154" s="57" t="str">
        <f>IFERROR(VLOOKUP(B154,'👥 بيانات الموظفين'!$B:$C,2,0),"")</f>
        <v/>
      </c>
      <c r="D154" s="57" t="str">
        <f>IFERROR(VLOOKUP(B154,'👥 بيانات الموظفين'!$B:$E,4,0),"")</f>
        <v/>
      </c>
      <c r="E154" s="69">
        <f>IF(B154="",0,IFERROR(COUNTIFS('📅 الحضور'!$B:$B,B154,'📅 الحضور'!$L:$L,PayPeriod,'📅 الحضور'!$E:$E,"حاضر")+COUNTIFS('📅 الحضور'!$B:$B,B154,'📅 الحضور'!$L:$L,PayPeriod,'📅 الحضور'!$E:$E,"متأخر"),0))</f>
        <v>0</v>
      </c>
      <c r="F154" s="83">
        <f>IFERROR(VLOOKUP(B154,'👥 بيانات الموظفين'!$B:$H,7,0),0)</f>
        <v>0</v>
      </c>
      <c r="G154" s="83">
        <f>IFERROR(VLOOKUP(B154,'👥 بيانات الموظفين'!$B:$I,8,0),0)</f>
        <v>0</v>
      </c>
      <c r="H154" s="83">
        <f>IFERROR(VLOOKUP(B154,'👥 بيانات الموظفين'!$B:$J,9,0),0)</f>
        <v>0</v>
      </c>
      <c r="I154" s="83">
        <f>IF(B154="",0,IFERROR(SUMIFS('➕ الخصومات والمكافآت'!$E:$E,'➕ الخصومات والمكافآت'!$B:$B,B154,'➕ الخصومات والمكافآت'!$F:$F,PayPeriod,'➕ الخصومات والمكافآت'!$C:$C,"مكافأة"),0))</f>
        <v>0</v>
      </c>
      <c r="J154" s="83">
        <f t="shared" si="21"/>
        <v>0</v>
      </c>
      <c r="K154" s="83">
        <f>IF(B154="",0,IFERROR(COUNTIFS('📅 الحضور'!$B:$B,B154,'📅 الحضور'!$L:$L,PayPeriod,'📅 الحضور'!$E:$E,"غائب")*F154/WorkDaysMonth,0))</f>
        <v>0</v>
      </c>
      <c r="L154" s="83">
        <f>IF(B154="",0,IFERROR(SUMIFS('📅 الحضور'!$I:$I,'📅 الحضور'!$B:$B,B154,'📅 الحضور'!$L:$L,PayPeriod)/60/WorkHoursDay*F154/WorkDaysMonth,0))</f>
        <v>0</v>
      </c>
      <c r="M154" s="83">
        <f>IF(B154="",0,IFERROR(SUMIFS('➕ الخصومات والمكافآت'!$E:$E,'➕ الخصومات والمكافآت'!$B:$B,B154,'➕ الخصومات والمكافآت'!$F:$F,PayPeriod,'➕ الخصومات والمكافآت'!$C:$C,"خصم"),0))</f>
        <v>0</v>
      </c>
      <c r="N154" s="83">
        <f t="shared" si="22"/>
        <v>0</v>
      </c>
      <c r="O154" s="95">
        <f t="shared" si="23"/>
        <v>0</v>
      </c>
      <c r="P154" s="57"/>
      <c r="Q154" s="90">
        <f>IF(B154="",0,IFERROR(SUMIFS('📅 الحضور'!$J:$J,'📅 الحضور'!$B:$B,B154,'📅 الحضور'!$L:$L,PayPeriod),0))</f>
        <v>0</v>
      </c>
      <c r="R154" s="91">
        <f t="shared" si="24"/>
        <v>0</v>
      </c>
      <c r="S154" s="91">
        <f>IF(B154="",0,IF(IFERROR(VLOOKUP(B154,'👥 بيانات الموظفين'!$B:$D,3,0),"")="سعودي",MIN(F154+G154,GosiCeiling)*GosiEmpRate,IF(IFERROR(VLOOKUP(B154,'👥 بيانات الموظفين'!$B:$D,3,0),"")="سعودية",MIN(F154+G154,GosiCeiling)*GosiEmpRate,0)))</f>
        <v>0</v>
      </c>
      <c r="T154" s="91">
        <f>IF(B154="",0,IF(OR(IFERROR(VLOOKUP(B154,'👥 بيانات الموظفين'!$B:$D,3,0),"")="سعودي",IFERROR(VLOOKUP(B154,'👥 بيانات الموظفين'!$B:$D,3,0),"")="سعودية"),MIN(F154+G154,GosiCeiling)*GosiCoRate,(F154+G154)*0.02))</f>
        <v>0</v>
      </c>
      <c r="U154" s="91">
        <f>IF(B154="",0,IFERROR(IF(VLOOKUP(B154,'👥 بيانات الموظفين'!$B:$M,12,0)&lt;5,F154/24,F154/12),0))</f>
        <v>0</v>
      </c>
    </row>
    <row r="155" spans="1:21" ht="22.15" customHeight="1" x14ac:dyDescent="0.2">
      <c r="A155" s="53">
        <f t="shared" si="20"/>
        <v>151</v>
      </c>
      <c r="B155" s="53">
        <f>IFERROR('👥 بيانات الموظفين'!B155,"")</f>
        <v>0</v>
      </c>
      <c r="C155" s="53" t="str">
        <f>IFERROR(VLOOKUP(B155,'👥 بيانات الموظفين'!$B:$C,2,0),"")</f>
        <v/>
      </c>
      <c r="D155" s="53" t="str">
        <f>IFERROR(VLOOKUP(B155,'👥 بيانات الموظفين'!$B:$E,4,0),"")</f>
        <v/>
      </c>
      <c r="E155" s="68">
        <f>IF(B155="",0,IFERROR(COUNTIFS('📅 الحضور'!$B:$B,B155,'📅 الحضور'!$L:$L,PayPeriod,'📅 الحضور'!$E:$E,"حاضر")+COUNTIFS('📅 الحضور'!$B:$B,B155,'📅 الحضور'!$L:$L,PayPeriod,'📅 الحضور'!$E:$E,"متأخر"),0))</f>
        <v>0</v>
      </c>
      <c r="F155" s="82">
        <f>IFERROR(VLOOKUP(B155,'👥 بيانات الموظفين'!$B:$H,7,0),0)</f>
        <v>0</v>
      </c>
      <c r="G155" s="82">
        <f>IFERROR(VLOOKUP(B155,'👥 بيانات الموظفين'!$B:$I,8,0),0)</f>
        <v>0</v>
      </c>
      <c r="H155" s="82">
        <f>IFERROR(VLOOKUP(B155,'👥 بيانات الموظفين'!$B:$J,9,0),0)</f>
        <v>0</v>
      </c>
      <c r="I155" s="82">
        <f>IF(B155="",0,IFERROR(SUMIFS('➕ الخصومات والمكافآت'!$E:$E,'➕ الخصومات والمكافآت'!$B:$B,B155,'➕ الخصومات والمكافآت'!$F:$F,PayPeriod,'➕ الخصومات والمكافآت'!$C:$C,"مكافأة"),0))</f>
        <v>0</v>
      </c>
      <c r="J155" s="82">
        <f t="shared" si="21"/>
        <v>0</v>
      </c>
      <c r="K155" s="82">
        <f>IF(B155="",0,IFERROR(COUNTIFS('📅 الحضور'!$B:$B,B155,'📅 الحضور'!$L:$L,PayPeriod,'📅 الحضور'!$E:$E,"غائب")*F155/WorkDaysMonth,0))</f>
        <v>0</v>
      </c>
      <c r="L155" s="82">
        <f>IF(B155="",0,IFERROR(SUMIFS('📅 الحضور'!$I:$I,'📅 الحضور'!$B:$B,B155,'📅 الحضور'!$L:$L,PayPeriod)/60/WorkHoursDay*F155/WorkDaysMonth,0))</f>
        <v>0</v>
      </c>
      <c r="M155" s="82">
        <f>IF(B155="",0,IFERROR(SUMIFS('➕ الخصومات والمكافآت'!$E:$E,'➕ الخصومات والمكافآت'!$B:$B,B155,'➕ الخصومات والمكافآت'!$F:$F,PayPeriod,'➕ الخصومات والمكافآت'!$C:$C,"خصم"),0))</f>
        <v>0</v>
      </c>
      <c r="N155" s="82">
        <f t="shared" si="22"/>
        <v>0</v>
      </c>
      <c r="O155" s="94">
        <f t="shared" si="23"/>
        <v>0</v>
      </c>
      <c r="P155" s="53"/>
      <c r="Q155" s="88">
        <f>IF(B155="",0,IFERROR(SUMIFS('📅 الحضور'!$J:$J,'📅 الحضور'!$B:$B,B155,'📅 الحضور'!$L:$L,PayPeriod),0))</f>
        <v>0</v>
      </c>
      <c r="R155" s="89">
        <f t="shared" si="24"/>
        <v>0</v>
      </c>
      <c r="S155" s="89">
        <f>IF(B155="",0,IF(IFERROR(VLOOKUP(B155,'👥 بيانات الموظفين'!$B:$D,3,0),"")="سعودي",MIN(F155+G155,GosiCeiling)*GosiEmpRate,IF(IFERROR(VLOOKUP(B155,'👥 بيانات الموظفين'!$B:$D,3,0),"")="سعودية",MIN(F155+G155,GosiCeiling)*GosiEmpRate,0)))</f>
        <v>0</v>
      </c>
      <c r="T155" s="89">
        <f>IF(B155="",0,IF(OR(IFERROR(VLOOKUP(B155,'👥 بيانات الموظفين'!$B:$D,3,0),"")="سعودي",IFERROR(VLOOKUP(B155,'👥 بيانات الموظفين'!$B:$D,3,0),"")="سعودية"),MIN(F155+G155,GosiCeiling)*GosiCoRate,(F155+G155)*0.02))</f>
        <v>0</v>
      </c>
      <c r="U155" s="89">
        <f>IF(B155="",0,IFERROR(IF(VLOOKUP(B155,'👥 بيانات الموظفين'!$B:$M,12,0)&lt;5,F155/24,F155/12),0))</f>
        <v>0</v>
      </c>
    </row>
    <row r="156" spans="1:21" ht="22.15" customHeight="1" x14ac:dyDescent="0.2">
      <c r="A156" s="57">
        <f t="shared" si="20"/>
        <v>152</v>
      </c>
      <c r="B156" s="57">
        <f>IFERROR('👥 بيانات الموظفين'!B156,"")</f>
        <v>0</v>
      </c>
      <c r="C156" s="57" t="str">
        <f>IFERROR(VLOOKUP(B156,'👥 بيانات الموظفين'!$B:$C,2,0),"")</f>
        <v/>
      </c>
      <c r="D156" s="57" t="str">
        <f>IFERROR(VLOOKUP(B156,'👥 بيانات الموظفين'!$B:$E,4,0),"")</f>
        <v/>
      </c>
      <c r="E156" s="69">
        <f>IF(B156="",0,IFERROR(COUNTIFS('📅 الحضور'!$B:$B,B156,'📅 الحضور'!$L:$L,PayPeriod,'📅 الحضور'!$E:$E,"حاضر")+COUNTIFS('📅 الحضور'!$B:$B,B156,'📅 الحضور'!$L:$L,PayPeriod,'📅 الحضور'!$E:$E,"متأخر"),0))</f>
        <v>0</v>
      </c>
      <c r="F156" s="83">
        <f>IFERROR(VLOOKUP(B156,'👥 بيانات الموظفين'!$B:$H,7,0),0)</f>
        <v>0</v>
      </c>
      <c r="G156" s="83">
        <f>IFERROR(VLOOKUP(B156,'👥 بيانات الموظفين'!$B:$I,8,0),0)</f>
        <v>0</v>
      </c>
      <c r="H156" s="83">
        <f>IFERROR(VLOOKUP(B156,'👥 بيانات الموظفين'!$B:$J,9,0),0)</f>
        <v>0</v>
      </c>
      <c r="I156" s="83">
        <f>IF(B156="",0,IFERROR(SUMIFS('➕ الخصومات والمكافآت'!$E:$E,'➕ الخصومات والمكافآت'!$B:$B,B156,'➕ الخصومات والمكافآت'!$F:$F,PayPeriod,'➕ الخصومات والمكافآت'!$C:$C,"مكافأة"),0))</f>
        <v>0</v>
      </c>
      <c r="J156" s="83">
        <f t="shared" si="21"/>
        <v>0</v>
      </c>
      <c r="K156" s="83">
        <f>IF(B156="",0,IFERROR(COUNTIFS('📅 الحضور'!$B:$B,B156,'📅 الحضور'!$L:$L,PayPeriod,'📅 الحضور'!$E:$E,"غائب")*F156/WorkDaysMonth,0))</f>
        <v>0</v>
      </c>
      <c r="L156" s="83">
        <f>IF(B156="",0,IFERROR(SUMIFS('📅 الحضور'!$I:$I,'📅 الحضور'!$B:$B,B156,'📅 الحضور'!$L:$L,PayPeriod)/60/WorkHoursDay*F156/WorkDaysMonth,0))</f>
        <v>0</v>
      </c>
      <c r="M156" s="83">
        <f>IF(B156="",0,IFERROR(SUMIFS('➕ الخصومات والمكافآت'!$E:$E,'➕ الخصومات والمكافآت'!$B:$B,B156,'➕ الخصومات والمكافآت'!$F:$F,PayPeriod,'➕ الخصومات والمكافآت'!$C:$C,"خصم"),0))</f>
        <v>0</v>
      </c>
      <c r="N156" s="83">
        <f t="shared" si="22"/>
        <v>0</v>
      </c>
      <c r="O156" s="95">
        <f t="shared" si="23"/>
        <v>0</v>
      </c>
      <c r="P156" s="57"/>
      <c r="Q156" s="90">
        <f>IF(B156="",0,IFERROR(SUMIFS('📅 الحضور'!$J:$J,'📅 الحضور'!$B:$B,B156,'📅 الحضور'!$L:$L,PayPeriod),0))</f>
        <v>0</v>
      </c>
      <c r="R156" s="91">
        <f t="shared" si="24"/>
        <v>0</v>
      </c>
      <c r="S156" s="91">
        <f>IF(B156="",0,IF(IFERROR(VLOOKUP(B156,'👥 بيانات الموظفين'!$B:$D,3,0),"")="سعودي",MIN(F156+G156,GosiCeiling)*GosiEmpRate,IF(IFERROR(VLOOKUP(B156,'👥 بيانات الموظفين'!$B:$D,3,0),"")="سعودية",MIN(F156+G156,GosiCeiling)*GosiEmpRate,0)))</f>
        <v>0</v>
      </c>
      <c r="T156" s="91">
        <f>IF(B156="",0,IF(OR(IFERROR(VLOOKUP(B156,'👥 بيانات الموظفين'!$B:$D,3,0),"")="سعودي",IFERROR(VLOOKUP(B156,'👥 بيانات الموظفين'!$B:$D,3,0),"")="سعودية"),MIN(F156+G156,GosiCeiling)*GosiCoRate,(F156+G156)*0.02))</f>
        <v>0</v>
      </c>
      <c r="U156" s="91">
        <f>IF(B156="",0,IFERROR(IF(VLOOKUP(B156,'👥 بيانات الموظفين'!$B:$M,12,0)&lt;5,F156/24,F156/12),0))</f>
        <v>0</v>
      </c>
    </row>
    <row r="157" spans="1:21" ht="22.15" customHeight="1" x14ac:dyDescent="0.2">
      <c r="A157" s="53">
        <f t="shared" si="20"/>
        <v>153</v>
      </c>
      <c r="B157" s="53">
        <f>IFERROR('👥 بيانات الموظفين'!B157,"")</f>
        <v>0</v>
      </c>
      <c r="C157" s="53" t="str">
        <f>IFERROR(VLOOKUP(B157,'👥 بيانات الموظفين'!$B:$C,2,0),"")</f>
        <v/>
      </c>
      <c r="D157" s="53" t="str">
        <f>IFERROR(VLOOKUP(B157,'👥 بيانات الموظفين'!$B:$E,4,0),"")</f>
        <v/>
      </c>
      <c r="E157" s="68">
        <f>IF(B157="",0,IFERROR(COUNTIFS('📅 الحضور'!$B:$B,B157,'📅 الحضور'!$L:$L,PayPeriod,'📅 الحضور'!$E:$E,"حاضر")+COUNTIFS('📅 الحضور'!$B:$B,B157,'📅 الحضور'!$L:$L,PayPeriod,'📅 الحضور'!$E:$E,"متأخر"),0))</f>
        <v>0</v>
      </c>
      <c r="F157" s="82">
        <f>IFERROR(VLOOKUP(B157,'👥 بيانات الموظفين'!$B:$H,7,0),0)</f>
        <v>0</v>
      </c>
      <c r="G157" s="82">
        <f>IFERROR(VLOOKUP(B157,'👥 بيانات الموظفين'!$B:$I,8,0),0)</f>
        <v>0</v>
      </c>
      <c r="H157" s="82">
        <f>IFERROR(VLOOKUP(B157,'👥 بيانات الموظفين'!$B:$J,9,0),0)</f>
        <v>0</v>
      </c>
      <c r="I157" s="82">
        <f>IF(B157="",0,IFERROR(SUMIFS('➕ الخصومات والمكافآت'!$E:$E,'➕ الخصومات والمكافآت'!$B:$B,B157,'➕ الخصومات والمكافآت'!$F:$F,PayPeriod,'➕ الخصومات والمكافآت'!$C:$C,"مكافأة"),0))</f>
        <v>0</v>
      </c>
      <c r="J157" s="82">
        <f t="shared" si="21"/>
        <v>0</v>
      </c>
      <c r="K157" s="82">
        <f>IF(B157="",0,IFERROR(COUNTIFS('📅 الحضور'!$B:$B,B157,'📅 الحضور'!$L:$L,PayPeriod,'📅 الحضور'!$E:$E,"غائب")*F157/WorkDaysMonth,0))</f>
        <v>0</v>
      </c>
      <c r="L157" s="82">
        <f>IF(B157="",0,IFERROR(SUMIFS('📅 الحضور'!$I:$I,'📅 الحضور'!$B:$B,B157,'📅 الحضور'!$L:$L,PayPeriod)/60/WorkHoursDay*F157/WorkDaysMonth,0))</f>
        <v>0</v>
      </c>
      <c r="M157" s="82">
        <f>IF(B157="",0,IFERROR(SUMIFS('➕ الخصومات والمكافآت'!$E:$E,'➕ الخصومات والمكافآت'!$B:$B,B157,'➕ الخصومات والمكافآت'!$F:$F,PayPeriod,'➕ الخصومات والمكافآت'!$C:$C,"خصم"),0))</f>
        <v>0</v>
      </c>
      <c r="N157" s="82">
        <f t="shared" si="22"/>
        <v>0</v>
      </c>
      <c r="O157" s="94">
        <f t="shared" si="23"/>
        <v>0</v>
      </c>
      <c r="P157" s="53"/>
      <c r="Q157" s="88">
        <f>IF(B157="",0,IFERROR(SUMIFS('📅 الحضور'!$J:$J,'📅 الحضور'!$B:$B,B157,'📅 الحضور'!$L:$L,PayPeriod),0))</f>
        <v>0</v>
      </c>
      <c r="R157" s="89">
        <f t="shared" si="24"/>
        <v>0</v>
      </c>
      <c r="S157" s="89">
        <f>IF(B157="",0,IF(IFERROR(VLOOKUP(B157,'👥 بيانات الموظفين'!$B:$D,3,0),"")="سعودي",MIN(F157+G157,GosiCeiling)*GosiEmpRate,IF(IFERROR(VLOOKUP(B157,'👥 بيانات الموظفين'!$B:$D,3,0),"")="سعودية",MIN(F157+G157,GosiCeiling)*GosiEmpRate,0)))</f>
        <v>0</v>
      </c>
      <c r="T157" s="89">
        <f>IF(B157="",0,IF(OR(IFERROR(VLOOKUP(B157,'👥 بيانات الموظفين'!$B:$D,3,0),"")="سعودي",IFERROR(VLOOKUP(B157,'👥 بيانات الموظفين'!$B:$D,3,0),"")="سعودية"),MIN(F157+G157,GosiCeiling)*GosiCoRate,(F157+G157)*0.02))</f>
        <v>0</v>
      </c>
      <c r="U157" s="89">
        <f>IF(B157="",0,IFERROR(IF(VLOOKUP(B157,'👥 بيانات الموظفين'!$B:$M,12,0)&lt;5,F157/24,F157/12),0))</f>
        <v>0</v>
      </c>
    </row>
    <row r="158" spans="1:21" ht="22.15" customHeight="1" x14ac:dyDescent="0.2">
      <c r="A158" s="57">
        <f t="shared" si="20"/>
        <v>154</v>
      </c>
      <c r="B158" s="57">
        <f>IFERROR('👥 بيانات الموظفين'!B158,"")</f>
        <v>0</v>
      </c>
      <c r="C158" s="57" t="str">
        <f>IFERROR(VLOOKUP(B158,'👥 بيانات الموظفين'!$B:$C,2,0),"")</f>
        <v/>
      </c>
      <c r="D158" s="57" t="str">
        <f>IFERROR(VLOOKUP(B158,'👥 بيانات الموظفين'!$B:$E,4,0),"")</f>
        <v/>
      </c>
      <c r="E158" s="69">
        <f>IF(B158="",0,IFERROR(COUNTIFS('📅 الحضور'!$B:$B,B158,'📅 الحضور'!$L:$L,PayPeriod,'📅 الحضور'!$E:$E,"حاضر")+COUNTIFS('📅 الحضور'!$B:$B,B158,'📅 الحضور'!$L:$L,PayPeriod,'📅 الحضور'!$E:$E,"متأخر"),0))</f>
        <v>0</v>
      </c>
      <c r="F158" s="83">
        <f>IFERROR(VLOOKUP(B158,'👥 بيانات الموظفين'!$B:$H,7,0),0)</f>
        <v>0</v>
      </c>
      <c r="G158" s="83">
        <f>IFERROR(VLOOKUP(B158,'👥 بيانات الموظفين'!$B:$I,8,0),0)</f>
        <v>0</v>
      </c>
      <c r="H158" s="83">
        <f>IFERROR(VLOOKUP(B158,'👥 بيانات الموظفين'!$B:$J,9,0),0)</f>
        <v>0</v>
      </c>
      <c r="I158" s="83">
        <f>IF(B158="",0,IFERROR(SUMIFS('➕ الخصومات والمكافآت'!$E:$E,'➕ الخصومات والمكافآت'!$B:$B,B158,'➕ الخصومات والمكافآت'!$F:$F,PayPeriod,'➕ الخصومات والمكافآت'!$C:$C,"مكافأة"),0))</f>
        <v>0</v>
      </c>
      <c r="J158" s="83">
        <f t="shared" si="21"/>
        <v>0</v>
      </c>
      <c r="K158" s="83">
        <f>IF(B158="",0,IFERROR(COUNTIFS('📅 الحضور'!$B:$B,B158,'📅 الحضور'!$L:$L,PayPeriod,'📅 الحضور'!$E:$E,"غائب")*F158/WorkDaysMonth,0))</f>
        <v>0</v>
      </c>
      <c r="L158" s="83">
        <f>IF(B158="",0,IFERROR(SUMIFS('📅 الحضور'!$I:$I,'📅 الحضور'!$B:$B,B158,'📅 الحضور'!$L:$L,PayPeriod)/60/WorkHoursDay*F158/WorkDaysMonth,0))</f>
        <v>0</v>
      </c>
      <c r="M158" s="83">
        <f>IF(B158="",0,IFERROR(SUMIFS('➕ الخصومات والمكافآت'!$E:$E,'➕ الخصومات والمكافآت'!$B:$B,B158,'➕ الخصومات والمكافآت'!$F:$F,PayPeriod,'➕ الخصومات والمكافآت'!$C:$C,"خصم"),0))</f>
        <v>0</v>
      </c>
      <c r="N158" s="83">
        <f t="shared" si="22"/>
        <v>0</v>
      </c>
      <c r="O158" s="95">
        <f t="shared" si="23"/>
        <v>0</v>
      </c>
      <c r="P158" s="57"/>
      <c r="Q158" s="90">
        <f>IF(B158="",0,IFERROR(SUMIFS('📅 الحضور'!$J:$J,'📅 الحضور'!$B:$B,B158,'📅 الحضور'!$L:$L,PayPeriod),0))</f>
        <v>0</v>
      </c>
      <c r="R158" s="91">
        <f t="shared" si="24"/>
        <v>0</v>
      </c>
      <c r="S158" s="91">
        <f>IF(B158="",0,IF(IFERROR(VLOOKUP(B158,'👥 بيانات الموظفين'!$B:$D,3,0),"")="سعودي",MIN(F158+G158,GosiCeiling)*GosiEmpRate,IF(IFERROR(VLOOKUP(B158,'👥 بيانات الموظفين'!$B:$D,3,0),"")="سعودية",MIN(F158+G158,GosiCeiling)*GosiEmpRate,0)))</f>
        <v>0</v>
      </c>
      <c r="T158" s="91">
        <f>IF(B158="",0,IF(OR(IFERROR(VLOOKUP(B158,'👥 بيانات الموظفين'!$B:$D,3,0),"")="سعودي",IFERROR(VLOOKUP(B158,'👥 بيانات الموظفين'!$B:$D,3,0),"")="سعودية"),MIN(F158+G158,GosiCeiling)*GosiCoRate,(F158+G158)*0.02))</f>
        <v>0</v>
      </c>
      <c r="U158" s="91">
        <f>IF(B158="",0,IFERROR(IF(VLOOKUP(B158,'👥 بيانات الموظفين'!$B:$M,12,0)&lt;5,F158/24,F158/12),0))</f>
        <v>0</v>
      </c>
    </row>
    <row r="159" spans="1:21" ht="22.15" customHeight="1" x14ac:dyDescent="0.2">
      <c r="A159" s="53">
        <f t="shared" si="20"/>
        <v>155</v>
      </c>
      <c r="B159" s="53">
        <f>IFERROR('👥 بيانات الموظفين'!B159,"")</f>
        <v>0</v>
      </c>
      <c r="C159" s="53" t="str">
        <f>IFERROR(VLOOKUP(B159,'👥 بيانات الموظفين'!$B:$C,2,0),"")</f>
        <v/>
      </c>
      <c r="D159" s="53" t="str">
        <f>IFERROR(VLOOKUP(B159,'👥 بيانات الموظفين'!$B:$E,4,0),"")</f>
        <v/>
      </c>
      <c r="E159" s="68">
        <f>IF(B159="",0,IFERROR(COUNTIFS('📅 الحضور'!$B:$B,B159,'📅 الحضور'!$L:$L,PayPeriod,'📅 الحضور'!$E:$E,"حاضر")+COUNTIFS('📅 الحضور'!$B:$B,B159,'📅 الحضور'!$L:$L,PayPeriod,'📅 الحضور'!$E:$E,"متأخر"),0))</f>
        <v>0</v>
      </c>
      <c r="F159" s="82">
        <f>IFERROR(VLOOKUP(B159,'👥 بيانات الموظفين'!$B:$H,7,0),0)</f>
        <v>0</v>
      </c>
      <c r="G159" s="82">
        <f>IFERROR(VLOOKUP(B159,'👥 بيانات الموظفين'!$B:$I,8,0),0)</f>
        <v>0</v>
      </c>
      <c r="H159" s="82">
        <f>IFERROR(VLOOKUP(B159,'👥 بيانات الموظفين'!$B:$J,9,0),0)</f>
        <v>0</v>
      </c>
      <c r="I159" s="82">
        <f>IF(B159="",0,IFERROR(SUMIFS('➕ الخصومات والمكافآت'!$E:$E,'➕ الخصومات والمكافآت'!$B:$B,B159,'➕ الخصومات والمكافآت'!$F:$F,PayPeriod,'➕ الخصومات والمكافآت'!$C:$C,"مكافأة"),0))</f>
        <v>0</v>
      </c>
      <c r="J159" s="82">
        <f t="shared" si="21"/>
        <v>0</v>
      </c>
      <c r="K159" s="82">
        <f>IF(B159="",0,IFERROR(COUNTIFS('📅 الحضور'!$B:$B,B159,'📅 الحضور'!$L:$L,PayPeriod,'📅 الحضور'!$E:$E,"غائب")*F159/WorkDaysMonth,0))</f>
        <v>0</v>
      </c>
      <c r="L159" s="82">
        <f>IF(B159="",0,IFERROR(SUMIFS('📅 الحضور'!$I:$I,'📅 الحضور'!$B:$B,B159,'📅 الحضور'!$L:$L,PayPeriod)/60/WorkHoursDay*F159/WorkDaysMonth,0))</f>
        <v>0</v>
      </c>
      <c r="M159" s="82">
        <f>IF(B159="",0,IFERROR(SUMIFS('➕ الخصومات والمكافآت'!$E:$E,'➕ الخصومات والمكافآت'!$B:$B,B159,'➕ الخصومات والمكافآت'!$F:$F,PayPeriod,'➕ الخصومات والمكافآت'!$C:$C,"خصم"),0))</f>
        <v>0</v>
      </c>
      <c r="N159" s="82">
        <f t="shared" si="22"/>
        <v>0</v>
      </c>
      <c r="O159" s="94">
        <f t="shared" si="23"/>
        <v>0</v>
      </c>
      <c r="P159" s="53"/>
      <c r="Q159" s="88">
        <f>IF(B159="",0,IFERROR(SUMIFS('📅 الحضور'!$J:$J,'📅 الحضور'!$B:$B,B159,'📅 الحضور'!$L:$L,PayPeriod),0))</f>
        <v>0</v>
      </c>
      <c r="R159" s="89">
        <f t="shared" si="24"/>
        <v>0</v>
      </c>
      <c r="S159" s="89">
        <f>IF(B159="",0,IF(IFERROR(VLOOKUP(B159,'👥 بيانات الموظفين'!$B:$D,3,0),"")="سعودي",MIN(F159+G159,GosiCeiling)*GosiEmpRate,IF(IFERROR(VLOOKUP(B159,'👥 بيانات الموظفين'!$B:$D,3,0),"")="سعودية",MIN(F159+G159,GosiCeiling)*GosiEmpRate,0)))</f>
        <v>0</v>
      </c>
      <c r="T159" s="89">
        <f>IF(B159="",0,IF(OR(IFERROR(VLOOKUP(B159,'👥 بيانات الموظفين'!$B:$D,3,0),"")="سعودي",IFERROR(VLOOKUP(B159,'👥 بيانات الموظفين'!$B:$D,3,0),"")="سعودية"),MIN(F159+G159,GosiCeiling)*GosiCoRate,(F159+G159)*0.02))</f>
        <v>0</v>
      </c>
      <c r="U159" s="89">
        <f>IF(B159="",0,IFERROR(IF(VLOOKUP(B159,'👥 بيانات الموظفين'!$B:$M,12,0)&lt;5,F159/24,F159/12),0))</f>
        <v>0</v>
      </c>
    </row>
    <row r="160" spans="1:21" ht="22.15" customHeight="1" x14ac:dyDescent="0.2">
      <c r="A160" s="57">
        <f t="shared" si="20"/>
        <v>156</v>
      </c>
      <c r="B160" s="57">
        <f>IFERROR('👥 بيانات الموظفين'!B160,"")</f>
        <v>0</v>
      </c>
      <c r="C160" s="57" t="str">
        <f>IFERROR(VLOOKUP(B160,'👥 بيانات الموظفين'!$B:$C,2,0),"")</f>
        <v/>
      </c>
      <c r="D160" s="57" t="str">
        <f>IFERROR(VLOOKUP(B160,'👥 بيانات الموظفين'!$B:$E,4,0),"")</f>
        <v/>
      </c>
      <c r="E160" s="69">
        <f>IF(B160="",0,IFERROR(COUNTIFS('📅 الحضور'!$B:$B,B160,'📅 الحضور'!$L:$L,PayPeriod,'📅 الحضور'!$E:$E,"حاضر")+COUNTIFS('📅 الحضور'!$B:$B,B160,'📅 الحضور'!$L:$L,PayPeriod,'📅 الحضور'!$E:$E,"متأخر"),0))</f>
        <v>0</v>
      </c>
      <c r="F160" s="83">
        <f>IFERROR(VLOOKUP(B160,'👥 بيانات الموظفين'!$B:$H,7,0),0)</f>
        <v>0</v>
      </c>
      <c r="G160" s="83">
        <f>IFERROR(VLOOKUP(B160,'👥 بيانات الموظفين'!$B:$I,8,0),0)</f>
        <v>0</v>
      </c>
      <c r="H160" s="83">
        <f>IFERROR(VLOOKUP(B160,'👥 بيانات الموظفين'!$B:$J,9,0),0)</f>
        <v>0</v>
      </c>
      <c r="I160" s="83">
        <f>IF(B160="",0,IFERROR(SUMIFS('➕ الخصومات والمكافآت'!$E:$E,'➕ الخصومات والمكافآت'!$B:$B,B160,'➕ الخصومات والمكافآت'!$F:$F,PayPeriod,'➕ الخصومات والمكافآت'!$C:$C,"مكافأة"),0))</f>
        <v>0</v>
      </c>
      <c r="J160" s="83">
        <f t="shared" si="21"/>
        <v>0</v>
      </c>
      <c r="K160" s="83">
        <f>IF(B160="",0,IFERROR(COUNTIFS('📅 الحضور'!$B:$B,B160,'📅 الحضور'!$L:$L,PayPeriod,'📅 الحضور'!$E:$E,"غائب")*F160/WorkDaysMonth,0))</f>
        <v>0</v>
      </c>
      <c r="L160" s="83">
        <f>IF(B160="",0,IFERROR(SUMIFS('📅 الحضور'!$I:$I,'📅 الحضور'!$B:$B,B160,'📅 الحضور'!$L:$L,PayPeriod)/60/WorkHoursDay*F160/WorkDaysMonth,0))</f>
        <v>0</v>
      </c>
      <c r="M160" s="83">
        <f>IF(B160="",0,IFERROR(SUMIFS('➕ الخصومات والمكافآت'!$E:$E,'➕ الخصومات والمكافآت'!$B:$B,B160,'➕ الخصومات والمكافآت'!$F:$F,PayPeriod,'➕ الخصومات والمكافآت'!$C:$C,"خصم"),0))</f>
        <v>0</v>
      </c>
      <c r="N160" s="83">
        <f t="shared" si="22"/>
        <v>0</v>
      </c>
      <c r="O160" s="95">
        <f t="shared" si="23"/>
        <v>0</v>
      </c>
      <c r="P160" s="57"/>
      <c r="Q160" s="90">
        <f>IF(B160="",0,IFERROR(SUMIFS('📅 الحضور'!$J:$J,'📅 الحضور'!$B:$B,B160,'📅 الحضور'!$L:$L,PayPeriod),0))</f>
        <v>0</v>
      </c>
      <c r="R160" s="91">
        <f t="shared" si="24"/>
        <v>0</v>
      </c>
      <c r="S160" s="91">
        <f>IF(B160="",0,IF(IFERROR(VLOOKUP(B160,'👥 بيانات الموظفين'!$B:$D,3,0),"")="سعودي",MIN(F160+G160,GosiCeiling)*GosiEmpRate,IF(IFERROR(VLOOKUP(B160,'👥 بيانات الموظفين'!$B:$D,3,0),"")="سعودية",MIN(F160+G160,GosiCeiling)*GosiEmpRate,0)))</f>
        <v>0</v>
      </c>
      <c r="T160" s="91">
        <f>IF(B160="",0,IF(OR(IFERROR(VLOOKUP(B160,'👥 بيانات الموظفين'!$B:$D,3,0),"")="سعودي",IFERROR(VLOOKUP(B160,'👥 بيانات الموظفين'!$B:$D,3,0),"")="سعودية"),MIN(F160+G160,GosiCeiling)*GosiCoRate,(F160+G160)*0.02))</f>
        <v>0</v>
      </c>
      <c r="U160" s="91">
        <f>IF(B160="",0,IFERROR(IF(VLOOKUP(B160,'👥 بيانات الموظفين'!$B:$M,12,0)&lt;5,F160/24,F160/12),0))</f>
        <v>0</v>
      </c>
    </row>
    <row r="161" spans="1:21" ht="22.15" customHeight="1" x14ac:dyDescent="0.2">
      <c r="A161" s="53">
        <f t="shared" si="20"/>
        <v>157</v>
      </c>
      <c r="B161" s="53">
        <f>IFERROR('👥 بيانات الموظفين'!B161,"")</f>
        <v>0</v>
      </c>
      <c r="C161" s="53" t="str">
        <f>IFERROR(VLOOKUP(B161,'👥 بيانات الموظفين'!$B:$C,2,0),"")</f>
        <v/>
      </c>
      <c r="D161" s="53" t="str">
        <f>IFERROR(VLOOKUP(B161,'👥 بيانات الموظفين'!$B:$E,4,0),"")</f>
        <v/>
      </c>
      <c r="E161" s="68">
        <f>IF(B161="",0,IFERROR(COUNTIFS('📅 الحضور'!$B:$B,B161,'📅 الحضور'!$L:$L,PayPeriod,'📅 الحضور'!$E:$E,"حاضر")+COUNTIFS('📅 الحضور'!$B:$B,B161,'📅 الحضور'!$L:$L,PayPeriod,'📅 الحضور'!$E:$E,"متأخر"),0))</f>
        <v>0</v>
      </c>
      <c r="F161" s="82">
        <f>IFERROR(VLOOKUP(B161,'👥 بيانات الموظفين'!$B:$H,7,0),0)</f>
        <v>0</v>
      </c>
      <c r="G161" s="82">
        <f>IFERROR(VLOOKUP(B161,'👥 بيانات الموظفين'!$B:$I,8,0),0)</f>
        <v>0</v>
      </c>
      <c r="H161" s="82">
        <f>IFERROR(VLOOKUP(B161,'👥 بيانات الموظفين'!$B:$J,9,0),0)</f>
        <v>0</v>
      </c>
      <c r="I161" s="82">
        <f>IF(B161="",0,IFERROR(SUMIFS('➕ الخصومات والمكافآت'!$E:$E,'➕ الخصومات والمكافآت'!$B:$B,B161,'➕ الخصومات والمكافآت'!$F:$F,PayPeriod,'➕ الخصومات والمكافآت'!$C:$C,"مكافأة"),0))</f>
        <v>0</v>
      </c>
      <c r="J161" s="82">
        <f t="shared" si="21"/>
        <v>0</v>
      </c>
      <c r="K161" s="82">
        <f>IF(B161="",0,IFERROR(COUNTIFS('📅 الحضور'!$B:$B,B161,'📅 الحضور'!$L:$L,PayPeriod,'📅 الحضور'!$E:$E,"غائب")*F161/WorkDaysMonth,0))</f>
        <v>0</v>
      </c>
      <c r="L161" s="82">
        <f>IF(B161="",0,IFERROR(SUMIFS('📅 الحضور'!$I:$I,'📅 الحضور'!$B:$B,B161,'📅 الحضور'!$L:$L,PayPeriod)/60/WorkHoursDay*F161/WorkDaysMonth,0))</f>
        <v>0</v>
      </c>
      <c r="M161" s="82">
        <f>IF(B161="",0,IFERROR(SUMIFS('➕ الخصومات والمكافآت'!$E:$E,'➕ الخصومات والمكافآت'!$B:$B,B161,'➕ الخصومات والمكافآت'!$F:$F,PayPeriod,'➕ الخصومات والمكافآت'!$C:$C,"خصم"),0))</f>
        <v>0</v>
      </c>
      <c r="N161" s="82">
        <f t="shared" si="22"/>
        <v>0</v>
      </c>
      <c r="O161" s="94">
        <f t="shared" si="23"/>
        <v>0</v>
      </c>
      <c r="P161" s="53"/>
      <c r="Q161" s="88">
        <f>IF(B161="",0,IFERROR(SUMIFS('📅 الحضور'!$J:$J,'📅 الحضور'!$B:$B,B161,'📅 الحضور'!$L:$L,PayPeriod),0))</f>
        <v>0</v>
      </c>
      <c r="R161" s="89">
        <f t="shared" si="24"/>
        <v>0</v>
      </c>
      <c r="S161" s="89">
        <f>IF(B161="",0,IF(IFERROR(VLOOKUP(B161,'👥 بيانات الموظفين'!$B:$D,3,0),"")="سعودي",MIN(F161+G161,GosiCeiling)*GosiEmpRate,IF(IFERROR(VLOOKUP(B161,'👥 بيانات الموظفين'!$B:$D,3,0),"")="سعودية",MIN(F161+G161,GosiCeiling)*GosiEmpRate,0)))</f>
        <v>0</v>
      </c>
      <c r="T161" s="89">
        <f>IF(B161="",0,IF(OR(IFERROR(VLOOKUP(B161,'👥 بيانات الموظفين'!$B:$D,3,0),"")="سعودي",IFERROR(VLOOKUP(B161,'👥 بيانات الموظفين'!$B:$D,3,0),"")="سعودية"),MIN(F161+G161,GosiCeiling)*GosiCoRate,(F161+G161)*0.02))</f>
        <v>0</v>
      </c>
      <c r="U161" s="89">
        <f>IF(B161="",0,IFERROR(IF(VLOOKUP(B161,'👥 بيانات الموظفين'!$B:$M,12,0)&lt;5,F161/24,F161/12),0))</f>
        <v>0</v>
      </c>
    </row>
    <row r="162" spans="1:21" ht="22.15" customHeight="1" x14ac:dyDescent="0.2">
      <c r="A162" s="57">
        <f t="shared" si="20"/>
        <v>158</v>
      </c>
      <c r="B162" s="57">
        <f>IFERROR('👥 بيانات الموظفين'!B162,"")</f>
        <v>0</v>
      </c>
      <c r="C162" s="57" t="str">
        <f>IFERROR(VLOOKUP(B162,'👥 بيانات الموظفين'!$B:$C,2,0),"")</f>
        <v/>
      </c>
      <c r="D162" s="57" t="str">
        <f>IFERROR(VLOOKUP(B162,'👥 بيانات الموظفين'!$B:$E,4,0),"")</f>
        <v/>
      </c>
      <c r="E162" s="69">
        <f>IF(B162="",0,IFERROR(COUNTIFS('📅 الحضور'!$B:$B,B162,'📅 الحضور'!$L:$L,PayPeriod,'📅 الحضور'!$E:$E,"حاضر")+COUNTIFS('📅 الحضور'!$B:$B,B162,'📅 الحضور'!$L:$L,PayPeriod,'📅 الحضور'!$E:$E,"متأخر"),0))</f>
        <v>0</v>
      </c>
      <c r="F162" s="83">
        <f>IFERROR(VLOOKUP(B162,'👥 بيانات الموظفين'!$B:$H,7,0),0)</f>
        <v>0</v>
      </c>
      <c r="G162" s="83">
        <f>IFERROR(VLOOKUP(B162,'👥 بيانات الموظفين'!$B:$I,8,0),0)</f>
        <v>0</v>
      </c>
      <c r="H162" s="83">
        <f>IFERROR(VLOOKUP(B162,'👥 بيانات الموظفين'!$B:$J,9,0),0)</f>
        <v>0</v>
      </c>
      <c r="I162" s="83">
        <f>IF(B162="",0,IFERROR(SUMIFS('➕ الخصومات والمكافآت'!$E:$E,'➕ الخصومات والمكافآت'!$B:$B,B162,'➕ الخصومات والمكافآت'!$F:$F,PayPeriod,'➕ الخصومات والمكافآت'!$C:$C,"مكافأة"),0))</f>
        <v>0</v>
      </c>
      <c r="J162" s="83">
        <f t="shared" si="21"/>
        <v>0</v>
      </c>
      <c r="K162" s="83">
        <f>IF(B162="",0,IFERROR(COUNTIFS('📅 الحضور'!$B:$B,B162,'📅 الحضور'!$L:$L,PayPeriod,'📅 الحضور'!$E:$E,"غائب")*F162/WorkDaysMonth,0))</f>
        <v>0</v>
      </c>
      <c r="L162" s="83">
        <f>IF(B162="",0,IFERROR(SUMIFS('📅 الحضور'!$I:$I,'📅 الحضور'!$B:$B,B162,'📅 الحضور'!$L:$L,PayPeriod)/60/WorkHoursDay*F162/WorkDaysMonth,0))</f>
        <v>0</v>
      </c>
      <c r="M162" s="83">
        <f>IF(B162="",0,IFERROR(SUMIFS('➕ الخصومات والمكافآت'!$E:$E,'➕ الخصومات والمكافآت'!$B:$B,B162,'➕ الخصومات والمكافآت'!$F:$F,PayPeriod,'➕ الخصومات والمكافآت'!$C:$C,"خصم"),0))</f>
        <v>0</v>
      </c>
      <c r="N162" s="83">
        <f t="shared" si="22"/>
        <v>0</v>
      </c>
      <c r="O162" s="95">
        <f t="shared" si="23"/>
        <v>0</v>
      </c>
      <c r="P162" s="57"/>
      <c r="Q162" s="90">
        <f>IF(B162="",0,IFERROR(SUMIFS('📅 الحضور'!$J:$J,'📅 الحضور'!$B:$B,B162,'📅 الحضور'!$L:$L,PayPeriod),0))</f>
        <v>0</v>
      </c>
      <c r="R162" s="91">
        <f t="shared" si="24"/>
        <v>0</v>
      </c>
      <c r="S162" s="91">
        <f>IF(B162="",0,IF(IFERROR(VLOOKUP(B162,'👥 بيانات الموظفين'!$B:$D,3,0),"")="سعودي",MIN(F162+G162,GosiCeiling)*GosiEmpRate,IF(IFERROR(VLOOKUP(B162,'👥 بيانات الموظفين'!$B:$D,3,0),"")="سعودية",MIN(F162+G162,GosiCeiling)*GosiEmpRate,0)))</f>
        <v>0</v>
      </c>
      <c r="T162" s="91">
        <f>IF(B162="",0,IF(OR(IFERROR(VLOOKUP(B162,'👥 بيانات الموظفين'!$B:$D,3,0),"")="سعودي",IFERROR(VLOOKUP(B162,'👥 بيانات الموظفين'!$B:$D,3,0),"")="سعودية"),MIN(F162+G162,GosiCeiling)*GosiCoRate,(F162+G162)*0.02))</f>
        <v>0</v>
      </c>
      <c r="U162" s="91">
        <f>IF(B162="",0,IFERROR(IF(VLOOKUP(B162,'👥 بيانات الموظفين'!$B:$M,12,0)&lt;5,F162/24,F162/12),0))</f>
        <v>0</v>
      </c>
    </row>
    <row r="163" spans="1:21" ht="22.15" customHeight="1" x14ac:dyDescent="0.2">
      <c r="A163" s="53">
        <f t="shared" si="20"/>
        <v>159</v>
      </c>
      <c r="B163" s="53">
        <f>IFERROR('👥 بيانات الموظفين'!B163,"")</f>
        <v>0</v>
      </c>
      <c r="C163" s="53" t="str">
        <f>IFERROR(VLOOKUP(B163,'👥 بيانات الموظفين'!$B:$C,2,0),"")</f>
        <v/>
      </c>
      <c r="D163" s="53" t="str">
        <f>IFERROR(VLOOKUP(B163,'👥 بيانات الموظفين'!$B:$E,4,0),"")</f>
        <v/>
      </c>
      <c r="E163" s="68">
        <f>IF(B163="",0,IFERROR(COUNTIFS('📅 الحضور'!$B:$B,B163,'📅 الحضور'!$L:$L,PayPeriod,'📅 الحضور'!$E:$E,"حاضر")+COUNTIFS('📅 الحضور'!$B:$B,B163,'📅 الحضور'!$L:$L,PayPeriod,'📅 الحضور'!$E:$E,"متأخر"),0))</f>
        <v>0</v>
      </c>
      <c r="F163" s="82">
        <f>IFERROR(VLOOKUP(B163,'👥 بيانات الموظفين'!$B:$H,7,0),0)</f>
        <v>0</v>
      </c>
      <c r="G163" s="82">
        <f>IFERROR(VLOOKUP(B163,'👥 بيانات الموظفين'!$B:$I,8,0),0)</f>
        <v>0</v>
      </c>
      <c r="H163" s="82">
        <f>IFERROR(VLOOKUP(B163,'👥 بيانات الموظفين'!$B:$J,9,0),0)</f>
        <v>0</v>
      </c>
      <c r="I163" s="82">
        <f>IF(B163="",0,IFERROR(SUMIFS('➕ الخصومات والمكافآت'!$E:$E,'➕ الخصومات والمكافآت'!$B:$B,B163,'➕ الخصومات والمكافآت'!$F:$F,PayPeriod,'➕ الخصومات والمكافآت'!$C:$C,"مكافأة"),0))</f>
        <v>0</v>
      </c>
      <c r="J163" s="82">
        <f t="shared" si="21"/>
        <v>0</v>
      </c>
      <c r="K163" s="82">
        <f>IF(B163="",0,IFERROR(COUNTIFS('📅 الحضور'!$B:$B,B163,'📅 الحضور'!$L:$L,PayPeriod,'📅 الحضور'!$E:$E,"غائب")*F163/WorkDaysMonth,0))</f>
        <v>0</v>
      </c>
      <c r="L163" s="82">
        <f>IF(B163="",0,IFERROR(SUMIFS('📅 الحضور'!$I:$I,'📅 الحضور'!$B:$B,B163,'📅 الحضور'!$L:$L,PayPeriod)/60/WorkHoursDay*F163/WorkDaysMonth,0))</f>
        <v>0</v>
      </c>
      <c r="M163" s="82">
        <f>IF(B163="",0,IFERROR(SUMIFS('➕ الخصومات والمكافآت'!$E:$E,'➕ الخصومات والمكافآت'!$B:$B,B163,'➕ الخصومات والمكافآت'!$F:$F,PayPeriod,'➕ الخصومات والمكافآت'!$C:$C,"خصم"),0))</f>
        <v>0</v>
      </c>
      <c r="N163" s="82">
        <f t="shared" si="22"/>
        <v>0</v>
      </c>
      <c r="O163" s="94">
        <f t="shared" si="23"/>
        <v>0</v>
      </c>
      <c r="P163" s="53"/>
      <c r="Q163" s="88">
        <f>IF(B163="",0,IFERROR(SUMIFS('📅 الحضور'!$J:$J,'📅 الحضور'!$B:$B,B163,'📅 الحضور'!$L:$L,PayPeriod),0))</f>
        <v>0</v>
      </c>
      <c r="R163" s="89">
        <f t="shared" si="24"/>
        <v>0</v>
      </c>
      <c r="S163" s="89">
        <f>IF(B163="",0,IF(IFERROR(VLOOKUP(B163,'👥 بيانات الموظفين'!$B:$D,3,0),"")="سعودي",MIN(F163+G163,GosiCeiling)*GosiEmpRate,IF(IFERROR(VLOOKUP(B163,'👥 بيانات الموظفين'!$B:$D,3,0),"")="سعودية",MIN(F163+G163,GosiCeiling)*GosiEmpRate,0)))</f>
        <v>0</v>
      </c>
      <c r="T163" s="89">
        <f>IF(B163="",0,IF(OR(IFERROR(VLOOKUP(B163,'👥 بيانات الموظفين'!$B:$D,3,0),"")="سعودي",IFERROR(VLOOKUP(B163,'👥 بيانات الموظفين'!$B:$D,3,0),"")="سعودية"),MIN(F163+G163,GosiCeiling)*GosiCoRate,(F163+G163)*0.02))</f>
        <v>0</v>
      </c>
      <c r="U163" s="89">
        <f>IF(B163="",0,IFERROR(IF(VLOOKUP(B163,'👥 بيانات الموظفين'!$B:$M,12,0)&lt;5,F163/24,F163/12),0))</f>
        <v>0</v>
      </c>
    </row>
    <row r="164" spans="1:21" ht="22.15" customHeight="1" x14ac:dyDescent="0.2">
      <c r="A164" s="57">
        <f t="shared" si="20"/>
        <v>160</v>
      </c>
      <c r="B164" s="57">
        <f>IFERROR('👥 بيانات الموظفين'!B164,"")</f>
        <v>0</v>
      </c>
      <c r="C164" s="57" t="str">
        <f>IFERROR(VLOOKUP(B164,'👥 بيانات الموظفين'!$B:$C,2,0),"")</f>
        <v/>
      </c>
      <c r="D164" s="57" t="str">
        <f>IFERROR(VLOOKUP(B164,'👥 بيانات الموظفين'!$B:$E,4,0),"")</f>
        <v/>
      </c>
      <c r="E164" s="69">
        <f>IF(B164="",0,IFERROR(COUNTIFS('📅 الحضور'!$B:$B,B164,'📅 الحضور'!$L:$L,PayPeriod,'📅 الحضور'!$E:$E,"حاضر")+COUNTIFS('📅 الحضور'!$B:$B,B164,'📅 الحضور'!$L:$L,PayPeriod,'📅 الحضور'!$E:$E,"متأخر"),0))</f>
        <v>0</v>
      </c>
      <c r="F164" s="83">
        <f>IFERROR(VLOOKUP(B164,'👥 بيانات الموظفين'!$B:$H,7,0),0)</f>
        <v>0</v>
      </c>
      <c r="G164" s="83">
        <f>IFERROR(VLOOKUP(B164,'👥 بيانات الموظفين'!$B:$I,8,0),0)</f>
        <v>0</v>
      </c>
      <c r="H164" s="83">
        <f>IFERROR(VLOOKUP(B164,'👥 بيانات الموظفين'!$B:$J,9,0),0)</f>
        <v>0</v>
      </c>
      <c r="I164" s="83">
        <f>IF(B164="",0,IFERROR(SUMIFS('➕ الخصومات والمكافآت'!$E:$E,'➕ الخصومات والمكافآت'!$B:$B,B164,'➕ الخصومات والمكافآت'!$F:$F,PayPeriod,'➕ الخصومات والمكافآت'!$C:$C,"مكافأة"),0))</f>
        <v>0</v>
      </c>
      <c r="J164" s="83">
        <f t="shared" si="21"/>
        <v>0</v>
      </c>
      <c r="K164" s="83">
        <f>IF(B164="",0,IFERROR(COUNTIFS('📅 الحضور'!$B:$B,B164,'📅 الحضور'!$L:$L,PayPeriod,'📅 الحضور'!$E:$E,"غائب")*F164/WorkDaysMonth,0))</f>
        <v>0</v>
      </c>
      <c r="L164" s="83">
        <f>IF(B164="",0,IFERROR(SUMIFS('📅 الحضور'!$I:$I,'📅 الحضور'!$B:$B,B164,'📅 الحضور'!$L:$L,PayPeriod)/60/WorkHoursDay*F164/WorkDaysMonth,0))</f>
        <v>0</v>
      </c>
      <c r="M164" s="83">
        <f>IF(B164="",0,IFERROR(SUMIFS('➕ الخصومات والمكافآت'!$E:$E,'➕ الخصومات والمكافآت'!$B:$B,B164,'➕ الخصومات والمكافآت'!$F:$F,PayPeriod,'➕ الخصومات والمكافآت'!$C:$C,"خصم"),0))</f>
        <v>0</v>
      </c>
      <c r="N164" s="83">
        <f t="shared" si="22"/>
        <v>0</v>
      </c>
      <c r="O164" s="95">
        <f t="shared" si="23"/>
        <v>0</v>
      </c>
      <c r="P164" s="57"/>
      <c r="Q164" s="90">
        <f>IF(B164="",0,IFERROR(SUMIFS('📅 الحضور'!$J:$J,'📅 الحضور'!$B:$B,B164,'📅 الحضور'!$L:$L,PayPeriod),0))</f>
        <v>0</v>
      </c>
      <c r="R164" s="91">
        <f t="shared" si="24"/>
        <v>0</v>
      </c>
      <c r="S164" s="91">
        <f>IF(B164="",0,IF(IFERROR(VLOOKUP(B164,'👥 بيانات الموظفين'!$B:$D,3,0),"")="سعودي",MIN(F164+G164,GosiCeiling)*GosiEmpRate,IF(IFERROR(VLOOKUP(B164,'👥 بيانات الموظفين'!$B:$D,3,0),"")="سعودية",MIN(F164+G164,GosiCeiling)*GosiEmpRate,0)))</f>
        <v>0</v>
      </c>
      <c r="T164" s="91">
        <f>IF(B164="",0,IF(OR(IFERROR(VLOOKUP(B164,'👥 بيانات الموظفين'!$B:$D,3,0),"")="سعودي",IFERROR(VLOOKUP(B164,'👥 بيانات الموظفين'!$B:$D,3,0),"")="سعودية"),MIN(F164+G164,GosiCeiling)*GosiCoRate,(F164+G164)*0.02))</f>
        <v>0</v>
      </c>
      <c r="U164" s="91">
        <f>IF(B164="",0,IFERROR(IF(VLOOKUP(B164,'👥 بيانات الموظفين'!$B:$M,12,0)&lt;5,F164/24,F164/12),0))</f>
        <v>0</v>
      </c>
    </row>
    <row r="165" spans="1:21" ht="22.15" customHeight="1" x14ac:dyDescent="0.2">
      <c r="A165" s="53">
        <f t="shared" ref="A165:A196" si="25">IF(B165&lt;&gt;"",ROW()-4,"")</f>
        <v>161</v>
      </c>
      <c r="B165" s="53">
        <f>IFERROR('👥 بيانات الموظفين'!B165,"")</f>
        <v>0</v>
      </c>
      <c r="C165" s="53" t="str">
        <f>IFERROR(VLOOKUP(B165,'👥 بيانات الموظفين'!$B:$C,2,0),"")</f>
        <v/>
      </c>
      <c r="D165" s="53" t="str">
        <f>IFERROR(VLOOKUP(B165,'👥 بيانات الموظفين'!$B:$E,4,0),"")</f>
        <v/>
      </c>
      <c r="E165" s="68">
        <f>IF(B165="",0,IFERROR(COUNTIFS('📅 الحضور'!$B:$B,B165,'📅 الحضور'!$L:$L,PayPeriod,'📅 الحضور'!$E:$E,"حاضر")+COUNTIFS('📅 الحضور'!$B:$B,B165,'📅 الحضور'!$L:$L,PayPeriod,'📅 الحضور'!$E:$E,"متأخر"),0))</f>
        <v>0</v>
      </c>
      <c r="F165" s="82">
        <f>IFERROR(VLOOKUP(B165,'👥 بيانات الموظفين'!$B:$H,7,0),0)</f>
        <v>0</v>
      </c>
      <c r="G165" s="82">
        <f>IFERROR(VLOOKUP(B165,'👥 بيانات الموظفين'!$B:$I,8,0),0)</f>
        <v>0</v>
      </c>
      <c r="H165" s="82">
        <f>IFERROR(VLOOKUP(B165,'👥 بيانات الموظفين'!$B:$J,9,0),0)</f>
        <v>0</v>
      </c>
      <c r="I165" s="82">
        <f>IF(B165="",0,IFERROR(SUMIFS('➕ الخصومات والمكافآت'!$E:$E,'➕ الخصومات والمكافآت'!$B:$B,B165,'➕ الخصومات والمكافآت'!$F:$F,PayPeriod,'➕ الخصومات والمكافآت'!$C:$C,"مكافأة"),0))</f>
        <v>0</v>
      </c>
      <c r="J165" s="82">
        <f t="shared" ref="J165:J196" si="26">IF(B165="","",F165+G165+H165+I165+R165)</f>
        <v>0</v>
      </c>
      <c r="K165" s="82">
        <f>IF(B165="",0,IFERROR(COUNTIFS('📅 الحضور'!$B:$B,B165,'📅 الحضور'!$L:$L,PayPeriod,'📅 الحضور'!$E:$E,"غائب")*F165/WorkDaysMonth,0))</f>
        <v>0</v>
      </c>
      <c r="L165" s="82">
        <f>IF(B165="",0,IFERROR(SUMIFS('📅 الحضور'!$I:$I,'📅 الحضور'!$B:$B,B165,'📅 الحضور'!$L:$L,PayPeriod)/60/WorkHoursDay*F165/WorkDaysMonth,0))</f>
        <v>0</v>
      </c>
      <c r="M165" s="82">
        <f>IF(B165="",0,IFERROR(SUMIFS('➕ الخصومات والمكافآت'!$E:$E,'➕ الخصومات والمكافآت'!$B:$B,B165,'➕ الخصومات والمكافآت'!$F:$F,PayPeriod,'➕ الخصومات والمكافآت'!$C:$C,"خصم"),0))</f>
        <v>0</v>
      </c>
      <c r="N165" s="82">
        <f t="shared" ref="N165:N196" si="27">IF(B165="","",K165+L165+M165+S165)</f>
        <v>0</v>
      </c>
      <c r="O165" s="94">
        <f t="shared" ref="O165:O196" si="28">IF(B165="","",J165-N165)</f>
        <v>0</v>
      </c>
      <c r="P165" s="53"/>
      <c r="Q165" s="88">
        <f>IF(B165="",0,IFERROR(SUMIFS('📅 الحضور'!$J:$J,'📅 الحضور'!$B:$B,B165,'📅 الحضور'!$L:$L,PayPeriod),0))</f>
        <v>0</v>
      </c>
      <c r="R165" s="89">
        <f t="shared" ref="R165:R196" si="29">IF(B165="",0,IFERROR(Q165*(F165/WorkHoursMonth)*OTRateRegular,0))</f>
        <v>0</v>
      </c>
      <c r="S165" s="89">
        <f>IF(B165="",0,IF(IFERROR(VLOOKUP(B165,'👥 بيانات الموظفين'!$B:$D,3,0),"")="سعودي",MIN(F165+G165,GosiCeiling)*GosiEmpRate,IF(IFERROR(VLOOKUP(B165,'👥 بيانات الموظفين'!$B:$D,3,0),"")="سعودية",MIN(F165+G165,GosiCeiling)*GosiEmpRate,0)))</f>
        <v>0</v>
      </c>
      <c r="T165" s="89">
        <f>IF(B165="",0,IF(OR(IFERROR(VLOOKUP(B165,'👥 بيانات الموظفين'!$B:$D,3,0),"")="سعودي",IFERROR(VLOOKUP(B165,'👥 بيانات الموظفين'!$B:$D,3,0),"")="سعودية"),MIN(F165+G165,GosiCeiling)*GosiCoRate,(F165+G165)*0.02))</f>
        <v>0</v>
      </c>
      <c r="U165" s="89">
        <f>IF(B165="",0,IFERROR(IF(VLOOKUP(B165,'👥 بيانات الموظفين'!$B:$M,12,0)&lt;5,F165/24,F165/12),0))</f>
        <v>0</v>
      </c>
    </row>
    <row r="166" spans="1:21" ht="22.15" customHeight="1" x14ac:dyDescent="0.2">
      <c r="A166" s="57">
        <f t="shared" si="25"/>
        <v>162</v>
      </c>
      <c r="B166" s="57">
        <f>IFERROR('👥 بيانات الموظفين'!B166,"")</f>
        <v>0</v>
      </c>
      <c r="C166" s="57" t="str">
        <f>IFERROR(VLOOKUP(B166,'👥 بيانات الموظفين'!$B:$C,2,0),"")</f>
        <v/>
      </c>
      <c r="D166" s="57" t="str">
        <f>IFERROR(VLOOKUP(B166,'👥 بيانات الموظفين'!$B:$E,4,0),"")</f>
        <v/>
      </c>
      <c r="E166" s="69">
        <f>IF(B166="",0,IFERROR(COUNTIFS('📅 الحضور'!$B:$B,B166,'📅 الحضور'!$L:$L,PayPeriod,'📅 الحضور'!$E:$E,"حاضر")+COUNTIFS('📅 الحضور'!$B:$B,B166,'📅 الحضور'!$L:$L,PayPeriod,'📅 الحضور'!$E:$E,"متأخر"),0))</f>
        <v>0</v>
      </c>
      <c r="F166" s="83">
        <f>IFERROR(VLOOKUP(B166,'👥 بيانات الموظفين'!$B:$H,7,0),0)</f>
        <v>0</v>
      </c>
      <c r="G166" s="83">
        <f>IFERROR(VLOOKUP(B166,'👥 بيانات الموظفين'!$B:$I,8,0),0)</f>
        <v>0</v>
      </c>
      <c r="H166" s="83">
        <f>IFERROR(VLOOKUP(B166,'👥 بيانات الموظفين'!$B:$J,9,0),0)</f>
        <v>0</v>
      </c>
      <c r="I166" s="83">
        <f>IF(B166="",0,IFERROR(SUMIFS('➕ الخصومات والمكافآت'!$E:$E,'➕ الخصومات والمكافآت'!$B:$B,B166,'➕ الخصومات والمكافآت'!$F:$F,PayPeriod,'➕ الخصومات والمكافآت'!$C:$C,"مكافأة"),0))</f>
        <v>0</v>
      </c>
      <c r="J166" s="83">
        <f t="shared" si="26"/>
        <v>0</v>
      </c>
      <c r="K166" s="83">
        <f>IF(B166="",0,IFERROR(COUNTIFS('📅 الحضور'!$B:$B,B166,'📅 الحضور'!$L:$L,PayPeriod,'📅 الحضور'!$E:$E,"غائب")*F166/WorkDaysMonth,0))</f>
        <v>0</v>
      </c>
      <c r="L166" s="83">
        <f>IF(B166="",0,IFERROR(SUMIFS('📅 الحضور'!$I:$I,'📅 الحضور'!$B:$B,B166,'📅 الحضور'!$L:$L,PayPeriod)/60/WorkHoursDay*F166/WorkDaysMonth,0))</f>
        <v>0</v>
      </c>
      <c r="M166" s="83">
        <f>IF(B166="",0,IFERROR(SUMIFS('➕ الخصومات والمكافآت'!$E:$E,'➕ الخصومات والمكافآت'!$B:$B,B166,'➕ الخصومات والمكافآت'!$F:$F,PayPeriod,'➕ الخصومات والمكافآت'!$C:$C,"خصم"),0))</f>
        <v>0</v>
      </c>
      <c r="N166" s="83">
        <f t="shared" si="27"/>
        <v>0</v>
      </c>
      <c r="O166" s="95">
        <f t="shared" si="28"/>
        <v>0</v>
      </c>
      <c r="P166" s="57"/>
      <c r="Q166" s="90">
        <f>IF(B166="",0,IFERROR(SUMIFS('📅 الحضور'!$J:$J,'📅 الحضور'!$B:$B,B166,'📅 الحضور'!$L:$L,PayPeriod),0))</f>
        <v>0</v>
      </c>
      <c r="R166" s="91">
        <f t="shared" si="29"/>
        <v>0</v>
      </c>
      <c r="S166" s="91">
        <f>IF(B166="",0,IF(IFERROR(VLOOKUP(B166,'👥 بيانات الموظفين'!$B:$D,3,0),"")="سعودي",MIN(F166+G166,GosiCeiling)*GosiEmpRate,IF(IFERROR(VLOOKUP(B166,'👥 بيانات الموظفين'!$B:$D,3,0),"")="سعودية",MIN(F166+G166,GosiCeiling)*GosiEmpRate,0)))</f>
        <v>0</v>
      </c>
      <c r="T166" s="91">
        <f>IF(B166="",0,IF(OR(IFERROR(VLOOKUP(B166,'👥 بيانات الموظفين'!$B:$D,3,0),"")="سعودي",IFERROR(VLOOKUP(B166,'👥 بيانات الموظفين'!$B:$D,3,0),"")="سعودية"),MIN(F166+G166,GosiCeiling)*GosiCoRate,(F166+G166)*0.02))</f>
        <v>0</v>
      </c>
      <c r="U166" s="91">
        <f>IF(B166="",0,IFERROR(IF(VLOOKUP(B166,'👥 بيانات الموظفين'!$B:$M,12,0)&lt;5,F166/24,F166/12),0))</f>
        <v>0</v>
      </c>
    </row>
    <row r="167" spans="1:21" ht="22.15" customHeight="1" x14ac:dyDescent="0.2">
      <c r="A167" s="53">
        <f t="shared" si="25"/>
        <v>163</v>
      </c>
      <c r="B167" s="53">
        <f>IFERROR('👥 بيانات الموظفين'!B167,"")</f>
        <v>0</v>
      </c>
      <c r="C167" s="53" t="str">
        <f>IFERROR(VLOOKUP(B167,'👥 بيانات الموظفين'!$B:$C,2,0),"")</f>
        <v/>
      </c>
      <c r="D167" s="53" t="str">
        <f>IFERROR(VLOOKUP(B167,'👥 بيانات الموظفين'!$B:$E,4,0),"")</f>
        <v/>
      </c>
      <c r="E167" s="68">
        <f>IF(B167="",0,IFERROR(COUNTIFS('📅 الحضور'!$B:$B,B167,'📅 الحضور'!$L:$L,PayPeriod,'📅 الحضور'!$E:$E,"حاضر")+COUNTIFS('📅 الحضور'!$B:$B,B167,'📅 الحضور'!$L:$L,PayPeriod,'📅 الحضور'!$E:$E,"متأخر"),0))</f>
        <v>0</v>
      </c>
      <c r="F167" s="82">
        <f>IFERROR(VLOOKUP(B167,'👥 بيانات الموظفين'!$B:$H,7,0),0)</f>
        <v>0</v>
      </c>
      <c r="G167" s="82">
        <f>IFERROR(VLOOKUP(B167,'👥 بيانات الموظفين'!$B:$I,8,0),0)</f>
        <v>0</v>
      </c>
      <c r="H167" s="82">
        <f>IFERROR(VLOOKUP(B167,'👥 بيانات الموظفين'!$B:$J,9,0),0)</f>
        <v>0</v>
      </c>
      <c r="I167" s="82">
        <f>IF(B167="",0,IFERROR(SUMIFS('➕ الخصومات والمكافآت'!$E:$E,'➕ الخصومات والمكافآت'!$B:$B,B167,'➕ الخصومات والمكافآت'!$F:$F,PayPeriod,'➕ الخصومات والمكافآت'!$C:$C,"مكافأة"),0))</f>
        <v>0</v>
      </c>
      <c r="J167" s="82">
        <f t="shared" si="26"/>
        <v>0</v>
      </c>
      <c r="K167" s="82">
        <f>IF(B167="",0,IFERROR(COUNTIFS('📅 الحضور'!$B:$B,B167,'📅 الحضور'!$L:$L,PayPeriod,'📅 الحضور'!$E:$E,"غائب")*F167/WorkDaysMonth,0))</f>
        <v>0</v>
      </c>
      <c r="L167" s="82">
        <f>IF(B167="",0,IFERROR(SUMIFS('📅 الحضور'!$I:$I,'📅 الحضور'!$B:$B,B167,'📅 الحضور'!$L:$L,PayPeriod)/60/WorkHoursDay*F167/WorkDaysMonth,0))</f>
        <v>0</v>
      </c>
      <c r="M167" s="82">
        <f>IF(B167="",0,IFERROR(SUMIFS('➕ الخصومات والمكافآت'!$E:$E,'➕ الخصومات والمكافآت'!$B:$B,B167,'➕ الخصومات والمكافآت'!$F:$F,PayPeriod,'➕ الخصومات والمكافآت'!$C:$C,"خصم"),0))</f>
        <v>0</v>
      </c>
      <c r="N167" s="82">
        <f t="shared" si="27"/>
        <v>0</v>
      </c>
      <c r="O167" s="94">
        <f t="shared" si="28"/>
        <v>0</v>
      </c>
      <c r="P167" s="53"/>
      <c r="Q167" s="88">
        <f>IF(B167="",0,IFERROR(SUMIFS('📅 الحضور'!$J:$J,'📅 الحضور'!$B:$B,B167,'📅 الحضور'!$L:$L,PayPeriod),0))</f>
        <v>0</v>
      </c>
      <c r="R167" s="89">
        <f t="shared" si="29"/>
        <v>0</v>
      </c>
      <c r="S167" s="89">
        <f>IF(B167="",0,IF(IFERROR(VLOOKUP(B167,'👥 بيانات الموظفين'!$B:$D,3,0),"")="سعودي",MIN(F167+G167,GosiCeiling)*GosiEmpRate,IF(IFERROR(VLOOKUP(B167,'👥 بيانات الموظفين'!$B:$D,3,0),"")="سعودية",MIN(F167+G167,GosiCeiling)*GosiEmpRate,0)))</f>
        <v>0</v>
      </c>
      <c r="T167" s="89">
        <f>IF(B167="",0,IF(OR(IFERROR(VLOOKUP(B167,'👥 بيانات الموظفين'!$B:$D,3,0),"")="سعودي",IFERROR(VLOOKUP(B167,'👥 بيانات الموظفين'!$B:$D,3,0),"")="سعودية"),MIN(F167+G167,GosiCeiling)*GosiCoRate,(F167+G167)*0.02))</f>
        <v>0</v>
      </c>
      <c r="U167" s="89">
        <f>IF(B167="",0,IFERROR(IF(VLOOKUP(B167,'👥 بيانات الموظفين'!$B:$M,12,0)&lt;5,F167/24,F167/12),0))</f>
        <v>0</v>
      </c>
    </row>
    <row r="168" spans="1:21" ht="22.15" customHeight="1" x14ac:dyDescent="0.2">
      <c r="A168" s="57">
        <f t="shared" si="25"/>
        <v>164</v>
      </c>
      <c r="B168" s="57">
        <f>IFERROR('👥 بيانات الموظفين'!B168,"")</f>
        <v>0</v>
      </c>
      <c r="C168" s="57" t="str">
        <f>IFERROR(VLOOKUP(B168,'👥 بيانات الموظفين'!$B:$C,2,0),"")</f>
        <v/>
      </c>
      <c r="D168" s="57" t="str">
        <f>IFERROR(VLOOKUP(B168,'👥 بيانات الموظفين'!$B:$E,4,0),"")</f>
        <v/>
      </c>
      <c r="E168" s="69">
        <f>IF(B168="",0,IFERROR(COUNTIFS('📅 الحضور'!$B:$B,B168,'📅 الحضور'!$L:$L,PayPeriod,'📅 الحضور'!$E:$E,"حاضر")+COUNTIFS('📅 الحضور'!$B:$B,B168,'📅 الحضور'!$L:$L,PayPeriod,'📅 الحضور'!$E:$E,"متأخر"),0))</f>
        <v>0</v>
      </c>
      <c r="F168" s="83">
        <f>IFERROR(VLOOKUP(B168,'👥 بيانات الموظفين'!$B:$H,7,0),0)</f>
        <v>0</v>
      </c>
      <c r="G168" s="83">
        <f>IFERROR(VLOOKUP(B168,'👥 بيانات الموظفين'!$B:$I,8,0),0)</f>
        <v>0</v>
      </c>
      <c r="H168" s="83">
        <f>IFERROR(VLOOKUP(B168,'👥 بيانات الموظفين'!$B:$J,9,0),0)</f>
        <v>0</v>
      </c>
      <c r="I168" s="83">
        <f>IF(B168="",0,IFERROR(SUMIFS('➕ الخصومات والمكافآت'!$E:$E,'➕ الخصومات والمكافآت'!$B:$B,B168,'➕ الخصومات والمكافآت'!$F:$F,PayPeriod,'➕ الخصومات والمكافآت'!$C:$C,"مكافأة"),0))</f>
        <v>0</v>
      </c>
      <c r="J168" s="83">
        <f t="shared" si="26"/>
        <v>0</v>
      </c>
      <c r="K168" s="83">
        <f>IF(B168="",0,IFERROR(COUNTIFS('📅 الحضور'!$B:$B,B168,'📅 الحضور'!$L:$L,PayPeriod,'📅 الحضور'!$E:$E,"غائب")*F168/WorkDaysMonth,0))</f>
        <v>0</v>
      </c>
      <c r="L168" s="83">
        <f>IF(B168="",0,IFERROR(SUMIFS('📅 الحضور'!$I:$I,'📅 الحضور'!$B:$B,B168,'📅 الحضور'!$L:$L,PayPeriod)/60/WorkHoursDay*F168/WorkDaysMonth,0))</f>
        <v>0</v>
      </c>
      <c r="M168" s="83">
        <f>IF(B168="",0,IFERROR(SUMIFS('➕ الخصومات والمكافآت'!$E:$E,'➕ الخصومات والمكافآت'!$B:$B,B168,'➕ الخصومات والمكافآت'!$F:$F,PayPeriod,'➕ الخصومات والمكافآت'!$C:$C,"خصم"),0))</f>
        <v>0</v>
      </c>
      <c r="N168" s="83">
        <f t="shared" si="27"/>
        <v>0</v>
      </c>
      <c r="O168" s="95">
        <f t="shared" si="28"/>
        <v>0</v>
      </c>
      <c r="P168" s="57"/>
      <c r="Q168" s="90">
        <f>IF(B168="",0,IFERROR(SUMIFS('📅 الحضور'!$J:$J,'📅 الحضور'!$B:$B,B168,'📅 الحضور'!$L:$L,PayPeriod),0))</f>
        <v>0</v>
      </c>
      <c r="R168" s="91">
        <f t="shared" si="29"/>
        <v>0</v>
      </c>
      <c r="S168" s="91">
        <f>IF(B168="",0,IF(IFERROR(VLOOKUP(B168,'👥 بيانات الموظفين'!$B:$D,3,0),"")="سعودي",MIN(F168+G168,GosiCeiling)*GosiEmpRate,IF(IFERROR(VLOOKUP(B168,'👥 بيانات الموظفين'!$B:$D,3,0),"")="سعودية",MIN(F168+G168,GosiCeiling)*GosiEmpRate,0)))</f>
        <v>0</v>
      </c>
      <c r="T168" s="91">
        <f>IF(B168="",0,IF(OR(IFERROR(VLOOKUP(B168,'👥 بيانات الموظفين'!$B:$D,3,0),"")="سعودي",IFERROR(VLOOKUP(B168,'👥 بيانات الموظفين'!$B:$D,3,0),"")="سعودية"),MIN(F168+G168,GosiCeiling)*GosiCoRate,(F168+G168)*0.02))</f>
        <v>0</v>
      </c>
      <c r="U168" s="91">
        <f>IF(B168="",0,IFERROR(IF(VLOOKUP(B168,'👥 بيانات الموظفين'!$B:$M,12,0)&lt;5,F168/24,F168/12),0))</f>
        <v>0</v>
      </c>
    </row>
    <row r="169" spans="1:21" ht="22.15" customHeight="1" x14ac:dyDescent="0.2">
      <c r="A169" s="53">
        <f t="shared" si="25"/>
        <v>165</v>
      </c>
      <c r="B169" s="53">
        <f>IFERROR('👥 بيانات الموظفين'!B169,"")</f>
        <v>0</v>
      </c>
      <c r="C169" s="53" t="str">
        <f>IFERROR(VLOOKUP(B169,'👥 بيانات الموظفين'!$B:$C,2,0),"")</f>
        <v/>
      </c>
      <c r="D169" s="53" t="str">
        <f>IFERROR(VLOOKUP(B169,'👥 بيانات الموظفين'!$B:$E,4,0),"")</f>
        <v/>
      </c>
      <c r="E169" s="68">
        <f>IF(B169="",0,IFERROR(COUNTIFS('📅 الحضور'!$B:$B,B169,'📅 الحضور'!$L:$L,PayPeriod,'📅 الحضور'!$E:$E,"حاضر")+COUNTIFS('📅 الحضور'!$B:$B,B169,'📅 الحضور'!$L:$L,PayPeriod,'📅 الحضور'!$E:$E,"متأخر"),0))</f>
        <v>0</v>
      </c>
      <c r="F169" s="82">
        <f>IFERROR(VLOOKUP(B169,'👥 بيانات الموظفين'!$B:$H,7,0),0)</f>
        <v>0</v>
      </c>
      <c r="G169" s="82">
        <f>IFERROR(VLOOKUP(B169,'👥 بيانات الموظفين'!$B:$I,8,0),0)</f>
        <v>0</v>
      </c>
      <c r="H169" s="82">
        <f>IFERROR(VLOOKUP(B169,'👥 بيانات الموظفين'!$B:$J,9,0),0)</f>
        <v>0</v>
      </c>
      <c r="I169" s="82">
        <f>IF(B169="",0,IFERROR(SUMIFS('➕ الخصومات والمكافآت'!$E:$E,'➕ الخصومات والمكافآت'!$B:$B,B169,'➕ الخصومات والمكافآت'!$F:$F,PayPeriod,'➕ الخصومات والمكافآت'!$C:$C,"مكافأة"),0))</f>
        <v>0</v>
      </c>
      <c r="J169" s="82">
        <f t="shared" si="26"/>
        <v>0</v>
      </c>
      <c r="K169" s="82">
        <f>IF(B169="",0,IFERROR(COUNTIFS('📅 الحضور'!$B:$B,B169,'📅 الحضور'!$L:$L,PayPeriod,'📅 الحضور'!$E:$E,"غائب")*F169/WorkDaysMonth,0))</f>
        <v>0</v>
      </c>
      <c r="L169" s="82">
        <f>IF(B169="",0,IFERROR(SUMIFS('📅 الحضور'!$I:$I,'📅 الحضور'!$B:$B,B169,'📅 الحضور'!$L:$L,PayPeriod)/60/WorkHoursDay*F169/WorkDaysMonth,0))</f>
        <v>0</v>
      </c>
      <c r="M169" s="82">
        <f>IF(B169="",0,IFERROR(SUMIFS('➕ الخصومات والمكافآت'!$E:$E,'➕ الخصومات والمكافآت'!$B:$B,B169,'➕ الخصومات والمكافآت'!$F:$F,PayPeriod,'➕ الخصومات والمكافآت'!$C:$C,"خصم"),0))</f>
        <v>0</v>
      </c>
      <c r="N169" s="82">
        <f t="shared" si="27"/>
        <v>0</v>
      </c>
      <c r="O169" s="94">
        <f t="shared" si="28"/>
        <v>0</v>
      </c>
      <c r="P169" s="53"/>
      <c r="Q169" s="88">
        <f>IF(B169="",0,IFERROR(SUMIFS('📅 الحضور'!$J:$J,'📅 الحضور'!$B:$B,B169,'📅 الحضور'!$L:$L,PayPeriod),0))</f>
        <v>0</v>
      </c>
      <c r="R169" s="89">
        <f t="shared" si="29"/>
        <v>0</v>
      </c>
      <c r="S169" s="89">
        <f>IF(B169="",0,IF(IFERROR(VLOOKUP(B169,'👥 بيانات الموظفين'!$B:$D,3,0),"")="سعودي",MIN(F169+G169,GosiCeiling)*GosiEmpRate,IF(IFERROR(VLOOKUP(B169,'👥 بيانات الموظفين'!$B:$D,3,0),"")="سعودية",MIN(F169+G169,GosiCeiling)*GosiEmpRate,0)))</f>
        <v>0</v>
      </c>
      <c r="T169" s="89">
        <f>IF(B169="",0,IF(OR(IFERROR(VLOOKUP(B169,'👥 بيانات الموظفين'!$B:$D,3,0),"")="سعودي",IFERROR(VLOOKUP(B169,'👥 بيانات الموظفين'!$B:$D,3,0),"")="سعودية"),MIN(F169+G169,GosiCeiling)*GosiCoRate,(F169+G169)*0.02))</f>
        <v>0</v>
      </c>
      <c r="U169" s="89">
        <f>IF(B169="",0,IFERROR(IF(VLOOKUP(B169,'👥 بيانات الموظفين'!$B:$M,12,0)&lt;5,F169/24,F169/12),0))</f>
        <v>0</v>
      </c>
    </row>
    <row r="170" spans="1:21" ht="22.15" customHeight="1" x14ac:dyDescent="0.2">
      <c r="A170" s="57">
        <f t="shared" si="25"/>
        <v>166</v>
      </c>
      <c r="B170" s="57">
        <f>IFERROR('👥 بيانات الموظفين'!B170,"")</f>
        <v>0</v>
      </c>
      <c r="C170" s="57" t="str">
        <f>IFERROR(VLOOKUP(B170,'👥 بيانات الموظفين'!$B:$C,2,0),"")</f>
        <v/>
      </c>
      <c r="D170" s="57" t="str">
        <f>IFERROR(VLOOKUP(B170,'👥 بيانات الموظفين'!$B:$E,4,0),"")</f>
        <v/>
      </c>
      <c r="E170" s="69">
        <f>IF(B170="",0,IFERROR(COUNTIFS('📅 الحضور'!$B:$B,B170,'📅 الحضور'!$L:$L,PayPeriod,'📅 الحضور'!$E:$E,"حاضر")+COUNTIFS('📅 الحضور'!$B:$B,B170,'📅 الحضور'!$L:$L,PayPeriod,'📅 الحضور'!$E:$E,"متأخر"),0))</f>
        <v>0</v>
      </c>
      <c r="F170" s="83">
        <f>IFERROR(VLOOKUP(B170,'👥 بيانات الموظفين'!$B:$H,7,0),0)</f>
        <v>0</v>
      </c>
      <c r="G170" s="83">
        <f>IFERROR(VLOOKUP(B170,'👥 بيانات الموظفين'!$B:$I,8,0),0)</f>
        <v>0</v>
      </c>
      <c r="H170" s="83">
        <f>IFERROR(VLOOKUP(B170,'👥 بيانات الموظفين'!$B:$J,9,0),0)</f>
        <v>0</v>
      </c>
      <c r="I170" s="83">
        <f>IF(B170="",0,IFERROR(SUMIFS('➕ الخصومات والمكافآت'!$E:$E,'➕ الخصومات والمكافآت'!$B:$B,B170,'➕ الخصومات والمكافآت'!$F:$F,PayPeriod,'➕ الخصومات والمكافآت'!$C:$C,"مكافأة"),0))</f>
        <v>0</v>
      </c>
      <c r="J170" s="83">
        <f t="shared" si="26"/>
        <v>0</v>
      </c>
      <c r="K170" s="83">
        <f>IF(B170="",0,IFERROR(COUNTIFS('📅 الحضور'!$B:$B,B170,'📅 الحضور'!$L:$L,PayPeriod,'📅 الحضور'!$E:$E,"غائب")*F170/WorkDaysMonth,0))</f>
        <v>0</v>
      </c>
      <c r="L170" s="83">
        <f>IF(B170="",0,IFERROR(SUMIFS('📅 الحضور'!$I:$I,'📅 الحضور'!$B:$B,B170,'📅 الحضور'!$L:$L,PayPeriod)/60/WorkHoursDay*F170/WorkDaysMonth,0))</f>
        <v>0</v>
      </c>
      <c r="M170" s="83">
        <f>IF(B170="",0,IFERROR(SUMIFS('➕ الخصومات والمكافآت'!$E:$E,'➕ الخصومات والمكافآت'!$B:$B,B170,'➕ الخصومات والمكافآت'!$F:$F,PayPeriod,'➕ الخصومات والمكافآت'!$C:$C,"خصم"),0))</f>
        <v>0</v>
      </c>
      <c r="N170" s="83">
        <f t="shared" si="27"/>
        <v>0</v>
      </c>
      <c r="O170" s="95">
        <f t="shared" si="28"/>
        <v>0</v>
      </c>
      <c r="P170" s="57"/>
      <c r="Q170" s="90">
        <f>IF(B170="",0,IFERROR(SUMIFS('📅 الحضور'!$J:$J,'📅 الحضور'!$B:$B,B170,'📅 الحضور'!$L:$L,PayPeriod),0))</f>
        <v>0</v>
      </c>
      <c r="R170" s="91">
        <f t="shared" si="29"/>
        <v>0</v>
      </c>
      <c r="S170" s="91">
        <f>IF(B170="",0,IF(IFERROR(VLOOKUP(B170,'👥 بيانات الموظفين'!$B:$D,3,0),"")="سعودي",MIN(F170+G170,GosiCeiling)*GosiEmpRate,IF(IFERROR(VLOOKUP(B170,'👥 بيانات الموظفين'!$B:$D,3,0),"")="سعودية",MIN(F170+G170,GosiCeiling)*GosiEmpRate,0)))</f>
        <v>0</v>
      </c>
      <c r="T170" s="91">
        <f>IF(B170="",0,IF(OR(IFERROR(VLOOKUP(B170,'👥 بيانات الموظفين'!$B:$D,3,0),"")="سعودي",IFERROR(VLOOKUP(B170,'👥 بيانات الموظفين'!$B:$D,3,0),"")="سعودية"),MIN(F170+G170,GosiCeiling)*GosiCoRate,(F170+G170)*0.02))</f>
        <v>0</v>
      </c>
      <c r="U170" s="91">
        <f>IF(B170="",0,IFERROR(IF(VLOOKUP(B170,'👥 بيانات الموظفين'!$B:$M,12,0)&lt;5,F170/24,F170/12),0))</f>
        <v>0</v>
      </c>
    </row>
    <row r="171" spans="1:21" ht="22.15" customHeight="1" x14ac:dyDescent="0.2">
      <c r="A171" s="53">
        <f t="shared" si="25"/>
        <v>167</v>
      </c>
      <c r="B171" s="53">
        <f>IFERROR('👥 بيانات الموظفين'!B171,"")</f>
        <v>0</v>
      </c>
      <c r="C171" s="53" t="str">
        <f>IFERROR(VLOOKUP(B171,'👥 بيانات الموظفين'!$B:$C,2,0),"")</f>
        <v/>
      </c>
      <c r="D171" s="53" t="str">
        <f>IFERROR(VLOOKUP(B171,'👥 بيانات الموظفين'!$B:$E,4,0),"")</f>
        <v/>
      </c>
      <c r="E171" s="68">
        <f>IF(B171="",0,IFERROR(COUNTIFS('📅 الحضور'!$B:$B,B171,'📅 الحضور'!$L:$L,PayPeriod,'📅 الحضور'!$E:$E,"حاضر")+COUNTIFS('📅 الحضور'!$B:$B,B171,'📅 الحضور'!$L:$L,PayPeriod,'📅 الحضور'!$E:$E,"متأخر"),0))</f>
        <v>0</v>
      </c>
      <c r="F171" s="82">
        <f>IFERROR(VLOOKUP(B171,'👥 بيانات الموظفين'!$B:$H,7,0),0)</f>
        <v>0</v>
      </c>
      <c r="G171" s="82">
        <f>IFERROR(VLOOKUP(B171,'👥 بيانات الموظفين'!$B:$I,8,0),0)</f>
        <v>0</v>
      </c>
      <c r="H171" s="82">
        <f>IFERROR(VLOOKUP(B171,'👥 بيانات الموظفين'!$B:$J,9,0),0)</f>
        <v>0</v>
      </c>
      <c r="I171" s="82">
        <f>IF(B171="",0,IFERROR(SUMIFS('➕ الخصومات والمكافآت'!$E:$E,'➕ الخصومات والمكافآت'!$B:$B,B171,'➕ الخصومات والمكافآت'!$F:$F,PayPeriod,'➕ الخصومات والمكافآت'!$C:$C,"مكافأة"),0))</f>
        <v>0</v>
      </c>
      <c r="J171" s="82">
        <f t="shared" si="26"/>
        <v>0</v>
      </c>
      <c r="K171" s="82">
        <f>IF(B171="",0,IFERROR(COUNTIFS('📅 الحضور'!$B:$B,B171,'📅 الحضور'!$L:$L,PayPeriod,'📅 الحضور'!$E:$E,"غائب")*F171/WorkDaysMonth,0))</f>
        <v>0</v>
      </c>
      <c r="L171" s="82">
        <f>IF(B171="",0,IFERROR(SUMIFS('📅 الحضور'!$I:$I,'📅 الحضور'!$B:$B,B171,'📅 الحضور'!$L:$L,PayPeriod)/60/WorkHoursDay*F171/WorkDaysMonth,0))</f>
        <v>0</v>
      </c>
      <c r="M171" s="82">
        <f>IF(B171="",0,IFERROR(SUMIFS('➕ الخصومات والمكافآت'!$E:$E,'➕ الخصومات والمكافآت'!$B:$B,B171,'➕ الخصومات والمكافآت'!$F:$F,PayPeriod,'➕ الخصومات والمكافآت'!$C:$C,"خصم"),0))</f>
        <v>0</v>
      </c>
      <c r="N171" s="82">
        <f t="shared" si="27"/>
        <v>0</v>
      </c>
      <c r="O171" s="94">
        <f t="shared" si="28"/>
        <v>0</v>
      </c>
      <c r="P171" s="53"/>
      <c r="Q171" s="88">
        <f>IF(B171="",0,IFERROR(SUMIFS('📅 الحضور'!$J:$J,'📅 الحضور'!$B:$B,B171,'📅 الحضور'!$L:$L,PayPeriod),0))</f>
        <v>0</v>
      </c>
      <c r="R171" s="89">
        <f t="shared" si="29"/>
        <v>0</v>
      </c>
      <c r="S171" s="89">
        <f>IF(B171="",0,IF(IFERROR(VLOOKUP(B171,'👥 بيانات الموظفين'!$B:$D,3,0),"")="سعودي",MIN(F171+G171,GosiCeiling)*GosiEmpRate,IF(IFERROR(VLOOKUP(B171,'👥 بيانات الموظفين'!$B:$D,3,0),"")="سعودية",MIN(F171+G171,GosiCeiling)*GosiEmpRate,0)))</f>
        <v>0</v>
      </c>
      <c r="T171" s="89">
        <f>IF(B171="",0,IF(OR(IFERROR(VLOOKUP(B171,'👥 بيانات الموظفين'!$B:$D,3,0),"")="سعودي",IFERROR(VLOOKUP(B171,'👥 بيانات الموظفين'!$B:$D,3,0),"")="سعودية"),MIN(F171+G171,GosiCeiling)*GosiCoRate,(F171+G171)*0.02))</f>
        <v>0</v>
      </c>
      <c r="U171" s="89">
        <f>IF(B171="",0,IFERROR(IF(VLOOKUP(B171,'👥 بيانات الموظفين'!$B:$M,12,0)&lt;5,F171/24,F171/12),0))</f>
        <v>0</v>
      </c>
    </row>
    <row r="172" spans="1:21" ht="22.15" customHeight="1" x14ac:dyDescent="0.2">
      <c r="A172" s="57">
        <f t="shared" si="25"/>
        <v>168</v>
      </c>
      <c r="B172" s="57">
        <f>IFERROR('👥 بيانات الموظفين'!B172,"")</f>
        <v>0</v>
      </c>
      <c r="C172" s="57" t="str">
        <f>IFERROR(VLOOKUP(B172,'👥 بيانات الموظفين'!$B:$C,2,0),"")</f>
        <v/>
      </c>
      <c r="D172" s="57" t="str">
        <f>IFERROR(VLOOKUP(B172,'👥 بيانات الموظفين'!$B:$E,4,0),"")</f>
        <v/>
      </c>
      <c r="E172" s="69">
        <f>IF(B172="",0,IFERROR(COUNTIFS('📅 الحضور'!$B:$B,B172,'📅 الحضور'!$L:$L,PayPeriod,'📅 الحضور'!$E:$E,"حاضر")+COUNTIFS('📅 الحضور'!$B:$B,B172,'📅 الحضور'!$L:$L,PayPeriod,'📅 الحضور'!$E:$E,"متأخر"),0))</f>
        <v>0</v>
      </c>
      <c r="F172" s="83">
        <f>IFERROR(VLOOKUP(B172,'👥 بيانات الموظفين'!$B:$H,7,0),0)</f>
        <v>0</v>
      </c>
      <c r="G172" s="83">
        <f>IFERROR(VLOOKUP(B172,'👥 بيانات الموظفين'!$B:$I,8,0),0)</f>
        <v>0</v>
      </c>
      <c r="H172" s="83">
        <f>IFERROR(VLOOKUP(B172,'👥 بيانات الموظفين'!$B:$J,9,0),0)</f>
        <v>0</v>
      </c>
      <c r="I172" s="83">
        <f>IF(B172="",0,IFERROR(SUMIFS('➕ الخصومات والمكافآت'!$E:$E,'➕ الخصومات والمكافآت'!$B:$B,B172,'➕ الخصومات والمكافآت'!$F:$F,PayPeriod,'➕ الخصومات والمكافآت'!$C:$C,"مكافأة"),0))</f>
        <v>0</v>
      </c>
      <c r="J172" s="83">
        <f t="shared" si="26"/>
        <v>0</v>
      </c>
      <c r="K172" s="83">
        <f>IF(B172="",0,IFERROR(COUNTIFS('📅 الحضور'!$B:$B,B172,'📅 الحضور'!$L:$L,PayPeriod,'📅 الحضور'!$E:$E,"غائب")*F172/WorkDaysMonth,0))</f>
        <v>0</v>
      </c>
      <c r="L172" s="83">
        <f>IF(B172="",0,IFERROR(SUMIFS('📅 الحضور'!$I:$I,'📅 الحضور'!$B:$B,B172,'📅 الحضور'!$L:$L,PayPeriod)/60/WorkHoursDay*F172/WorkDaysMonth,0))</f>
        <v>0</v>
      </c>
      <c r="M172" s="83">
        <f>IF(B172="",0,IFERROR(SUMIFS('➕ الخصومات والمكافآت'!$E:$E,'➕ الخصومات والمكافآت'!$B:$B,B172,'➕ الخصومات والمكافآت'!$F:$F,PayPeriod,'➕ الخصومات والمكافآت'!$C:$C,"خصم"),0))</f>
        <v>0</v>
      </c>
      <c r="N172" s="83">
        <f t="shared" si="27"/>
        <v>0</v>
      </c>
      <c r="O172" s="95">
        <f t="shared" si="28"/>
        <v>0</v>
      </c>
      <c r="P172" s="57"/>
      <c r="Q172" s="90">
        <f>IF(B172="",0,IFERROR(SUMIFS('📅 الحضور'!$J:$J,'📅 الحضور'!$B:$B,B172,'📅 الحضور'!$L:$L,PayPeriod),0))</f>
        <v>0</v>
      </c>
      <c r="R172" s="91">
        <f t="shared" si="29"/>
        <v>0</v>
      </c>
      <c r="S172" s="91">
        <f>IF(B172="",0,IF(IFERROR(VLOOKUP(B172,'👥 بيانات الموظفين'!$B:$D,3,0),"")="سعودي",MIN(F172+G172,GosiCeiling)*GosiEmpRate,IF(IFERROR(VLOOKUP(B172,'👥 بيانات الموظفين'!$B:$D,3,0),"")="سعودية",MIN(F172+G172,GosiCeiling)*GosiEmpRate,0)))</f>
        <v>0</v>
      </c>
      <c r="T172" s="91">
        <f>IF(B172="",0,IF(OR(IFERROR(VLOOKUP(B172,'👥 بيانات الموظفين'!$B:$D,3,0),"")="سعودي",IFERROR(VLOOKUP(B172,'👥 بيانات الموظفين'!$B:$D,3,0),"")="سعودية"),MIN(F172+G172,GosiCeiling)*GosiCoRate,(F172+G172)*0.02))</f>
        <v>0</v>
      </c>
      <c r="U172" s="91">
        <f>IF(B172="",0,IFERROR(IF(VLOOKUP(B172,'👥 بيانات الموظفين'!$B:$M,12,0)&lt;5,F172/24,F172/12),0))</f>
        <v>0</v>
      </c>
    </row>
    <row r="173" spans="1:21" ht="22.15" customHeight="1" x14ac:dyDescent="0.2">
      <c r="A173" s="53">
        <f t="shared" si="25"/>
        <v>169</v>
      </c>
      <c r="B173" s="53">
        <f>IFERROR('👥 بيانات الموظفين'!B173,"")</f>
        <v>0</v>
      </c>
      <c r="C173" s="53" t="str">
        <f>IFERROR(VLOOKUP(B173,'👥 بيانات الموظفين'!$B:$C,2,0),"")</f>
        <v/>
      </c>
      <c r="D173" s="53" t="str">
        <f>IFERROR(VLOOKUP(B173,'👥 بيانات الموظفين'!$B:$E,4,0),"")</f>
        <v/>
      </c>
      <c r="E173" s="68">
        <f>IF(B173="",0,IFERROR(COUNTIFS('📅 الحضور'!$B:$B,B173,'📅 الحضور'!$L:$L,PayPeriod,'📅 الحضور'!$E:$E,"حاضر")+COUNTIFS('📅 الحضور'!$B:$B,B173,'📅 الحضور'!$L:$L,PayPeriod,'📅 الحضور'!$E:$E,"متأخر"),0))</f>
        <v>0</v>
      </c>
      <c r="F173" s="82">
        <f>IFERROR(VLOOKUP(B173,'👥 بيانات الموظفين'!$B:$H,7,0),0)</f>
        <v>0</v>
      </c>
      <c r="G173" s="82">
        <f>IFERROR(VLOOKUP(B173,'👥 بيانات الموظفين'!$B:$I,8,0),0)</f>
        <v>0</v>
      </c>
      <c r="H173" s="82">
        <f>IFERROR(VLOOKUP(B173,'👥 بيانات الموظفين'!$B:$J,9,0),0)</f>
        <v>0</v>
      </c>
      <c r="I173" s="82">
        <f>IF(B173="",0,IFERROR(SUMIFS('➕ الخصومات والمكافآت'!$E:$E,'➕ الخصومات والمكافآت'!$B:$B,B173,'➕ الخصومات والمكافآت'!$F:$F,PayPeriod,'➕ الخصومات والمكافآت'!$C:$C,"مكافأة"),0))</f>
        <v>0</v>
      </c>
      <c r="J173" s="82">
        <f t="shared" si="26"/>
        <v>0</v>
      </c>
      <c r="K173" s="82">
        <f>IF(B173="",0,IFERROR(COUNTIFS('📅 الحضور'!$B:$B,B173,'📅 الحضور'!$L:$L,PayPeriod,'📅 الحضور'!$E:$E,"غائب")*F173/WorkDaysMonth,0))</f>
        <v>0</v>
      </c>
      <c r="L173" s="82">
        <f>IF(B173="",0,IFERROR(SUMIFS('📅 الحضور'!$I:$I,'📅 الحضور'!$B:$B,B173,'📅 الحضور'!$L:$L,PayPeriod)/60/WorkHoursDay*F173/WorkDaysMonth,0))</f>
        <v>0</v>
      </c>
      <c r="M173" s="82">
        <f>IF(B173="",0,IFERROR(SUMIFS('➕ الخصومات والمكافآت'!$E:$E,'➕ الخصومات والمكافآت'!$B:$B,B173,'➕ الخصومات والمكافآت'!$F:$F,PayPeriod,'➕ الخصومات والمكافآت'!$C:$C,"خصم"),0))</f>
        <v>0</v>
      </c>
      <c r="N173" s="82">
        <f t="shared" si="27"/>
        <v>0</v>
      </c>
      <c r="O173" s="94">
        <f t="shared" si="28"/>
        <v>0</v>
      </c>
      <c r="P173" s="53"/>
      <c r="Q173" s="88">
        <f>IF(B173="",0,IFERROR(SUMIFS('📅 الحضور'!$J:$J,'📅 الحضور'!$B:$B,B173,'📅 الحضور'!$L:$L,PayPeriod),0))</f>
        <v>0</v>
      </c>
      <c r="R173" s="89">
        <f t="shared" si="29"/>
        <v>0</v>
      </c>
      <c r="S173" s="89">
        <f>IF(B173="",0,IF(IFERROR(VLOOKUP(B173,'👥 بيانات الموظفين'!$B:$D,3,0),"")="سعودي",MIN(F173+G173,GosiCeiling)*GosiEmpRate,IF(IFERROR(VLOOKUP(B173,'👥 بيانات الموظفين'!$B:$D,3,0),"")="سعودية",MIN(F173+G173,GosiCeiling)*GosiEmpRate,0)))</f>
        <v>0</v>
      </c>
      <c r="T173" s="89">
        <f>IF(B173="",0,IF(OR(IFERROR(VLOOKUP(B173,'👥 بيانات الموظفين'!$B:$D,3,0),"")="سعودي",IFERROR(VLOOKUP(B173,'👥 بيانات الموظفين'!$B:$D,3,0),"")="سعودية"),MIN(F173+G173,GosiCeiling)*GosiCoRate,(F173+G173)*0.02))</f>
        <v>0</v>
      </c>
      <c r="U173" s="89">
        <f>IF(B173="",0,IFERROR(IF(VLOOKUP(B173,'👥 بيانات الموظفين'!$B:$M,12,0)&lt;5,F173/24,F173/12),0))</f>
        <v>0</v>
      </c>
    </row>
    <row r="174" spans="1:21" ht="22.15" customHeight="1" x14ac:dyDescent="0.2">
      <c r="A174" s="57">
        <f t="shared" si="25"/>
        <v>170</v>
      </c>
      <c r="B174" s="57">
        <f>IFERROR('👥 بيانات الموظفين'!B174,"")</f>
        <v>0</v>
      </c>
      <c r="C174" s="57" t="str">
        <f>IFERROR(VLOOKUP(B174,'👥 بيانات الموظفين'!$B:$C,2,0),"")</f>
        <v/>
      </c>
      <c r="D174" s="57" t="str">
        <f>IFERROR(VLOOKUP(B174,'👥 بيانات الموظفين'!$B:$E,4,0),"")</f>
        <v/>
      </c>
      <c r="E174" s="69">
        <f>IF(B174="",0,IFERROR(COUNTIFS('📅 الحضور'!$B:$B,B174,'📅 الحضور'!$L:$L,PayPeriod,'📅 الحضور'!$E:$E,"حاضر")+COUNTIFS('📅 الحضور'!$B:$B,B174,'📅 الحضور'!$L:$L,PayPeriod,'📅 الحضور'!$E:$E,"متأخر"),0))</f>
        <v>0</v>
      </c>
      <c r="F174" s="83">
        <f>IFERROR(VLOOKUP(B174,'👥 بيانات الموظفين'!$B:$H,7,0),0)</f>
        <v>0</v>
      </c>
      <c r="G174" s="83">
        <f>IFERROR(VLOOKUP(B174,'👥 بيانات الموظفين'!$B:$I,8,0),0)</f>
        <v>0</v>
      </c>
      <c r="H174" s="83">
        <f>IFERROR(VLOOKUP(B174,'👥 بيانات الموظفين'!$B:$J,9,0),0)</f>
        <v>0</v>
      </c>
      <c r="I174" s="83">
        <f>IF(B174="",0,IFERROR(SUMIFS('➕ الخصومات والمكافآت'!$E:$E,'➕ الخصومات والمكافآت'!$B:$B,B174,'➕ الخصومات والمكافآت'!$F:$F,PayPeriod,'➕ الخصومات والمكافآت'!$C:$C,"مكافأة"),0))</f>
        <v>0</v>
      </c>
      <c r="J174" s="83">
        <f t="shared" si="26"/>
        <v>0</v>
      </c>
      <c r="K174" s="83">
        <f>IF(B174="",0,IFERROR(COUNTIFS('📅 الحضور'!$B:$B,B174,'📅 الحضور'!$L:$L,PayPeriod,'📅 الحضور'!$E:$E,"غائب")*F174/WorkDaysMonth,0))</f>
        <v>0</v>
      </c>
      <c r="L174" s="83">
        <f>IF(B174="",0,IFERROR(SUMIFS('📅 الحضور'!$I:$I,'📅 الحضور'!$B:$B,B174,'📅 الحضور'!$L:$L,PayPeriod)/60/WorkHoursDay*F174/WorkDaysMonth,0))</f>
        <v>0</v>
      </c>
      <c r="M174" s="83">
        <f>IF(B174="",0,IFERROR(SUMIFS('➕ الخصومات والمكافآت'!$E:$E,'➕ الخصومات والمكافآت'!$B:$B,B174,'➕ الخصومات والمكافآت'!$F:$F,PayPeriod,'➕ الخصومات والمكافآت'!$C:$C,"خصم"),0))</f>
        <v>0</v>
      </c>
      <c r="N174" s="83">
        <f t="shared" si="27"/>
        <v>0</v>
      </c>
      <c r="O174" s="95">
        <f t="shared" si="28"/>
        <v>0</v>
      </c>
      <c r="P174" s="57"/>
      <c r="Q174" s="90">
        <f>IF(B174="",0,IFERROR(SUMIFS('📅 الحضور'!$J:$J,'📅 الحضور'!$B:$B,B174,'📅 الحضور'!$L:$L,PayPeriod),0))</f>
        <v>0</v>
      </c>
      <c r="R174" s="91">
        <f t="shared" si="29"/>
        <v>0</v>
      </c>
      <c r="S174" s="91">
        <f>IF(B174="",0,IF(IFERROR(VLOOKUP(B174,'👥 بيانات الموظفين'!$B:$D,3,0),"")="سعودي",MIN(F174+G174,GosiCeiling)*GosiEmpRate,IF(IFERROR(VLOOKUP(B174,'👥 بيانات الموظفين'!$B:$D,3,0),"")="سعودية",MIN(F174+G174,GosiCeiling)*GosiEmpRate,0)))</f>
        <v>0</v>
      </c>
      <c r="T174" s="91">
        <f>IF(B174="",0,IF(OR(IFERROR(VLOOKUP(B174,'👥 بيانات الموظفين'!$B:$D,3,0),"")="سعودي",IFERROR(VLOOKUP(B174,'👥 بيانات الموظفين'!$B:$D,3,0),"")="سعودية"),MIN(F174+G174,GosiCeiling)*GosiCoRate,(F174+G174)*0.02))</f>
        <v>0</v>
      </c>
      <c r="U174" s="91">
        <f>IF(B174="",0,IFERROR(IF(VLOOKUP(B174,'👥 بيانات الموظفين'!$B:$M,12,0)&lt;5,F174/24,F174/12),0))</f>
        <v>0</v>
      </c>
    </row>
    <row r="175" spans="1:21" ht="22.15" customHeight="1" x14ac:dyDescent="0.2">
      <c r="A175" s="53">
        <f t="shared" si="25"/>
        <v>171</v>
      </c>
      <c r="B175" s="53">
        <f>IFERROR('👥 بيانات الموظفين'!B175,"")</f>
        <v>0</v>
      </c>
      <c r="C175" s="53" t="str">
        <f>IFERROR(VLOOKUP(B175,'👥 بيانات الموظفين'!$B:$C,2,0),"")</f>
        <v/>
      </c>
      <c r="D175" s="53" t="str">
        <f>IFERROR(VLOOKUP(B175,'👥 بيانات الموظفين'!$B:$E,4,0),"")</f>
        <v/>
      </c>
      <c r="E175" s="68">
        <f>IF(B175="",0,IFERROR(COUNTIFS('📅 الحضور'!$B:$B,B175,'📅 الحضور'!$L:$L,PayPeriod,'📅 الحضور'!$E:$E,"حاضر")+COUNTIFS('📅 الحضور'!$B:$B,B175,'📅 الحضور'!$L:$L,PayPeriod,'📅 الحضور'!$E:$E,"متأخر"),0))</f>
        <v>0</v>
      </c>
      <c r="F175" s="82">
        <f>IFERROR(VLOOKUP(B175,'👥 بيانات الموظفين'!$B:$H,7,0),0)</f>
        <v>0</v>
      </c>
      <c r="G175" s="82">
        <f>IFERROR(VLOOKUP(B175,'👥 بيانات الموظفين'!$B:$I,8,0),0)</f>
        <v>0</v>
      </c>
      <c r="H175" s="82">
        <f>IFERROR(VLOOKUP(B175,'👥 بيانات الموظفين'!$B:$J,9,0),0)</f>
        <v>0</v>
      </c>
      <c r="I175" s="82">
        <f>IF(B175="",0,IFERROR(SUMIFS('➕ الخصومات والمكافآت'!$E:$E,'➕ الخصومات والمكافآت'!$B:$B,B175,'➕ الخصومات والمكافآت'!$F:$F,PayPeriod,'➕ الخصومات والمكافآت'!$C:$C,"مكافأة"),0))</f>
        <v>0</v>
      </c>
      <c r="J175" s="82">
        <f t="shared" si="26"/>
        <v>0</v>
      </c>
      <c r="K175" s="82">
        <f>IF(B175="",0,IFERROR(COUNTIFS('📅 الحضور'!$B:$B,B175,'📅 الحضور'!$L:$L,PayPeriod,'📅 الحضور'!$E:$E,"غائب")*F175/WorkDaysMonth,0))</f>
        <v>0</v>
      </c>
      <c r="L175" s="82">
        <f>IF(B175="",0,IFERROR(SUMIFS('📅 الحضور'!$I:$I,'📅 الحضور'!$B:$B,B175,'📅 الحضور'!$L:$L,PayPeriod)/60/WorkHoursDay*F175/WorkDaysMonth,0))</f>
        <v>0</v>
      </c>
      <c r="M175" s="82">
        <f>IF(B175="",0,IFERROR(SUMIFS('➕ الخصومات والمكافآت'!$E:$E,'➕ الخصومات والمكافآت'!$B:$B,B175,'➕ الخصومات والمكافآت'!$F:$F,PayPeriod,'➕ الخصومات والمكافآت'!$C:$C,"خصم"),0))</f>
        <v>0</v>
      </c>
      <c r="N175" s="82">
        <f t="shared" si="27"/>
        <v>0</v>
      </c>
      <c r="O175" s="94">
        <f t="shared" si="28"/>
        <v>0</v>
      </c>
      <c r="P175" s="53"/>
      <c r="Q175" s="88">
        <f>IF(B175="",0,IFERROR(SUMIFS('📅 الحضور'!$J:$J,'📅 الحضور'!$B:$B,B175,'📅 الحضور'!$L:$L,PayPeriod),0))</f>
        <v>0</v>
      </c>
      <c r="R175" s="89">
        <f t="shared" si="29"/>
        <v>0</v>
      </c>
      <c r="S175" s="89">
        <f>IF(B175="",0,IF(IFERROR(VLOOKUP(B175,'👥 بيانات الموظفين'!$B:$D,3,0),"")="سعودي",MIN(F175+G175,GosiCeiling)*GosiEmpRate,IF(IFERROR(VLOOKUP(B175,'👥 بيانات الموظفين'!$B:$D,3,0),"")="سعودية",MIN(F175+G175,GosiCeiling)*GosiEmpRate,0)))</f>
        <v>0</v>
      </c>
      <c r="T175" s="89">
        <f>IF(B175="",0,IF(OR(IFERROR(VLOOKUP(B175,'👥 بيانات الموظفين'!$B:$D,3,0),"")="سعودي",IFERROR(VLOOKUP(B175,'👥 بيانات الموظفين'!$B:$D,3,0),"")="سعودية"),MIN(F175+G175,GosiCeiling)*GosiCoRate,(F175+G175)*0.02))</f>
        <v>0</v>
      </c>
      <c r="U175" s="89">
        <f>IF(B175="",0,IFERROR(IF(VLOOKUP(B175,'👥 بيانات الموظفين'!$B:$M,12,0)&lt;5,F175/24,F175/12),0))</f>
        <v>0</v>
      </c>
    </row>
    <row r="176" spans="1:21" ht="22.15" customHeight="1" x14ac:dyDescent="0.2">
      <c r="A176" s="57">
        <f t="shared" si="25"/>
        <v>172</v>
      </c>
      <c r="B176" s="57">
        <f>IFERROR('👥 بيانات الموظفين'!B176,"")</f>
        <v>0</v>
      </c>
      <c r="C176" s="57" t="str">
        <f>IFERROR(VLOOKUP(B176,'👥 بيانات الموظفين'!$B:$C,2,0),"")</f>
        <v/>
      </c>
      <c r="D176" s="57" t="str">
        <f>IFERROR(VLOOKUP(B176,'👥 بيانات الموظفين'!$B:$E,4,0),"")</f>
        <v/>
      </c>
      <c r="E176" s="69">
        <f>IF(B176="",0,IFERROR(COUNTIFS('📅 الحضور'!$B:$B,B176,'📅 الحضور'!$L:$L,PayPeriod,'📅 الحضور'!$E:$E,"حاضر")+COUNTIFS('📅 الحضور'!$B:$B,B176,'📅 الحضور'!$L:$L,PayPeriod,'📅 الحضور'!$E:$E,"متأخر"),0))</f>
        <v>0</v>
      </c>
      <c r="F176" s="83">
        <f>IFERROR(VLOOKUP(B176,'👥 بيانات الموظفين'!$B:$H,7,0),0)</f>
        <v>0</v>
      </c>
      <c r="G176" s="83">
        <f>IFERROR(VLOOKUP(B176,'👥 بيانات الموظفين'!$B:$I,8,0),0)</f>
        <v>0</v>
      </c>
      <c r="H176" s="83">
        <f>IFERROR(VLOOKUP(B176,'👥 بيانات الموظفين'!$B:$J,9,0),0)</f>
        <v>0</v>
      </c>
      <c r="I176" s="83">
        <f>IF(B176="",0,IFERROR(SUMIFS('➕ الخصومات والمكافآت'!$E:$E,'➕ الخصومات والمكافآت'!$B:$B,B176,'➕ الخصومات والمكافآت'!$F:$F,PayPeriod,'➕ الخصومات والمكافآت'!$C:$C,"مكافأة"),0))</f>
        <v>0</v>
      </c>
      <c r="J176" s="83">
        <f t="shared" si="26"/>
        <v>0</v>
      </c>
      <c r="K176" s="83">
        <f>IF(B176="",0,IFERROR(COUNTIFS('📅 الحضور'!$B:$B,B176,'📅 الحضور'!$L:$L,PayPeriod,'📅 الحضور'!$E:$E,"غائب")*F176/WorkDaysMonth,0))</f>
        <v>0</v>
      </c>
      <c r="L176" s="83">
        <f>IF(B176="",0,IFERROR(SUMIFS('📅 الحضور'!$I:$I,'📅 الحضور'!$B:$B,B176,'📅 الحضور'!$L:$L,PayPeriod)/60/WorkHoursDay*F176/WorkDaysMonth,0))</f>
        <v>0</v>
      </c>
      <c r="M176" s="83">
        <f>IF(B176="",0,IFERROR(SUMIFS('➕ الخصومات والمكافآت'!$E:$E,'➕ الخصومات والمكافآت'!$B:$B,B176,'➕ الخصومات والمكافآت'!$F:$F,PayPeriod,'➕ الخصومات والمكافآت'!$C:$C,"خصم"),0))</f>
        <v>0</v>
      </c>
      <c r="N176" s="83">
        <f t="shared" si="27"/>
        <v>0</v>
      </c>
      <c r="O176" s="95">
        <f t="shared" si="28"/>
        <v>0</v>
      </c>
      <c r="P176" s="57"/>
      <c r="Q176" s="90">
        <f>IF(B176="",0,IFERROR(SUMIFS('📅 الحضور'!$J:$J,'📅 الحضور'!$B:$B,B176,'📅 الحضور'!$L:$L,PayPeriod),0))</f>
        <v>0</v>
      </c>
      <c r="R176" s="91">
        <f t="shared" si="29"/>
        <v>0</v>
      </c>
      <c r="S176" s="91">
        <f>IF(B176="",0,IF(IFERROR(VLOOKUP(B176,'👥 بيانات الموظفين'!$B:$D,3,0),"")="سعودي",MIN(F176+G176,GosiCeiling)*GosiEmpRate,IF(IFERROR(VLOOKUP(B176,'👥 بيانات الموظفين'!$B:$D,3,0),"")="سعودية",MIN(F176+G176,GosiCeiling)*GosiEmpRate,0)))</f>
        <v>0</v>
      </c>
      <c r="T176" s="91">
        <f>IF(B176="",0,IF(OR(IFERROR(VLOOKUP(B176,'👥 بيانات الموظفين'!$B:$D,3,0),"")="سعودي",IFERROR(VLOOKUP(B176,'👥 بيانات الموظفين'!$B:$D,3,0),"")="سعودية"),MIN(F176+G176,GosiCeiling)*GosiCoRate,(F176+G176)*0.02))</f>
        <v>0</v>
      </c>
      <c r="U176" s="91">
        <f>IF(B176="",0,IFERROR(IF(VLOOKUP(B176,'👥 بيانات الموظفين'!$B:$M,12,0)&lt;5,F176/24,F176/12),0))</f>
        <v>0</v>
      </c>
    </row>
    <row r="177" spans="1:21" ht="22.15" customHeight="1" x14ac:dyDescent="0.2">
      <c r="A177" s="53">
        <f t="shared" si="25"/>
        <v>173</v>
      </c>
      <c r="B177" s="53">
        <f>IFERROR('👥 بيانات الموظفين'!B177,"")</f>
        <v>0</v>
      </c>
      <c r="C177" s="53" t="str">
        <f>IFERROR(VLOOKUP(B177,'👥 بيانات الموظفين'!$B:$C,2,0),"")</f>
        <v/>
      </c>
      <c r="D177" s="53" t="str">
        <f>IFERROR(VLOOKUP(B177,'👥 بيانات الموظفين'!$B:$E,4,0),"")</f>
        <v/>
      </c>
      <c r="E177" s="68">
        <f>IF(B177="",0,IFERROR(COUNTIFS('📅 الحضور'!$B:$B,B177,'📅 الحضور'!$L:$L,PayPeriod,'📅 الحضور'!$E:$E,"حاضر")+COUNTIFS('📅 الحضور'!$B:$B,B177,'📅 الحضور'!$L:$L,PayPeriod,'📅 الحضور'!$E:$E,"متأخر"),0))</f>
        <v>0</v>
      </c>
      <c r="F177" s="82">
        <f>IFERROR(VLOOKUP(B177,'👥 بيانات الموظفين'!$B:$H,7,0),0)</f>
        <v>0</v>
      </c>
      <c r="G177" s="82">
        <f>IFERROR(VLOOKUP(B177,'👥 بيانات الموظفين'!$B:$I,8,0),0)</f>
        <v>0</v>
      </c>
      <c r="H177" s="82">
        <f>IFERROR(VLOOKUP(B177,'👥 بيانات الموظفين'!$B:$J,9,0),0)</f>
        <v>0</v>
      </c>
      <c r="I177" s="82">
        <f>IF(B177="",0,IFERROR(SUMIFS('➕ الخصومات والمكافآت'!$E:$E,'➕ الخصومات والمكافآت'!$B:$B,B177,'➕ الخصومات والمكافآت'!$F:$F,PayPeriod,'➕ الخصومات والمكافآت'!$C:$C,"مكافأة"),0))</f>
        <v>0</v>
      </c>
      <c r="J177" s="82">
        <f t="shared" si="26"/>
        <v>0</v>
      </c>
      <c r="K177" s="82">
        <f>IF(B177="",0,IFERROR(COUNTIFS('📅 الحضور'!$B:$B,B177,'📅 الحضور'!$L:$L,PayPeriod,'📅 الحضور'!$E:$E,"غائب")*F177/WorkDaysMonth,0))</f>
        <v>0</v>
      </c>
      <c r="L177" s="82">
        <f>IF(B177="",0,IFERROR(SUMIFS('📅 الحضور'!$I:$I,'📅 الحضور'!$B:$B,B177,'📅 الحضور'!$L:$L,PayPeriod)/60/WorkHoursDay*F177/WorkDaysMonth,0))</f>
        <v>0</v>
      </c>
      <c r="M177" s="82">
        <f>IF(B177="",0,IFERROR(SUMIFS('➕ الخصومات والمكافآت'!$E:$E,'➕ الخصومات والمكافآت'!$B:$B,B177,'➕ الخصومات والمكافآت'!$F:$F,PayPeriod,'➕ الخصومات والمكافآت'!$C:$C,"خصم"),0))</f>
        <v>0</v>
      </c>
      <c r="N177" s="82">
        <f t="shared" si="27"/>
        <v>0</v>
      </c>
      <c r="O177" s="94">
        <f t="shared" si="28"/>
        <v>0</v>
      </c>
      <c r="P177" s="53"/>
      <c r="Q177" s="88">
        <f>IF(B177="",0,IFERROR(SUMIFS('📅 الحضور'!$J:$J,'📅 الحضور'!$B:$B,B177,'📅 الحضور'!$L:$L,PayPeriod),0))</f>
        <v>0</v>
      </c>
      <c r="R177" s="89">
        <f t="shared" si="29"/>
        <v>0</v>
      </c>
      <c r="S177" s="89">
        <f>IF(B177="",0,IF(IFERROR(VLOOKUP(B177,'👥 بيانات الموظفين'!$B:$D,3,0),"")="سعودي",MIN(F177+G177,GosiCeiling)*GosiEmpRate,IF(IFERROR(VLOOKUP(B177,'👥 بيانات الموظفين'!$B:$D,3,0),"")="سعودية",MIN(F177+G177,GosiCeiling)*GosiEmpRate,0)))</f>
        <v>0</v>
      </c>
      <c r="T177" s="89">
        <f>IF(B177="",0,IF(OR(IFERROR(VLOOKUP(B177,'👥 بيانات الموظفين'!$B:$D,3,0),"")="سعودي",IFERROR(VLOOKUP(B177,'👥 بيانات الموظفين'!$B:$D,3,0),"")="سعودية"),MIN(F177+G177,GosiCeiling)*GosiCoRate,(F177+G177)*0.02))</f>
        <v>0</v>
      </c>
      <c r="U177" s="89">
        <f>IF(B177="",0,IFERROR(IF(VLOOKUP(B177,'👥 بيانات الموظفين'!$B:$M,12,0)&lt;5,F177/24,F177/12),0))</f>
        <v>0</v>
      </c>
    </row>
    <row r="178" spans="1:21" ht="22.15" customHeight="1" x14ac:dyDescent="0.2">
      <c r="A178" s="57">
        <f t="shared" si="25"/>
        <v>174</v>
      </c>
      <c r="B178" s="57">
        <f>IFERROR('👥 بيانات الموظفين'!B178,"")</f>
        <v>0</v>
      </c>
      <c r="C178" s="57" t="str">
        <f>IFERROR(VLOOKUP(B178,'👥 بيانات الموظفين'!$B:$C,2,0),"")</f>
        <v/>
      </c>
      <c r="D178" s="57" t="str">
        <f>IFERROR(VLOOKUP(B178,'👥 بيانات الموظفين'!$B:$E,4,0),"")</f>
        <v/>
      </c>
      <c r="E178" s="69">
        <f>IF(B178="",0,IFERROR(COUNTIFS('📅 الحضور'!$B:$B,B178,'📅 الحضور'!$L:$L,PayPeriod,'📅 الحضور'!$E:$E,"حاضر")+COUNTIFS('📅 الحضور'!$B:$B,B178,'📅 الحضور'!$L:$L,PayPeriod,'📅 الحضور'!$E:$E,"متأخر"),0))</f>
        <v>0</v>
      </c>
      <c r="F178" s="83">
        <f>IFERROR(VLOOKUP(B178,'👥 بيانات الموظفين'!$B:$H,7,0),0)</f>
        <v>0</v>
      </c>
      <c r="G178" s="83">
        <f>IFERROR(VLOOKUP(B178,'👥 بيانات الموظفين'!$B:$I,8,0),0)</f>
        <v>0</v>
      </c>
      <c r="H178" s="83">
        <f>IFERROR(VLOOKUP(B178,'👥 بيانات الموظفين'!$B:$J,9,0),0)</f>
        <v>0</v>
      </c>
      <c r="I178" s="83">
        <f>IF(B178="",0,IFERROR(SUMIFS('➕ الخصومات والمكافآت'!$E:$E,'➕ الخصومات والمكافآت'!$B:$B,B178,'➕ الخصومات والمكافآت'!$F:$F,PayPeriod,'➕ الخصومات والمكافآت'!$C:$C,"مكافأة"),0))</f>
        <v>0</v>
      </c>
      <c r="J178" s="83">
        <f t="shared" si="26"/>
        <v>0</v>
      </c>
      <c r="K178" s="83">
        <f>IF(B178="",0,IFERROR(COUNTIFS('📅 الحضور'!$B:$B,B178,'📅 الحضور'!$L:$L,PayPeriod,'📅 الحضور'!$E:$E,"غائب")*F178/WorkDaysMonth,0))</f>
        <v>0</v>
      </c>
      <c r="L178" s="83">
        <f>IF(B178="",0,IFERROR(SUMIFS('📅 الحضور'!$I:$I,'📅 الحضور'!$B:$B,B178,'📅 الحضور'!$L:$L,PayPeriod)/60/WorkHoursDay*F178/WorkDaysMonth,0))</f>
        <v>0</v>
      </c>
      <c r="M178" s="83">
        <f>IF(B178="",0,IFERROR(SUMIFS('➕ الخصومات والمكافآت'!$E:$E,'➕ الخصومات والمكافآت'!$B:$B,B178,'➕ الخصومات والمكافآت'!$F:$F,PayPeriod,'➕ الخصومات والمكافآت'!$C:$C,"خصم"),0))</f>
        <v>0</v>
      </c>
      <c r="N178" s="83">
        <f t="shared" si="27"/>
        <v>0</v>
      </c>
      <c r="O178" s="95">
        <f t="shared" si="28"/>
        <v>0</v>
      </c>
      <c r="P178" s="57"/>
      <c r="Q178" s="90">
        <f>IF(B178="",0,IFERROR(SUMIFS('📅 الحضور'!$J:$J,'📅 الحضور'!$B:$B,B178,'📅 الحضور'!$L:$L,PayPeriod),0))</f>
        <v>0</v>
      </c>
      <c r="R178" s="91">
        <f t="shared" si="29"/>
        <v>0</v>
      </c>
      <c r="S178" s="91">
        <f>IF(B178="",0,IF(IFERROR(VLOOKUP(B178,'👥 بيانات الموظفين'!$B:$D,3,0),"")="سعودي",MIN(F178+G178,GosiCeiling)*GosiEmpRate,IF(IFERROR(VLOOKUP(B178,'👥 بيانات الموظفين'!$B:$D,3,0),"")="سعودية",MIN(F178+G178,GosiCeiling)*GosiEmpRate,0)))</f>
        <v>0</v>
      </c>
      <c r="T178" s="91">
        <f>IF(B178="",0,IF(OR(IFERROR(VLOOKUP(B178,'👥 بيانات الموظفين'!$B:$D,3,0),"")="سعودي",IFERROR(VLOOKUP(B178,'👥 بيانات الموظفين'!$B:$D,3,0),"")="سعودية"),MIN(F178+G178,GosiCeiling)*GosiCoRate,(F178+G178)*0.02))</f>
        <v>0</v>
      </c>
      <c r="U178" s="91">
        <f>IF(B178="",0,IFERROR(IF(VLOOKUP(B178,'👥 بيانات الموظفين'!$B:$M,12,0)&lt;5,F178/24,F178/12),0))</f>
        <v>0</v>
      </c>
    </row>
    <row r="179" spans="1:21" ht="22.15" customHeight="1" x14ac:dyDescent="0.2">
      <c r="A179" s="53">
        <f t="shared" si="25"/>
        <v>175</v>
      </c>
      <c r="B179" s="53">
        <f>IFERROR('👥 بيانات الموظفين'!B179,"")</f>
        <v>0</v>
      </c>
      <c r="C179" s="53" t="str">
        <f>IFERROR(VLOOKUP(B179,'👥 بيانات الموظفين'!$B:$C,2,0),"")</f>
        <v/>
      </c>
      <c r="D179" s="53" t="str">
        <f>IFERROR(VLOOKUP(B179,'👥 بيانات الموظفين'!$B:$E,4,0),"")</f>
        <v/>
      </c>
      <c r="E179" s="68">
        <f>IF(B179="",0,IFERROR(COUNTIFS('📅 الحضور'!$B:$B,B179,'📅 الحضور'!$L:$L,PayPeriod,'📅 الحضور'!$E:$E,"حاضر")+COUNTIFS('📅 الحضور'!$B:$B,B179,'📅 الحضور'!$L:$L,PayPeriod,'📅 الحضور'!$E:$E,"متأخر"),0))</f>
        <v>0</v>
      </c>
      <c r="F179" s="82">
        <f>IFERROR(VLOOKUP(B179,'👥 بيانات الموظفين'!$B:$H,7,0),0)</f>
        <v>0</v>
      </c>
      <c r="G179" s="82">
        <f>IFERROR(VLOOKUP(B179,'👥 بيانات الموظفين'!$B:$I,8,0),0)</f>
        <v>0</v>
      </c>
      <c r="H179" s="82">
        <f>IFERROR(VLOOKUP(B179,'👥 بيانات الموظفين'!$B:$J,9,0),0)</f>
        <v>0</v>
      </c>
      <c r="I179" s="82">
        <f>IF(B179="",0,IFERROR(SUMIFS('➕ الخصومات والمكافآت'!$E:$E,'➕ الخصومات والمكافآت'!$B:$B,B179,'➕ الخصومات والمكافآت'!$F:$F,PayPeriod,'➕ الخصومات والمكافآت'!$C:$C,"مكافأة"),0))</f>
        <v>0</v>
      </c>
      <c r="J179" s="82">
        <f t="shared" si="26"/>
        <v>0</v>
      </c>
      <c r="K179" s="82">
        <f>IF(B179="",0,IFERROR(COUNTIFS('📅 الحضور'!$B:$B,B179,'📅 الحضور'!$L:$L,PayPeriod,'📅 الحضور'!$E:$E,"غائب")*F179/WorkDaysMonth,0))</f>
        <v>0</v>
      </c>
      <c r="L179" s="82">
        <f>IF(B179="",0,IFERROR(SUMIFS('📅 الحضور'!$I:$I,'📅 الحضور'!$B:$B,B179,'📅 الحضور'!$L:$L,PayPeriod)/60/WorkHoursDay*F179/WorkDaysMonth,0))</f>
        <v>0</v>
      </c>
      <c r="M179" s="82">
        <f>IF(B179="",0,IFERROR(SUMIFS('➕ الخصومات والمكافآت'!$E:$E,'➕ الخصومات والمكافآت'!$B:$B,B179,'➕ الخصومات والمكافآت'!$F:$F,PayPeriod,'➕ الخصومات والمكافآت'!$C:$C,"خصم"),0))</f>
        <v>0</v>
      </c>
      <c r="N179" s="82">
        <f t="shared" si="27"/>
        <v>0</v>
      </c>
      <c r="O179" s="94">
        <f t="shared" si="28"/>
        <v>0</v>
      </c>
      <c r="P179" s="53"/>
      <c r="Q179" s="88">
        <f>IF(B179="",0,IFERROR(SUMIFS('📅 الحضور'!$J:$J,'📅 الحضور'!$B:$B,B179,'📅 الحضور'!$L:$L,PayPeriod),0))</f>
        <v>0</v>
      </c>
      <c r="R179" s="89">
        <f t="shared" si="29"/>
        <v>0</v>
      </c>
      <c r="S179" s="89">
        <f>IF(B179="",0,IF(IFERROR(VLOOKUP(B179,'👥 بيانات الموظفين'!$B:$D,3,0),"")="سعودي",MIN(F179+G179,GosiCeiling)*GosiEmpRate,IF(IFERROR(VLOOKUP(B179,'👥 بيانات الموظفين'!$B:$D,3,0),"")="سعودية",MIN(F179+G179,GosiCeiling)*GosiEmpRate,0)))</f>
        <v>0</v>
      </c>
      <c r="T179" s="89">
        <f>IF(B179="",0,IF(OR(IFERROR(VLOOKUP(B179,'👥 بيانات الموظفين'!$B:$D,3,0),"")="سعودي",IFERROR(VLOOKUP(B179,'👥 بيانات الموظفين'!$B:$D,3,0),"")="سعودية"),MIN(F179+G179,GosiCeiling)*GosiCoRate,(F179+G179)*0.02))</f>
        <v>0</v>
      </c>
      <c r="U179" s="89">
        <f>IF(B179="",0,IFERROR(IF(VLOOKUP(B179,'👥 بيانات الموظفين'!$B:$M,12,0)&lt;5,F179/24,F179/12),0))</f>
        <v>0</v>
      </c>
    </row>
    <row r="180" spans="1:21" ht="22.15" customHeight="1" x14ac:dyDescent="0.2">
      <c r="A180" s="57">
        <f t="shared" si="25"/>
        <v>176</v>
      </c>
      <c r="B180" s="57">
        <f>IFERROR('👥 بيانات الموظفين'!B180,"")</f>
        <v>0</v>
      </c>
      <c r="C180" s="57" t="str">
        <f>IFERROR(VLOOKUP(B180,'👥 بيانات الموظفين'!$B:$C,2,0),"")</f>
        <v/>
      </c>
      <c r="D180" s="57" t="str">
        <f>IFERROR(VLOOKUP(B180,'👥 بيانات الموظفين'!$B:$E,4,0),"")</f>
        <v/>
      </c>
      <c r="E180" s="69">
        <f>IF(B180="",0,IFERROR(COUNTIFS('📅 الحضور'!$B:$B,B180,'📅 الحضور'!$L:$L,PayPeriod,'📅 الحضور'!$E:$E,"حاضر")+COUNTIFS('📅 الحضور'!$B:$B,B180,'📅 الحضور'!$L:$L,PayPeriod,'📅 الحضور'!$E:$E,"متأخر"),0))</f>
        <v>0</v>
      </c>
      <c r="F180" s="83">
        <f>IFERROR(VLOOKUP(B180,'👥 بيانات الموظفين'!$B:$H,7,0),0)</f>
        <v>0</v>
      </c>
      <c r="G180" s="83">
        <f>IFERROR(VLOOKUP(B180,'👥 بيانات الموظفين'!$B:$I,8,0),0)</f>
        <v>0</v>
      </c>
      <c r="H180" s="83">
        <f>IFERROR(VLOOKUP(B180,'👥 بيانات الموظفين'!$B:$J,9,0),0)</f>
        <v>0</v>
      </c>
      <c r="I180" s="83">
        <f>IF(B180="",0,IFERROR(SUMIFS('➕ الخصومات والمكافآت'!$E:$E,'➕ الخصومات والمكافآت'!$B:$B,B180,'➕ الخصومات والمكافآت'!$F:$F,PayPeriod,'➕ الخصومات والمكافآت'!$C:$C,"مكافأة"),0))</f>
        <v>0</v>
      </c>
      <c r="J180" s="83">
        <f t="shared" si="26"/>
        <v>0</v>
      </c>
      <c r="K180" s="83">
        <f>IF(B180="",0,IFERROR(COUNTIFS('📅 الحضور'!$B:$B,B180,'📅 الحضور'!$L:$L,PayPeriod,'📅 الحضور'!$E:$E,"غائب")*F180/WorkDaysMonth,0))</f>
        <v>0</v>
      </c>
      <c r="L180" s="83">
        <f>IF(B180="",0,IFERROR(SUMIFS('📅 الحضور'!$I:$I,'📅 الحضور'!$B:$B,B180,'📅 الحضور'!$L:$L,PayPeriod)/60/WorkHoursDay*F180/WorkDaysMonth,0))</f>
        <v>0</v>
      </c>
      <c r="M180" s="83">
        <f>IF(B180="",0,IFERROR(SUMIFS('➕ الخصومات والمكافآت'!$E:$E,'➕ الخصومات والمكافآت'!$B:$B,B180,'➕ الخصومات والمكافآت'!$F:$F,PayPeriod,'➕ الخصومات والمكافآت'!$C:$C,"خصم"),0))</f>
        <v>0</v>
      </c>
      <c r="N180" s="83">
        <f t="shared" si="27"/>
        <v>0</v>
      </c>
      <c r="O180" s="95">
        <f t="shared" si="28"/>
        <v>0</v>
      </c>
      <c r="P180" s="57"/>
      <c r="Q180" s="90">
        <f>IF(B180="",0,IFERROR(SUMIFS('📅 الحضور'!$J:$J,'📅 الحضور'!$B:$B,B180,'📅 الحضور'!$L:$L,PayPeriod),0))</f>
        <v>0</v>
      </c>
      <c r="R180" s="91">
        <f t="shared" si="29"/>
        <v>0</v>
      </c>
      <c r="S180" s="91">
        <f>IF(B180="",0,IF(IFERROR(VLOOKUP(B180,'👥 بيانات الموظفين'!$B:$D,3,0),"")="سعودي",MIN(F180+G180,GosiCeiling)*GosiEmpRate,IF(IFERROR(VLOOKUP(B180,'👥 بيانات الموظفين'!$B:$D,3,0),"")="سعودية",MIN(F180+G180,GosiCeiling)*GosiEmpRate,0)))</f>
        <v>0</v>
      </c>
      <c r="T180" s="91">
        <f>IF(B180="",0,IF(OR(IFERROR(VLOOKUP(B180,'👥 بيانات الموظفين'!$B:$D,3,0),"")="سعودي",IFERROR(VLOOKUP(B180,'👥 بيانات الموظفين'!$B:$D,3,0),"")="سعودية"),MIN(F180+G180,GosiCeiling)*GosiCoRate,(F180+G180)*0.02))</f>
        <v>0</v>
      </c>
      <c r="U180" s="91">
        <f>IF(B180="",0,IFERROR(IF(VLOOKUP(B180,'👥 بيانات الموظفين'!$B:$M,12,0)&lt;5,F180/24,F180/12),0))</f>
        <v>0</v>
      </c>
    </row>
    <row r="181" spans="1:21" ht="22.15" customHeight="1" x14ac:dyDescent="0.2">
      <c r="A181" s="53">
        <f t="shared" si="25"/>
        <v>177</v>
      </c>
      <c r="B181" s="53">
        <f>IFERROR('👥 بيانات الموظفين'!B181,"")</f>
        <v>0</v>
      </c>
      <c r="C181" s="53" t="str">
        <f>IFERROR(VLOOKUP(B181,'👥 بيانات الموظفين'!$B:$C,2,0),"")</f>
        <v/>
      </c>
      <c r="D181" s="53" t="str">
        <f>IFERROR(VLOOKUP(B181,'👥 بيانات الموظفين'!$B:$E,4,0),"")</f>
        <v/>
      </c>
      <c r="E181" s="68">
        <f>IF(B181="",0,IFERROR(COUNTIFS('📅 الحضور'!$B:$B,B181,'📅 الحضور'!$L:$L,PayPeriod,'📅 الحضور'!$E:$E,"حاضر")+COUNTIFS('📅 الحضور'!$B:$B,B181,'📅 الحضور'!$L:$L,PayPeriod,'📅 الحضور'!$E:$E,"متأخر"),0))</f>
        <v>0</v>
      </c>
      <c r="F181" s="82">
        <f>IFERROR(VLOOKUP(B181,'👥 بيانات الموظفين'!$B:$H,7,0),0)</f>
        <v>0</v>
      </c>
      <c r="G181" s="82">
        <f>IFERROR(VLOOKUP(B181,'👥 بيانات الموظفين'!$B:$I,8,0),0)</f>
        <v>0</v>
      </c>
      <c r="H181" s="82">
        <f>IFERROR(VLOOKUP(B181,'👥 بيانات الموظفين'!$B:$J,9,0),0)</f>
        <v>0</v>
      </c>
      <c r="I181" s="82">
        <f>IF(B181="",0,IFERROR(SUMIFS('➕ الخصومات والمكافآت'!$E:$E,'➕ الخصومات والمكافآت'!$B:$B,B181,'➕ الخصومات والمكافآت'!$F:$F,PayPeriod,'➕ الخصومات والمكافآت'!$C:$C,"مكافأة"),0))</f>
        <v>0</v>
      </c>
      <c r="J181" s="82">
        <f t="shared" si="26"/>
        <v>0</v>
      </c>
      <c r="K181" s="82">
        <f>IF(B181="",0,IFERROR(COUNTIFS('📅 الحضور'!$B:$B,B181,'📅 الحضور'!$L:$L,PayPeriod,'📅 الحضور'!$E:$E,"غائب")*F181/WorkDaysMonth,0))</f>
        <v>0</v>
      </c>
      <c r="L181" s="82">
        <f>IF(B181="",0,IFERROR(SUMIFS('📅 الحضور'!$I:$I,'📅 الحضور'!$B:$B,B181,'📅 الحضور'!$L:$L,PayPeriod)/60/WorkHoursDay*F181/WorkDaysMonth,0))</f>
        <v>0</v>
      </c>
      <c r="M181" s="82">
        <f>IF(B181="",0,IFERROR(SUMIFS('➕ الخصومات والمكافآت'!$E:$E,'➕ الخصومات والمكافآت'!$B:$B,B181,'➕ الخصومات والمكافآت'!$F:$F,PayPeriod,'➕ الخصومات والمكافآت'!$C:$C,"خصم"),0))</f>
        <v>0</v>
      </c>
      <c r="N181" s="82">
        <f t="shared" si="27"/>
        <v>0</v>
      </c>
      <c r="O181" s="94">
        <f t="shared" si="28"/>
        <v>0</v>
      </c>
      <c r="P181" s="53"/>
      <c r="Q181" s="88">
        <f>IF(B181="",0,IFERROR(SUMIFS('📅 الحضور'!$J:$J,'📅 الحضور'!$B:$B,B181,'📅 الحضور'!$L:$L,PayPeriod),0))</f>
        <v>0</v>
      </c>
      <c r="R181" s="89">
        <f t="shared" si="29"/>
        <v>0</v>
      </c>
      <c r="S181" s="89">
        <f>IF(B181="",0,IF(IFERROR(VLOOKUP(B181,'👥 بيانات الموظفين'!$B:$D,3,0),"")="سعودي",MIN(F181+G181,GosiCeiling)*GosiEmpRate,IF(IFERROR(VLOOKUP(B181,'👥 بيانات الموظفين'!$B:$D,3,0),"")="سعودية",MIN(F181+G181,GosiCeiling)*GosiEmpRate,0)))</f>
        <v>0</v>
      </c>
      <c r="T181" s="89">
        <f>IF(B181="",0,IF(OR(IFERROR(VLOOKUP(B181,'👥 بيانات الموظفين'!$B:$D,3,0),"")="سعودي",IFERROR(VLOOKUP(B181,'👥 بيانات الموظفين'!$B:$D,3,0),"")="سعودية"),MIN(F181+G181,GosiCeiling)*GosiCoRate,(F181+G181)*0.02))</f>
        <v>0</v>
      </c>
      <c r="U181" s="89">
        <f>IF(B181="",0,IFERROR(IF(VLOOKUP(B181,'👥 بيانات الموظفين'!$B:$M,12,0)&lt;5,F181/24,F181/12),0))</f>
        <v>0</v>
      </c>
    </row>
    <row r="182" spans="1:21" ht="22.15" customHeight="1" x14ac:dyDescent="0.2">
      <c r="A182" s="57">
        <f t="shared" si="25"/>
        <v>178</v>
      </c>
      <c r="B182" s="57">
        <f>IFERROR('👥 بيانات الموظفين'!B182,"")</f>
        <v>0</v>
      </c>
      <c r="C182" s="57" t="str">
        <f>IFERROR(VLOOKUP(B182,'👥 بيانات الموظفين'!$B:$C,2,0),"")</f>
        <v/>
      </c>
      <c r="D182" s="57" t="str">
        <f>IFERROR(VLOOKUP(B182,'👥 بيانات الموظفين'!$B:$E,4,0),"")</f>
        <v/>
      </c>
      <c r="E182" s="69">
        <f>IF(B182="",0,IFERROR(COUNTIFS('📅 الحضور'!$B:$B,B182,'📅 الحضور'!$L:$L,PayPeriod,'📅 الحضور'!$E:$E,"حاضر")+COUNTIFS('📅 الحضور'!$B:$B,B182,'📅 الحضور'!$L:$L,PayPeriod,'📅 الحضور'!$E:$E,"متأخر"),0))</f>
        <v>0</v>
      </c>
      <c r="F182" s="83">
        <f>IFERROR(VLOOKUP(B182,'👥 بيانات الموظفين'!$B:$H,7,0),0)</f>
        <v>0</v>
      </c>
      <c r="G182" s="83">
        <f>IFERROR(VLOOKUP(B182,'👥 بيانات الموظفين'!$B:$I,8,0),0)</f>
        <v>0</v>
      </c>
      <c r="H182" s="83">
        <f>IFERROR(VLOOKUP(B182,'👥 بيانات الموظفين'!$B:$J,9,0),0)</f>
        <v>0</v>
      </c>
      <c r="I182" s="83">
        <f>IF(B182="",0,IFERROR(SUMIFS('➕ الخصومات والمكافآت'!$E:$E,'➕ الخصومات والمكافآت'!$B:$B,B182,'➕ الخصومات والمكافآت'!$F:$F,PayPeriod,'➕ الخصومات والمكافآت'!$C:$C,"مكافأة"),0))</f>
        <v>0</v>
      </c>
      <c r="J182" s="83">
        <f t="shared" si="26"/>
        <v>0</v>
      </c>
      <c r="K182" s="83">
        <f>IF(B182="",0,IFERROR(COUNTIFS('📅 الحضور'!$B:$B,B182,'📅 الحضور'!$L:$L,PayPeriod,'📅 الحضور'!$E:$E,"غائب")*F182/WorkDaysMonth,0))</f>
        <v>0</v>
      </c>
      <c r="L182" s="83">
        <f>IF(B182="",0,IFERROR(SUMIFS('📅 الحضور'!$I:$I,'📅 الحضور'!$B:$B,B182,'📅 الحضور'!$L:$L,PayPeriod)/60/WorkHoursDay*F182/WorkDaysMonth,0))</f>
        <v>0</v>
      </c>
      <c r="M182" s="83">
        <f>IF(B182="",0,IFERROR(SUMIFS('➕ الخصومات والمكافآت'!$E:$E,'➕ الخصومات والمكافآت'!$B:$B,B182,'➕ الخصومات والمكافآت'!$F:$F,PayPeriod,'➕ الخصومات والمكافآت'!$C:$C,"خصم"),0))</f>
        <v>0</v>
      </c>
      <c r="N182" s="83">
        <f t="shared" si="27"/>
        <v>0</v>
      </c>
      <c r="O182" s="95">
        <f t="shared" si="28"/>
        <v>0</v>
      </c>
      <c r="P182" s="57"/>
      <c r="Q182" s="90">
        <f>IF(B182="",0,IFERROR(SUMIFS('📅 الحضور'!$J:$J,'📅 الحضور'!$B:$B,B182,'📅 الحضور'!$L:$L,PayPeriod),0))</f>
        <v>0</v>
      </c>
      <c r="R182" s="91">
        <f t="shared" si="29"/>
        <v>0</v>
      </c>
      <c r="S182" s="91">
        <f>IF(B182="",0,IF(IFERROR(VLOOKUP(B182,'👥 بيانات الموظفين'!$B:$D,3,0),"")="سعودي",MIN(F182+G182,GosiCeiling)*GosiEmpRate,IF(IFERROR(VLOOKUP(B182,'👥 بيانات الموظفين'!$B:$D,3,0),"")="سعودية",MIN(F182+G182,GosiCeiling)*GosiEmpRate,0)))</f>
        <v>0</v>
      </c>
      <c r="T182" s="91">
        <f>IF(B182="",0,IF(OR(IFERROR(VLOOKUP(B182,'👥 بيانات الموظفين'!$B:$D,3,0),"")="سعودي",IFERROR(VLOOKUP(B182,'👥 بيانات الموظفين'!$B:$D,3,0),"")="سعودية"),MIN(F182+G182,GosiCeiling)*GosiCoRate,(F182+G182)*0.02))</f>
        <v>0</v>
      </c>
      <c r="U182" s="91">
        <f>IF(B182="",0,IFERROR(IF(VLOOKUP(B182,'👥 بيانات الموظفين'!$B:$M,12,0)&lt;5,F182/24,F182/12),0))</f>
        <v>0</v>
      </c>
    </row>
    <row r="183" spans="1:21" ht="22.15" customHeight="1" x14ac:dyDescent="0.2">
      <c r="A183" s="53">
        <f t="shared" si="25"/>
        <v>179</v>
      </c>
      <c r="B183" s="53">
        <f>IFERROR('👥 بيانات الموظفين'!B183,"")</f>
        <v>0</v>
      </c>
      <c r="C183" s="53" t="str">
        <f>IFERROR(VLOOKUP(B183,'👥 بيانات الموظفين'!$B:$C,2,0),"")</f>
        <v/>
      </c>
      <c r="D183" s="53" t="str">
        <f>IFERROR(VLOOKUP(B183,'👥 بيانات الموظفين'!$B:$E,4,0),"")</f>
        <v/>
      </c>
      <c r="E183" s="68">
        <f>IF(B183="",0,IFERROR(COUNTIFS('📅 الحضور'!$B:$B,B183,'📅 الحضور'!$L:$L,PayPeriod,'📅 الحضور'!$E:$E,"حاضر")+COUNTIFS('📅 الحضور'!$B:$B,B183,'📅 الحضور'!$L:$L,PayPeriod,'📅 الحضور'!$E:$E,"متأخر"),0))</f>
        <v>0</v>
      </c>
      <c r="F183" s="82">
        <f>IFERROR(VLOOKUP(B183,'👥 بيانات الموظفين'!$B:$H,7,0),0)</f>
        <v>0</v>
      </c>
      <c r="G183" s="82">
        <f>IFERROR(VLOOKUP(B183,'👥 بيانات الموظفين'!$B:$I,8,0),0)</f>
        <v>0</v>
      </c>
      <c r="H183" s="82">
        <f>IFERROR(VLOOKUP(B183,'👥 بيانات الموظفين'!$B:$J,9,0),0)</f>
        <v>0</v>
      </c>
      <c r="I183" s="82">
        <f>IF(B183="",0,IFERROR(SUMIFS('➕ الخصومات والمكافآت'!$E:$E,'➕ الخصومات والمكافآت'!$B:$B,B183,'➕ الخصومات والمكافآت'!$F:$F,PayPeriod,'➕ الخصومات والمكافآت'!$C:$C,"مكافأة"),0))</f>
        <v>0</v>
      </c>
      <c r="J183" s="82">
        <f t="shared" si="26"/>
        <v>0</v>
      </c>
      <c r="K183" s="82">
        <f>IF(B183="",0,IFERROR(COUNTIFS('📅 الحضور'!$B:$B,B183,'📅 الحضور'!$L:$L,PayPeriod,'📅 الحضور'!$E:$E,"غائب")*F183/WorkDaysMonth,0))</f>
        <v>0</v>
      </c>
      <c r="L183" s="82">
        <f>IF(B183="",0,IFERROR(SUMIFS('📅 الحضور'!$I:$I,'📅 الحضور'!$B:$B,B183,'📅 الحضور'!$L:$L,PayPeriod)/60/WorkHoursDay*F183/WorkDaysMonth,0))</f>
        <v>0</v>
      </c>
      <c r="M183" s="82">
        <f>IF(B183="",0,IFERROR(SUMIFS('➕ الخصومات والمكافآت'!$E:$E,'➕ الخصومات والمكافآت'!$B:$B,B183,'➕ الخصومات والمكافآت'!$F:$F,PayPeriod,'➕ الخصومات والمكافآت'!$C:$C,"خصم"),0))</f>
        <v>0</v>
      </c>
      <c r="N183" s="82">
        <f t="shared" si="27"/>
        <v>0</v>
      </c>
      <c r="O183" s="94">
        <f t="shared" si="28"/>
        <v>0</v>
      </c>
      <c r="P183" s="53"/>
      <c r="Q183" s="88">
        <f>IF(B183="",0,IFERROR(SUMIFS('📅 الحضور'!$J:$J,'📅 الحضور'!$B:$B,B183,'📅 الحضور'!$L:$L,PayPeriod),0))</f>
        <v>0</v>
      </c>
      <c r="R183" s="89">
        <f t="shared" si="29"/>
        <v>0</v>
      </c>
      <c r="S183" s="89">
        <f>IF(B183="",0,IF(IFERROR(VLOOKUP(B183,'👥 بيانات الموظفين'!$B:$D,3,0),"")="سعودي",MIN(F183+G183,GosiCeiling)*GosiEmpRate,IF(IFERROR(VLOOKUP(B183,'👥 بيانات الموظفين'!$B:$D,3,0),"")="سعودية",MIN(F183+G183,GosiCeiling)*GosiEmpRate,0)))</f>
        <v>0</v>
      </c>
      <c r="T183" s="89">
        <f>IF(B183="",0,IF(OR(IFERROR(VLOOKUP(B183,'👥 بيانات الموظفين'!$B:$D,3,0),"")="سعودي",IFERROR(VLOOKUP(B183,'👥 بيانات الموظفين'!$B:$D,3,0),"")="سعودية"),MIN(F183+G183,GosiCeiling)*GosiCoRate,(F183+G183)*0.02))</f>
        <v>0</v>
      </c>
      <c r="U183" s="89">
        <f>IF(B183="",0,IFERROR(IF(VLOOKUP(B183,'👥 بيانات الموظفين'!$B:$M,12,0)&lt;5,F183/24,F183/12),0))</f>
        <v>0</v>
      </c>
    </row>
    <row r="184" spans="1:21" ht="22.15" customHeight="1" x14ac:dyDescent="0.2">
      <c r="A184" s="57">
        <f t="shared" si="25"/>
        <v>180</v>
      </c>
      <c r="B184" s="57">
        <f>IFERROR('👥 بيانات الموظفين'!B184,"")</f>
        <v>0</v>
      </c>
      <c r="C184" s="57" t="str">
        <f>IFERROR(VLOOKUP(B184,'👥 بيانات الموظفين'!$B:$C,2,0),"")</f>
        <v/>
      </c>
      <c r="D184" s="57" t="str">
        <f>IFERROR(VLOOKUP(B184,'👥 بيانات الموظفين'!$B:$E,4,0),"")</f>
        <v/>
      </c>
      <c r="E184" s="69">
        <f>IF(B184="",0,IFERROR(COUNTIFS('📅 الحضور'!$B:$B,B184,'📅 الحضور'!$L:$L,PayPeriod,'📅 الحضور'!$E:$E,"حاضر")+COUNTIFS('📅 الحضور'!$B:$B,B184,'📅 الحضور'!$L:$L,PayPeriod,'📅 الحضور'!$E:$E,"متأخر"),0))</f>
        <v>0</v>
      </c>
      <c r="F184" s="83">
        <f>IFERROR(VLOOKUP(B184,'👥 بيانات الموظفين'!$B:$H,7,0),0)</f>
        <v>0</v>
      </c>
      <c r="G184" s="83">
        <f>IFERROR(VLOOKUP(B184,'👥 بيانات الموظفين'!$B:$I,8,0),0)</f>
        <v>0</v>
      </c>
      <c r="H184" s="83">
        <f>IFERROR(VLOOKUP(B184,'👥 بيانات الموظفين'!$B:$J,9,0),0)</f>
        <v>0</v>
      </c>
      <c r="I184" s="83">
        <f>IF(B184="",0,IFERROR(SUMIFS('➕ الخصومات والمكافآت'!$E:$E,'➕ الخصومات والمكافآت'!$B:$B,B184,'➕ الخصومات والمكافآت'!$F:$F,PayPeriod,'➕ الخصومات والمكافآت'!$C:$C,"مكافأة"),0))</f>
        <v>0</v>
      </c>
      <c r="J184" s="83">
        <f t="shared" si="26"/>
        <v>0</v>
      </c>
      <c r="K184" s="83">
        <f>IF(B184="",0,IFERROR(COUNTIFS('📅 الحضور'!$B:$B,B184,'📅 الحضور'!$L:$L,PayPeriod,'📅 الحضور'!$E:$E,"غائب")*F184/WorkDaysMonth,0))</f>
        <v>0</v>
      </c>
      <c r="L184" s="83">
        <f>IF(B184="",0,IFERROR(SUMIFS('📅 الحضور'!$I:$I,'📅 الحضور'!$B:$B,B184,'📅 الحضور'!$L:$L,PayPeriod)/60/WorkHoursDay*F184/WorkDaysMonth,0))</f>
        <v>0</v>
      </c>
      <c r="M184" s="83">
        <f>IF(B184="",0,IFERROR(SUMIFS('➕ الخصومات والمكافآت'!$E:$E,'➕ الخصومات والمكافآت'!$B:$B,B184,'➕ الخصومات والمكافآت'!$F:$F,PayPeriod,'➕ الخصومات والمكافآت'!$C:$C,"خصم"),0))</f>
        <v>0</v>
      </c>
      <c r="N184" s="83">
        <f t="shared" si="27"/>
        <v>0</v>
      </c>
      <c r="O184" s="95">
        <f t="shared" si="28"/>
        <v>0</v>
      </c>
      <c r="P184" s="57"/>
      <c r="Q184" s="90">
        <f>IF(B184="",0,IFERROR(SUMIFS('📅 الحضور'!$J:$J,'📅 الحضور'!$B:$B,B184,'📅 الحضور'!$L:$L,PayPeriod),0))</f>
        <v>0</v>
      </c>
      <c r="R184" s="91">
        <f t="shared" si="29"/>
        <v>0</v>
      </c>
      <c r="S184" s="91">
        <f>IF(B184="",0,IF(IFERROR(VLOOKUP(B184,'👥 بيانات الموظفين'!$B:$D,3,0),"")="سعودي",MIN(F184+G184,GosiCeiling)*GosiEmpRate,IF(IFERROR(VLOOKUP(B184,'👥 بيانات الموظفين'!$B:$D,3,0),"")="سعودية",MIN(F184+G184,GosiCeiling)*GosiEmpRate,0)))</f>
        <v>0</v>
      </c>
      <c r="T184" s="91">
        <f>IF(B184="",0,IF(OR(IFERROR(VLOOKUP(B184,'👥 بيانات الموظفين'!$B:$D,3,0),"")="سعودي",IFERROR(VLOOKUP(B184,'👥 بيانات الموظفين'!$B:$D,3,0),"")="سعودية"),MIN(F184+G184,GosiCeiling)*GosiCoRate,(F184+G184)*0.02))</f>
        <v>0</v>
      </c>
      <c r="U184" s="91">
        <f>IF(B184="",0,IFERROR(IF(VLOOKUP(B184,'👥 بيانات الموظفين'!$B:$M,12,0)&lt;5,F184/24,F184/12),0))</f>
        <v>0</v>
      </c>
    </row>
    <row r="185" spans="1:21" ht="22.15" customHeight="1" x14ac:dyDescent="0.2">
      <c r="A185" s="53">
        <f t="shared" si="25"/>
        <v>181</v>
      </c>
      <c r="B185" s="53">
        <f>IFERROR('👥 بيانات الموظفين'!B185,"")</f>
        <v>0</v>
      </c>
      <c r="C185" s="53" t="str">
        <f>IFERROR(VLOOKUP(B185,'👥 بيانات الموظفين'!$B:$C,2,0),"")</f>
        <v/>
      </c>
      <c r="D185" s="53" t="str">
        <f>IFERROR(VLOOKUP(B185,'👥 بيانات الموظفين'!$B:$E,4,0),"")</f>
        <v/>
      </c>
      <c r="E185" s="68">
        <f>IF(B185="",0,IFERROR(COUNTIFS('📅 الحضور'!$B:$B,B185,'📅 الحضور'!$L:$L,PayPeriod,'📅 الحضور'!$E:$E,"حاضر")+COUNTIFS('📅 الحضور'!$B:$B,B185,'📅 الحضور'!$L:$L,PayPeriod,'📅 الحضور'!$E:$E,"متأخر"),0))</f>
        <v>0</v>
      </c>
      <c r="F185" s="82">
        <f>IFERROR(VLOOKUP(B185,'👥 بيانات الموظفين'!$B:$H,7,0),0)</f>
        <v>0</v>
      </c>
      <c r="G185" s="82">
        <f>IFERROR(VLOOKUP(B185,'👥 بيانات الموظفين'!$B:$I,8,0),0)</f>
        <v>0</v>
      </c>
      <c r="H185" s="82">
        <f>IFERROR(VLOOKUP(B185,'👥 بيانات الموظفين'!$B:$J,9,0),0)</f>
        <v>0</v>
      </c>
      <c r="I185" s="82">
        <f>IF(B185="",0,IFERROR(SUMIFS('➕ الخصومات والمكافآت'!$E:$E,'➕ الخصومات والمكافآت'!$B:$B,B185,'➕ الخصومات والمكافآت'!$F:$F,PayPeriod,'➕ الخصومات والمكافآت'!$C:$C,"مكافأة"),0))</f>
        <v>0</v>
      </c>
      <c r="J185" s="82">
        <f t="shared" si="26"/>
        <v>0</v>
      </c>
      <c r="K185" s="82">
        <f>IF(B185="",0,IFERROR(COUNTIFS('📅 الحضور'!$B:$B,B185,'📅 الحضور'!$L:$L,PayPeriod,'📅 الحضور'!$E:$E,"غائب")*F185/WorkDaysMonth,0))</f>
        <v>0</v>
      </c>
      <c r="L185" s="82">
        <f>IF(B185="",0,IFERROR(SUMIFS('📅 الحضور'!$I:$I,'📅 الحضور'!$B:$B,B185,'📅 الحضور'!$L:$L,PayPeriod)/60/WorkHoursDay*F185/WorkDaysMonth,0))</f>
        <v>0</v>
      </c>
      <c r="M185" s="82">
        <f>IF(B185="",0,IFERROR(SUMIFS('➕ الخصومات والمكافآت'!$E:$E,'➕ الخصومات والمكافآت'!$B:$B,B185,'➕ الخصومات والمكافآت'!$F:$F,PayPeriod,'➕ الخصومات والمكافآت'!$C:$C,"خصم"),0))</f>
        <v>0</v>
      </c>
      <c r="N185" s="82">
        <f t="shared" si="27"/>
        <v>0</v>
      </c>
      <c r="O185" s="94">
        <f t="shared" si="28"/>
        <v>0</v>
      </c>
      <c r="P185" s="53"/>
      <c r="Q185" s="88">
        <f>IF(B185="",0,IFERROR(SUMIFS('📅 الحضور'!$J:$J,'📅 الحضور'!$B:$B,B185,'📅 الحضور'!$L:$L,PayPeriod),0))</f>
        <v>0</v>
      </c>
      <c r="R185" s="89">
        <f t="shared" si="29"/>
        <v>0</v>
      </c>
      <c r="S185" s="89">
        <f>IF(B185="",0,IF(IFERROR(VLOOKUP(B185,'👥 بيانات الموظفين'!$B:$D,3,0),"")="سعودي",MIN(F185+G185,GosiCeiling)*GosiEmpRate,IF(IFERROR(VLOOKUP(B185,'👥 بيانات الموظفين'!$B:$D,3,0),"")="سعودية",MIN(F185+G185,GosiCeiling)*GosiEmpRate,0)))</f>
        <v>0</v>
      </c>
      <c r="T185" s="89">
        <f>IF(B185="",0,IF(OR(IFERROR(VLOOKUP(B185,'👥 بيانات الموظفين'!$B:$D,3,0),"")="سعودي",IFERROR(VLOOKUP(B185,'👥 بيانات الموظفين'!$B:$D,3,0),"")="سعودية"),MIN(F185+G185,GosiCeiling)*GosiCoRate,(F185+G185)*0.02))</f>
        <v>0</v>
      </c>
      <c r="U185" s="89">
        <f>IF(B185="",0,IFERROR(IF(VLOOKUP(B185,'👥 بيانات الموظفين'!$B:$M,12,0)&lt;5,F185/24,F185/12),0))</f>
        <v>0</v>
      </c>
    </row>
    <row r="186" spans="1:21" ht="22.15" customHeight="1" x14ac:dyDescent="0.2">
      <c r="A186" s="57">
        <f t="shared" si="25"/>
        <v>182</v>
      </c>
      <c r="B186" s="57">
        <f>IFERROR('👥 بيانات الموظفين'!B186,"")</f>
        <v>0</v>
      </c>
      <c r="C186" s="57" t="str">
        <f>IFERROR(VLOOKUP(B186,'👥 بيانات الموظفين'!$B:$C,2,0),"")</f>
        <v/>
      </c>
      <c r="D186" s="57" t="str">
        <f>IFERROR(VLOOKUP(B186,'👥 بيانات الموظفين'!$B:$E,4,0),"")</f>
        <v/>
      </c>
      <c r="E186" s="69">
        <f>IF(B186="",0,IFERROR(COUNTIFS('📅 الحضور'!$B:$B,B186,'📅 الحضور'!$L:$L,PayPeriod,'📅 الحضور'!$E:$E,"حاضر")+COUNTIFS('📅 الحضور'!$B:$B,B186,'📅 الحضور'!$L:$L,PayPeriod,'📅 الحضور'!$E:$E,"متأخر"),0))</f>
        <v>0</v>
      </c>
      <c r="F186" s="83">
        <f>IFERROR(VLOOKUP(B186,'👥 بيانات الموظفين'!$B:$H,7,0),0)</f>
        <v>0</v>
      </c>
      <c r="G186" s="83">
        <f>IFERROR(VLOOKUP(B186,'👥 بيانات الموظفين'!$B:$I,8,0),0)</f>
        <v>0</v>
      </c>
      <c r="H186" s="83">
        <f>IFERROR(VLOOKUP(B186,'👥 بيانات الموظفين'!$B:$J,9,0),0)</f>
        <v>0</v>
      </c>
      <c r="I186" s="83">
        <f>IF(B186="",0,IFERROR(SUMIFS('➕ الخصومات والمكافآت'!$E:$E,'➕ الخصومات والمكافآت'!$B:$B,B186,'➕ الخصومات والمكافآت'!$F:$F,PayPeriod,'➕ الخصومات والمكافآت'!$C:$C,"مكافأة"),0))</f>
        <v>0</v>
      </c>
      <c r="J186" s="83">
        <f t="shared" si="26"/>
        <v>0</v>
      </c>
      <c r="K186" s="83">
        <f>IF(B186="",0,IFERROR(COUNTIFS('📅 الحضور'!$B:$B,B186,'📅 الحضور'!$L:$L,PayPeriod,'📅 الحضور'!$E:$E,"غائب")*F186/WorkDaysMonth,0))</f>
        <v>0</v>
      </c>
      <c r="L186" s="83">
        <f>IF(B186="",0,IFERROR(SUMIFS('📅 الحضور'!$I:$I,'📅 الحضور'!$B:$B,B186,'📅 الحضور'!$L:$L,PayPeriod)/60/WorkHoursDay*F186/WorkDaysMonth,0))</f>
        <v>0</v>
      </c>
      <c r="M186" s="83">
        <f>IF(B186="",0,IFERROR(SUMIFS('➕ الخصومات والمكافآت'!$E:$E,'➕ الخصومات والمكافآت'!$B:$B,B186,'➕ الخصومات والمكافآت'!$F:$F,PayPeriod,'➕ الخصومات والمكافآت'!$C:$C,"خصم"),0))</f>
        <v>0</v>
      </c>
      <c r="N186" s="83">
        <f t="shared" si="27"/>
        <v>0</v>
      </c>
      <c r="O186" s="95">
        <f t="shared" si="28"/>
        <v>0</v>
      </c>
      <c r="P186" s="57"/>
      <c r="Q186" s="90">
        <f>IF(B186="",0,IFERROR(SUMIFS('📅 الحضور'!$J:$J,'📅 الحضور'!$B:$B,B186,'📅 الحضور'!$L:$L,PayPeriod),0))</f>
        <v>0</v>
      </c>
      <c r="R186" s="91">
        <f t="shared" si="29"/>
        <v>0</v>
      </c>
      <c r="S186" s="91">
        <f>IF(B186="",0,IF(IFERROR(VLOOKUP(B186,'👥 بيانات الموظفين'!$B:$D,3,0),"")="سعودي",MIN(F186+G186,GosiCeiling)*GosiEmpRate,IF(IFERROR(VLOOKUP(B186,'👥 بيانات الموظفين'!$B:$D,3,0),"")="سعودية",MIN(F186+G186,GosiCeiling)*GosiEmpRate,0)))</f>
        <v>0</v>
      </c>
      <c r="T186" s="91">
        <f>IF(B186="",0,IF(OR(IFERROR(VLOOKUP(B186,'👥 بيانات الموظفين'!$B:$D,3,0),"")="سعودي",IFERROR(VLOOKUP(B186,'👥 بيانات الموظفين'!$B:$D,3,0),"")="سعودية"),MIN(F186+G186,GosiCeiling)*GosiCoRate,(F186+G186)*0.02))</f>
        <v>0</v>
      </c>
      <c r="U186" s="91">
        <f>IF(B186="",0,IFERROR(IF(VLOOKUP(B186,'👥 بيانات الموظفين'!$B:$M,12,0)&lt;5,F186/24,F186/12),0))</f>
        <v>0</v>
      </c>
    </row>
    <row r="187" spans="1:21" ht="22.15" customHeight="1" x14ac:dyDescent="0.2">
      <c r="A187" s="53">
        <f t="shared" si="25"/>
        <v>183</v>
      </c>
      <c r="B187" s="53">
        <f>IFERROR('👥 بيانات الموظفين'!B187,"")</f>
        <v>0</v>
      </c>
      <c r="C187" s="53" t="str">
        <f>IFERROR(VLOOKUP(B187,'👥 بيانات الموظفين'!$B:$C,2,0),"")</f>
        <v/>
      </c>
      <c r="D187" s="53" t="str">
        <f>IFERROR(VLOOKUP(B187,'👥 بيانات الموظفين'!$B:$E,4,0),"")</f>
        <v/>
      </c>
      <c r="E187" s="68">
        <f>IF(B187="",0,IFERROR(COUNTIFS('📅 الحضور'!$B:$B,B187,'📅 الحضور'!$L:$L,PayPeriod,'📅 الحضور'!$E:$E,"حاضر")+COUNTIFS('📅 الحضور'!$B:$B,B187,'📅 الحضور'!$L:$L,PayPeriod,'📅 الحضور'!$E:$E,"متأخر"),0))</f>
        <v>0</v>
      </c>
      <c r="F187" s="82">
        <f>IFERROR(VLOOKUP(B187,'👥 بيانات الموظفين'!$B:$H,7,0),0)</f>
        <v>0</v>
      </c>
      <c r="G187" s="82">
        <f>IFERROR(VLOOKUP(B187,'👥 بيانات الموظفين'!$B:$I,8,0),0)</f>
        <v>0</v>
      </c>
      <c r="H187" s="82">
        <f>IFERROR(VLOOKUP(B187,'👥 بيانات الموظفين'!$B:$J,9,0),0)</f>
        <v>0</v>
      </c>
      <c r="I187" s="82">
        <f>IF(B187="",0,IFERROR(SUMIFS('➕ الخصومات والمكافآت'!$E:$E,'➕ الخصومات والمكافآت'!$B:$B,B187,'➕ الخصومات والمكافآت'!$F:$F,PayPeriod,'➕ الخصومات والمكافآت'!$C:$C,"مكافأة"),0))</f>
        <v>0</v>
      </c>
      <c r="J187" s="82">
        <f t="shared" si="26"/>
        <v>0</v>
      </c>
      <c r="K187" s="82">
        <f>IF(B187="",0,IFERROR(COUNTIFS('📅 الحضور'!$B:$B,B187,'📅 الحضور'!$L:$L,PayPeriod,'📅 الحضور'!$E:$E,"غائب")*F187/WorkDaysMonth,0))</f>
        <v>0</v>
      </c>
      <c r="L187" s="82">
        <f>IF(B187="",0,IFERROR(SUMIFS('📅 الحضور'!$I:$I,'📅 الحضور'!$B:$B,B187,'📅 الحضور'!$L:$L,PayPeriod)/60/WorkHoursDay*F187/WorkDaysMonth,0))</f>
        <v>0</v>
      </c>
      <c r="M187" s="82">
        <f>IF(B187="",0,IFERROR(SUMIFS('➕ الخصومات والمكافآت'!$E:$E,'➕ الخصومات والمكافآت'!$B:$B,B187,'➕ الخصومات والمكافآت'!$F:$F,PayPeriod,'➕ الخصومات والمكافآت'!$C:$C,"خصم"),0))</f>
        <v>0</v>
      </c>
      <c r="N187" s="82">
        <f t="shared" si="27"/>
        <v>0</v>
      </c>
      <c r="O187" s="94">
        <f t="shared" si="28"/>
        <v>0</v>
      </c>
      <c r="P187" s="53"/>
      <c r="Q187" s="88">
        <f>IF(B187="",0,IFERROR(SUMIFS('📅 الحضور'!$J:$J,'📅 الحضور'!$B:$B,B187,'📅 الحضور'!$L:$L,PayPeriod),0))</f>
        <v>0</v>
      </c>
      <c r="R187" s="89">
        <f t="shared" si="29"/>
        <v>0</v>
      </c>
      <c r="S187" s="89">
        <f>IF(B187="",0,IF(IFERROR(VLOOKUP(B187,'👥 بيانات الموظفين'!$B:$D,3,0),"")="سعودي",MIN(F187+G187,GosiCeiling)*GosiEmpRate,IF(IFERROR(VLOOKUP(B187,'👥 بيانات الموظفين'!$B:$D,3,0),"")="سعودية",MIN(F187+G187,GosiCeiling)*GosiEmpRate,0)))</f>
        <v>0</v>
      </c>
      <c r="T187" s="89">
        <f>IF(B187="",0,IF(OR(IFERROR(VLOOKUP(B187,'👥 بيانات الموظفين'!$B:$D,3,0),"")="سعودي",IFERROR(VLOOKUP(B187,'👥 بيانات الموظفين'!$B:$D,3,0),"")="سعودية"),MIN(F187+G187,GosiCeiling)*GosiCoRate,(F187+G187)*0.02))</f>
        <v>0</v>
      </c>
      <c r="U187" s="89">
        <f>IF(B187="",0,IFERROR(IF(VLOOKUP(B187,'👥 بيانات الموظفين'!$B:$M,12,0)&lt;5,F187/24,F187/12),0))</f>
        <v>0</v>
      </c>
    </row>
    <row r="188" spans="1:21" ht="22.15" customHeight="1" x14ac:dyDescent="0.2">
      <c r="A188" s="57">
        <f t="shared" si="25"/>
        <v>184</v>
      </c>
      <c r="B188" s="57">
        <f>IFERROR('👥 بيانات الموظفين'!B188,"")</f>
        <v>0</v>
      </c>
      <c r="C188" s="57" t="str">
        <f>IFERROR(VLOOKUP(B188,'👥 بيانات الموظفين'!$B:$C,2,0),"")</f>
        <v/>
      </c>
      <c r="D188" s="57" t="str">
        <f>IFERROR(VLOOKUP(B188,'👥 بيانات الموظفين'!$B:$E,4,0),"")</f>
        <v/>
      </c>
      <c r="E188" s="69">
        <f>IF(B188="",0,IFERROR(COUNTIFS('📅 الحضور'!$B:$B,B188,'📅 الحضور'!$L:$L,PayPeriod,'📅 الحضور'!$E:$E,"حاضر")+COUNTIFS('📅 الحضور'!$B:$B,B188,'📅 الحضور'!$L:$L,PayPeriod,'📅 الحضور'!$E:$E,"متأخر"),0))</f>
        <v>0</v>
      </c>
      <c r="F188" s="83">
        <f>IFERROR(VLOOKUP(B188,'👥 بيانات الموظفين'!$B:$H,7,0),0)</f>
        <v>0</v>
      </c>
      <c r="G188" s="83">
        <f>IFERROR(VLOOKUP(B188,'👥 بيانات الموظفين'!$B:$I,8,0),0)</f>
        <v>0</v>
      </c>
      <c r="H188" s="83">
        <f>IFERROR(VLOOKUP(B188,'👥 بيانات الموظفين'!$B:$J,9,0),0)</f>
        <v>0</v>
      </c>
      <c r="I188" s="83">
        <f>IF(B188="",0,IFERROR(SUMIFS('➕ الخصومات والمكافآت'!$E:$E,'➕ الخصومات والمكافآت'!$B:$B,B188,'➕ الخصومات والمكافآت'!$F:$F,PayPeriod,'➕ الخصومات والمكافآت'!$C:$C,"مكافأة"),0))</f>
        <v>0</v>
      </c>
      <c r="J188" s="83">
        <f t="shared" si="26"/>
        <v>0</v>
      </c>
      <c r="K188" s="83">
        <f>IF(B188="",0,IFERROR(COUNTIFS('📅 الحضور'!$B:$B,B188,'📅 الحضور'!$L:$L,PayPeriod,'📅 الحضور'!$E:$E,"غائب")*F188/WorkDaysMonth,0))</f>
        <v>0</v>
      </c>
      <c r="L188" s="83">
        <f>IF(B188="",0,IFERROR(SUMIFS('📅 الحضور'!$I:$I,'📅 الحضور'!$B:$B,B188,'📅 الحضور'!$L:$L,PayPeriod)/60/WorkHoursDay*F188/WorkDaysMonth,0))</f>
        <v>0</v>
      </c>
      <c r="M188" s="83">
        <f>IF(B188="",0,IFERROR(SUMIFS('➕ الخصومات والمكافآت'!$E:$E,'➕ الخصومات والمكافآت'!$B:$B,B188,'➕ الخصومات والمكافآت'!$F:$F,PayPeriod,'➕ الخصومات والمكافآت'!$C:$C,"خصم"),0))</f>
        <v>0</v>
      </c>
      <c r="N188" s="83">
        <f t="shared" si="27"/>
        <v>0</v>
      </c>
      <c r="O188" s="95">
        <f t="shared" si="28"/>
        <v>0</v>
      </c>
      <c r="P188" s="57"/>
      <c r="Q188" s="90">
        <f>IF(B188="",0,IFERROR(SUMIFS('📅 الحضور'!$J:$J,'📅 الحضور'!$B:$B,B188,'📅 الحضور'!$L:$L,PayPeriod),0))</f>
        <v>0</v>
      </c>
      <c r="R188" s="91">
        <f t="shared" si="29"/>
        <v>0</v>
      </c>
      <c r="S188" s="91">
        <f>IF(B188="",0,IF(IFERROR(VLOOKUP(B188,'👥 بيانات الموظفين'!$B:$D,3,0),"")="سعودي",MIN(F188+G188,GosiCeiling)*GosiEmpRate,IF(IFERROR(VLOOKUP(B188,'👥 بيانات الموظفين'!$B:$D,3,0),"")="سعودية",MIN(F188+G188,GosiCeiling)*GosiEmpRate,0)))</f>
        <v>0</v>
      </c>
      <c r="T188" s="91">
        <f>IF(B188="",0,IF(OR(IFERROR(VLOOKUP(B188,'👥 بيانات الموظفين'!$B:$D,3,0),"")="سعودي",IFERROR(VLOOKUP(B188,'👥 بيانات الموظفين'!$B:$D,3,0),"")="سعودية"),MIN(F188+G188,GosiCeiling)*GosiCoRate,(F188+G188)*0.02))</f>
        <v>0</v>
      </c>
      <c r="U188" s="91">
        <f>IF(B188="",0,IFERROR(IF(VLOOKUP(B188,'👥 بيانات الموظفين'!$B:$M,12,0)&lt;5,F188/24,F188/12),0))</f>
        <v>0</v>
      </c>
    </row>
    <row r="189" spans="1:21" ht="22.15" customHeight="1" x14ac:dyDescent="0.2">
      <c r="A189" s="53">
        <f t="shared" si="25"/>
        <v>185</v>
      </c>
      <c r="B189" s="53">
        <f>IFERROR('👥 بيانات الموظفين'!B189,"")</f>
        <v>0</v>
      </c>
      <c r="C189" s="53" t="str">
        <f>IFERROR(VLOOKUP(B189,'👥 بيانات الموظفين'!$B:$C,2,0),"")</f>
        <v/>
      </c>
      <c r="D189" s="53" t="str">
        <f>IFERROR(VLOOKUP(B189,'👥 بيانات الموظفين'!$B:$E,4,0),"")</f>
        <v/>
      </c>
      <c r="E189" s="68">
        <f>IF(B189="",0,IFERROR(COUNTIFS('📅 الحضور'!$B:$B,B189,'📅 الحضور'!$L:$L,PayPeriod,'📅 الحضور'!$E:$E,"حاضر")+COUNTIFS('📅 الحضور'!$B:$B,B189,'📅 الحضور'!$L:$L,PayPeriod,'📅 الحضور'!$E:$E,"متأخر"),0))</f>
        <v>0</v>
      </c>
      <c r="F189" s="82">
        <f>IFERROR(VLOOKUP(B189,'👥 بيانات الموظفين'!$B:$H,7,0),0)</f>
        <v>0</v>
      </c>
      <c r="G189" s="82">
        <f>IFERROR(VLOOKUP(B189,'👥 بيانات الموظفين'!$B:$I,8,0),0)</f>
        <v>0</v>
      </c>
      <c r="H189" s="82">
        <f>IFERROR(VLOOKUP(B189,'👥 بيانات الموظفين'!$B:$J,9,0),0)</f>
        <v>0</v>
      </c>
      <c r="I189" s="82">
        <f>IF(B189="",0,IFERROR(SUMIFS('➕ الخصومات والمكافآت'!$E:$E,'➕ الخصومات والمكافآت'!$B:$B,B189,'➕ الخصومات والمكافآت'!$F:$F,PayPeriod,'➕ الخصومات والمكافآت'!$C:$C,"مكافأة"),0))</f>
        <v>0</v>
      </c>
      <c r="J189" s="82">
        <f t="shared" si="26"/>
        <v>0</v>
      </c>
      <c r="K189" s="82">
        <f>IF(B189="",0,IFERROR(COUNTIFS('📅 الحضور'!$B:$B,B189,'📅 الحضور'!$L:$L,PayPeriod,'📅 الحضور'!$E:$E,"غائب")*F189/WorkDaysMonth,0))</f>
        <v>0</v>
      </c>
      <c r="L189" s="82">
        <f>IF(B189="",0,IFERROR(SUMIFS('📅 الحضور'!$I:$I,'📅 الحضور'!$B:$B,B189,'📅 الحضور'!$L:$L,PayPeriod)/60/WorkHoursDay*F189/WorkDaysMonth,0))</f>
        <v>0</v>
      </c>
      <c r="M189" s="82">
        <f>IF(B189="",0,IFERROR(SUMIFS('➕ الخصومات والمكافآت'!$E:$E,'➕ الخصومات والمكافآت'!$B:$B,B189,'➕ الخصومات والمكافآت'!$F:$F,PayPeriod,'➕ الخصومات والمكافآت'!$C:$C,"خصم"),0))</f>
        <v>0</v>
      </c>
      <c r="N189" s="82">
        <f t="shared" si="27"/>
        <v>0</v>
      </c>
      <c r="O189" s="94">
        <f t="shared" si="28"/>
        <v>0</v>
      </c>
      <c r="P189" s="53"/>
      <c r="Q189" s="88">
        <f>IF(B189="",0,IFERROR(SUMIFS('📅 الحضور'!$J:$J,'📅 الحضور'!$B:$B,B189,'📅 الحضور'!$L:$L,PayPeriod),0))</f>
        <v>0</v>
      </c>
      <c r="R189" s="89">
        <f t="shared" si="29"/>
        <v>0</v>
      </c>
      <c r="S189" s="89">
        <f>IF(B189="",0,IF(IFERROR(VLOOKUP(B189,'👥 بيانات الموظفين'!$B:$D,3,0),"")="سعودي",MIN(F189+G189,GosiCeiling)*GosiEmpRate,IF(IFERROR(VLOOKUP(B189,'👥 بيانات الموظفين'!$B:$D,3,0),"")="سعودية",MIN(F189+G189,GosiCeiling)*GosiEmpRate,0)))</f>
        <v>0</v>
      </c>
      <c r="T189" s="89">
        <f>IF(B189="",0,IF(OR(IFERROR(VLOOKUP(B189,'👥 بيانات الموظفين'!$B:$D,3,0),"")="سعودي",IFERROR(VLOOKUP(B189,'👥 بيانات الموظفين'!$B:$D,3,0),"")="سعودية"),MIN(F189+G189,GosiCeiling)*GosiCoRate,(F189+G189)*0.02))</f>
        <v>0</v>
      </c>
      <c r="U189" s="89">
        <f>IF(B189="",0,IFERROR(IF(VLOOKUP(B189,'👥 بيانات الموظفين'!$B:$M,12,0)&lt;5,F189/24,F189/12),0))</f>
        <v>0</v>
      </c>
    </row>
    <row r="190" spans="1:21" ht="22.15" customHeight="1" x14ac:dyDescent="0.2">
      <c r="A190" s="57">
        <f t="shared" si="25"/>
        <v>186</v>
      </c>
      <c r="B190" s="57">
        <f>IFERROR('👥 بيانات الموظفين'!B190,"")</f>
        <v>0</v>
      </c>
      <c r="C190" s="57" t="str">
        <f>IFERROR(VLOOKUP(B190,'👥 بيانات الموظفين'!$B:$C,2,0),"")</f>
        <v/>
      </c>
      <c r="D190" s="57" t="str">
        <f>IFERROR(VLOOKUP(B190,'👥 بيانات الموظفين'!$B:$E,4,0),"")</f>
        <v/>
      </c>
      <c r="E190" s="69">
        <f>IF(B190="",0,IFERROR(COUNTIFS('📅 الحضور'!$B:$B,B190,'📅 الحضور'!$L:$L,PayPeriod,'📅 الحضور'!$E:$E,"حاضر")+COUNTIFS('📅 الحضور'!$B:$B,B190,'📅 الحضور'!$L:$L,PayPeriod,'📅 الحضور'!$E:$E,"متأخر"),0))</f>
        <v>0</v>
      </c>
      <c r="F190" s="83">
        <f>IFERROR(VLOOKUP(B190,'👥 بيانات الموظفين'!$B:$H,7,0),0)</f>
        <v>0</v>
      </c>
      <c r="G190" s="83">
        <f>IFERROR(VLOOKUP(B190,'👥 بيانات الموظفين'!$B:$I,8,0),0)</f>
        <v>0</v>
      </c>
      <c r="H190" s="83">
        <f>IFERROR(VLOOKUP(B190,'👥 بيانات الموظفين'!$B:$J,9,0),0)</f>
        <v>0</v>
      </c>
      <c r="I190" s="83">
        <f>IF(B190="",0,IFERROR(SUMIFS('➕ الخصومات والمكافآت'!$E:$E,'➕ الخصومات والمكافآت'!$B:$B,B190,'➕ الخصومات والمكافآت'!$F:$F,PayPeriod,'➕ الخصومات والمكافآت'!$C:$C,"مكافأة"),0))</f>
        <v>0</v>
      </c>
      <c r="J190" s="83">
        <f t="shared" si="26"/>
        <v>0</v>
      </c>
      <c r="K190" s="83">
        <f>IF(B190="",0,IFERROR(COUNTIFS('📅 الحضور'!$B:$B,B190,'📅 الحضور'!$L:$L,PayPeriod,'📅 الحضور'!$E:$E,"غائب")*F190/WorkDaysMonth,0))</f>
        <v>0</v>
      </c>
      <c r="L190" s="83">
        <f>IF(B190="",0,IFERROR(SUMIFS('📅 الحضور'!$I:$I,'📅 الحضور'!$B:$B,B190,'📅 الحضور'!$L:$L,PayPeriod)/60/WorkHoursDay*F190/WorkDaysMonth,0))</f>
        <v>0</v>
      </c>
      <c r="M190" s="83">
        <f>IF(B190="",0,IFERROR(SUMIFS('➕ الخصومات والمكافآت'!$E:$E,'➕ الخصومات والمكافآت'!$B:$B,B190,'➕ الخصومات والمكافآت'!$F:$F,PayPeriod,'➕ الخصومات والمكافآت'!$C:$C,"خصم"),0))</f>
        <v>0</v>
      </c>
      <c r="N190" s="83">
        <f t="shared" si="27"/>
        <v>0</v>
      </c>
      <c r="O190" s="95">
        <f t="shared" si="28"/>
        <v>0</v>
      </c>
      <c r="P190" s="57"/>
      <c r="Q190" s="90">
        <f>IF(B190="",0,IFERROR(SUMIFS('📅 الحضور'!$J:$J,'📅 الحضور'!$B:$B,B190,'📅 الحضور'!$L:$L,PayPeriod),0))</f>
        <v>0</v>
      </c>
      <c r="R190" s="91">
        <f t="shared" si="29"/>
        <v>0</v>
      </c>
      <c r="S190" s="91">
        <f>IF(B190="",0,IF(IFERROR(VLOOKUP(B190,'👥 بيانات الموظفين'!$B:$D,3,0),"")="سعودي",MIN(F190+G190,GosiCeiling)*GosiEmpRate,IF(IFERROR(VLOOKUP(B190,'👥 بيانات الموظفين'!$B:$D,3,0),"")="سعودية",MIN(F190+G190,GosiCeiling)*GosiEmpRate,0)))</f>
        <v>0</v>
      </c>
      <c r="T190" s="91">
        <f>IF(B190="",0,IF(OR(IFERROR(VLOOKUP(B190,'👥 بيانات الموظفين'!$B:$D,3,0),"")="سعودي",IFERROR(VLOOKUP(B190,'👥 بيانات الموظفين'!$B:$D,3,0),"")="سعودية"),MIN(F190+G190,GosiCeiling)*GosiCoRate,(F190+G190)*0.02))</f>
        <v>0</v>
      </c>
      <c r="U190" s="91">
        <f>IF(B190="",0,IFERROR(IF(VLOOKUP(B190,'👥 بيانات الموظفين'!$B:$M,12,0)&lt;5,F190/24,F190/12),0))</f>
        <v>0</v>
      </c>
    </row>
    <row r="191" spans="1:21" ht="22.15" customHeight="1" x14ac:dyDescent="0.2">
      <c r="A191" s="53">
        <f t="shared" si="25"/>
        <v>187</v>
      </c>
      <c r="B191" s="53">
        <f>IFERROR('👥 بيانات الموظفين'!B191,"")</f>
        <v>0</v>
      </c>
      <c r="C191" s="53" t="str">
        <f>IFERROR(VLOOKUP(B191,'👥 بيانات الموظفين'!$B:$C,2,0),"")</f>
        <v/>
      </c>
      <c r="D191" s="53" t="str">
        <f>IFERROR(VLOOKUP(B191,'👥 بيانات الموظفين'!$B:$E,4,0),"")</f>
        <v/>
      </c>
      <c r="E191" s="68">
        <f>IF(B191="",0,IFERROR(COUNTIFS('📅 الحضور'!$B:$B,B191,'📅 الحضور'!$L:$L,PayPeriod,'📅 الحضور'!$E:$E,"حاضر")+COUNTIFS('📅 الحضور'!$B:$B,B191,'📅 الحضور'!$L:$L,PayPeriod,'📅 الحضور'!$E:$E,"متأخر"),0))</f>
        <v>0</v>
      </c>
      <c r="F191" s="82">
        <f>IFERROR(VLOOKUP(B191,'👥 بيانات الموظفين'!$B:$H,7,0),0)</f>
        <v>0</v>
      </c>
      <c r="G191" s="82">
        <f>IFERROR(VLOOKUP(B191,'👥 بيانات الموظفين'!$B:$I,8,0),0)</f>
        <v>0</v>
      </c>
      <c r="H191" s="82">
        <f>IFERROR(VLOOKUP(B191,'👥 بيانات الموظفين'!$B:$J,9,0),0)</f>
        <v>0</v>
      </c>
      <c r="I191" s="82">
        <f>IF(B191="",0,IFERROR(SUMIFS('➕ الخصومات والمكافآت'!$E:$E,'➕ الخصومات والمكافآت'!$B:$B,B191,'➕ الخصومات والمكافآت'!$F:$F,PayPeriod,'➕ الخصومات والمكافآت'!$C:$C,"مكافأة"),0))</f>
        <v>0</v>
      </c>
      <c r="J191" s="82">
        <f t="shared" si="26"/>
        <v>0</v>
      </c>
      <c r="K191" s="82">
        <f>IF(B191="",0,IFERROR(COUNTIFS('📅 الحضور'!$B:$B,B191,'📅 الحضور'!$L:$L,PayPeriod,'📅 الحضور'!$E:$E,"غائب")*F191/WorkDaysMonth,0))</f>
        <v>0</v>
      </c>
      <c r="L191" s="82">
        <f>IF(B191="",0,IFERROR(SUMIFS('📅 الحضور'!$I:$I,'📅 الحضور'!$B:$B,B191,'📅 الحضور'!$L:$L,PayPeriod)/60/WorkHoursDay*F191/WorkDaysMonth,0))</f>
        <v>0</v>
      </c>
      <c r="M191" s="82">
        <f>IF(B191="",0,IFERROR(SUMIFS('➕ الخصومات والمكافآت'!$E:$E,'➕ الخصومات والمكافآت'!$B:$B,B191,'➕ الخصومات والمكافآت'!$F:$F,PayPeriod,'➕ الخصومات والمكافآت'!$C:$C,"خصم"),0))</f>
        <v>0</v>
      </c>
      <c r="N191" s="82">
        <f t="shared" si="27"/>
        <v>0</v>
      </c>
      <c r="O191" s="94">
        <f t="shared" si="28"/>
        <v>0</v>
      </c>
      <c r="P191" s="53"/>
      <c r="Q191" s="88">
        <f>IF(B191="",0,IFERROR(SUMIFS('📅 الحضور'!$J:$J,'📅 الحضور'!$B:$B,B191,'📅 الحضور'!$L:$L,PayPeriod),0))</f>
        <v>0</v>
      </c>
      <c r="R191" s="89">
        <f t="shared" si="29"/>
        <v>0</v>
      </c>
      <c r="S191" s="89">
        <f>IF(B191="",0,IF(IFERROR(VLOOKUP(B191,'👥 بيانات الموظفين'!$B:$D,3,0),"")="سعودي",MIN(F191+G191,GosiCeiling)*GosiEmpRate,IF(IFERROR(VLOOKUP(B191,'👥 بيانات الموظفين'!$B:$D,3,0),"")="سعودية",MIN(F191+G191,GosiCeiling)*GosiEmpRate,0)))</f>
        <v>0</v>
      </c>
      <c r="T191" s="89">
        <f>IF(B191="",0,IF(OR(IFERROR(VLOOKUP(B191,'👥 بيانات الموظفين'!$B:$D,3,0),"")="سعودي",IFERROR(VLOOKUP(B191,'👥 بيانات الموظفين'!$B:$D,3,0),"")="سعودية"),MIN(F191+G191,GosiCeiling)*GosiCoRate,(F191+G191)*0.02))</f>
        <v>0</v>
      </c>
      <c r="U191" s="89">
        <f>IF(B191="",0,IFERROR(IF(VLOOKUP(B191,'👥 بيانات الموظفين'!$B:$M,12,0)&lt;5,F191/24,F191/12),0))</f>
        <v>0</v>
      </c>
    </row>
    <row r="192" spans="1:21" ht="22.15" customHeight="1" x14ac:dyDescent="0.2">
      <c r="A192" s="57">
        <f t="shared" si="25"/>
        <v>188</v>
      </c>
      <c r="B192" s="57">
        <f>IFERROR('👥 بيانات الموظفين'!B192,"")</f>
        <v>0</v>
      </c>
      <c r="C192" s="57" t="str">
        <f>IFERROR(VLOOKUP(B192,'👥 بيانات الموظفين'!$B:$C,2,0),"")</f>
        <v/>
      </c>
      <c r="D192" s="57" t="str">
        <f>IFERROR(VLOOKUP(B192,'👥 بيانات الموظفين'!$B:$E,4,0),"")</f>
        <v/>
      </c>
      <c r="E192" s="69">
        <f>IF(B192="",0,IFERROR(COUNTIFS('📅 الحضور'!$B:$B,B192,'📅 الحضور'!$L:$L,PayPeriod,'📅 الحضور'!$E:$E,"حاضر")+COUNTIFS('📅 الحضور'!$B:$B,B192,'📅 الحضور'!$L:$L,PayPeriod,'📅 الحضور'!$E:$E,"متأخر"),0))</f>
        <v>0</v>
      </c>
      <c r="F192" s="83">
        <f>IFERROR(VLOOKUP(B192,'👥 بيانات الموظفين'!$B:$H,7,0),0)</f>
        <v>0</v>
      </c>
      <c r="G192" s="83">
        <f>IFERROR(VLOOKUP(B192,'👥 بيانات الموظفين'!$B:$I,8,0),0)</f>
        <v>0</v>
      </c>
      <c r="H192" s="83">
        <f>IFERROR(VLOOKUP(B192,'👥 بيانات الموظفين'!$B:$J,9,0),0)</f>
        <v>0</v>
      </c>
      <c r="I192" s="83">
        <f>IF(B192="",0,IFERROR(SUMIFS('➕ الخصومات والمكافآت'!$E:$E,'➕ الخصومات والمكافآت'!$B:$B,B192,'➕ الخصومات والمكافآت'!$F:$F,PayPeriod,'➕ الخصومات والمكافآت'!$C:$C,"مكافأة"),0))</f>
        <v>0</v>
      </c>
      <c r="J192" s="83">
        <f t="shared" si="26"/>
        <v>0</v>
      </c>
      <c r="K192" s="83">
        <f>IF(B192="",0,IFERROR(COUNTIFS('📅 الحضور'!$B:$B,B192,'📅 الحضور'!$L:$L,PayPeriod,'📅 الحضور'!$E:$E,"غائب")*F192/WorkDaysMonth,0))</f>
        <v>0</v>
      </c>
      <c r="L192" s="83">
        <f>IF(B192="",0,IFERROR(SUMIFS('📅 الحضور'!$I:$I,'📅 الحضور'!$B:$B,B192,'📅 الحضور'!$L:$L,PayPeriod)/60/WorkHoursDay*F192/WorkDaysMonth,0))</f>
        <v>0</v>
      </c>
      <c r="M192" s="83">
        <f>IF(B192="",0,IFERROR(SUMIFS('➕ الخصومات والمكافآت'!$E:$E,'➕ الخصومات والمكافآت'!$B:$B,B192,'➕ الخصومات والمكافآت'!$F:$F,PayPeriod,'➕ الخصومات والمكافآت'!$C:$C,"خصم"),0))</f>
        <v>0</v>
      </c>
      <c r="N192" s="83">
        <f t="shared" si="27"/>
        <v>0</v>
      </c>
      <c r="O192" s="95">
        <f t="shared" si="28"/>
        <v>0</v>
      </c>
      <c r="P192" s="57"/>
      <c r="Q192" s="90">
        <f>IF(B192="",0,IFERROR(SUMIFS('📅 الحضور'!$J:$J,'📅 الحضور'!$B:$B,B192,'📅 الحضور'!$L:$L,PayPeriod),0))</f>
        <v>0</v>
      </c>
      <c r="R192" s="91">
        <f t="shared" si="29"/>
        <v>0</v>
      </c>
      <c r="S192" s="91">
        <f>IF(B192="",0,IF(IFERROR(VLOOKUP(B192,'👥 بيانات الموظفين'!$B:$D,3,0),"")="سعودي",MIN(F192+G192,GosiCeiling)*GosiEmpRate,IF(IFERROR(VLOOKUP(B192,'👥 بيانات الموظفين'!$B:$D,3,0),"")="سعودية",MIN(F192+G192,GosiCeiling)*GosiEmpRate,0)))</f>
        <v>0</v>
      </c>
      <c r="T192" s="91">
        <f>IF(B192="",0,IF(OR(IFERROR(VLOOKUP(B192,'👥 بيانات الموظفين'!$B:$D,3,0),"")="سعودي",IFERROR(VLOOKUP(B192,'👥 بيانات الموظفين'!$B:$D,3,0),"")="سعودية"),MIN(F192+G192,GosiCeiling)*GosiCoRate,(F192+G192)*0.02))</f>
        <v>0</v>
      </c>
      <c r="U192" s="91">
        <f>IF(B192="",0,IFERROR(IF(VLOOKUP(B192,'👥 بيانات الموظفين'!$B:$M,12,0)&lt;5,F192/24,F192/12),0))</f>
        <v>0</v>
      </c>
    </row>
    <row r="193" spans="1:21" ht="22.15" customHeight="1" x14ac:dyDescent="0.2">
      <c r="A193" s="53">
        <f t="shared" si="25"/>
        <v>189</v>
      </c>
      <c r="B193" s="53">
        <f>IFERROR('👥 بيانات الموظفين'!B193,"")</f>
        <v>0</v>
      </c>
      <c r="C193" s="53" t="str">
        <f>IFERROR(VLOOKUP(B193,'👥 بيانات الموظفين'!$B:$C,2,0),"")</f>
        <v/>
      </c>
      <c r="D193" s="53" t="str">
        <f>IFERROR(VLOOKUP(B193,'👥 بيانات الموظفين'!$B:$E,4,0),"")</f>
        <v/>
      </c>
      <c r="E193" s="68">
        <f>IF(B193="",0,IFERROR(COUNTIFS('📅 الحضور'!$B:$B,B193,'📅 الحضور'!$L:$L,PayPeriod,'📅 الحضور'!$E:$E,"حاضر")+COUNTIFS('📅 الحضور'!$B:$B,B193,'📅 الحضور'!$L:$L,PayPeriod,'📅 الحضور'!$E:$E,"متأخر"),0))</f>
        <v>0</v>
      </c>
      <c r="F193" s="82">
        <f>IFERROR(VLOOKUP(B193,'👥 بيانات الموظفين'!$B:$H,7,0),0)</f>
        <v>0</v>
      </c>
      <c r="G193" s="82">
        <f>IFERROR(VLOOKUP(B193,'👥 بيانات الموظفين'!$B:$I,8,0),0)</f>
        <v>0</v>
      </c>
      <c r="H193" s="82">
        <f>IFERROR(VLOOKUP(B193,'👥 بيانات الموظفين'!$B:$J,9,0),0)</f>
        <v>0</v>
      </c>
      <c r="I193" s="82">
        <f>IF(B193="",0,IFERROR(SUMIFS('➕ الخصومات والمكافآت'!$E:$E,'➕ الخصومات والمكافآت'!$B:$B,B193,'➕ الخصومات والمكافآت'!$F:$F,PayPeriod,'➕ الخصومات والمكافآت'!$C:$C,"مكافأة"),0))</f>
        <v>0</v>
      </c>
      <c r="J193" s="82">
        <f t="shared" si="26"/>
        <v>0</v>
      </c>
      <c r="K193" s="82">
        <f>IF(B193="",0,IFERROR(COUNTIFS('📅 الحضور'!$B:$B,B193,'📅 الحضور'!$L:$L,PayPeriod,'📅 الحضور'!$E:$E,"غائب")*F193/WorkDaysMonth,0))</f>
        <v>0</v>
      </c>
      <c r="L193" s="82">
        <f>IF(B193="",0,IFERROR(SUMIFS('📅 الحضور'!$I:$I,'📅 الحضور'!$B:$B,B193,'📅 الحضور'!$L:$L,PayPeriod)/60/WorkHoursDay*F193/WorkDaysMonth,0))</f>
        <v>0</v>
      </c>
      <c r="M193" s="82">
        <f>IF(B193="",0,IFERROR(SUMIFS('➕ الخصومات والمكافآت'!$E:$E,'➕ الخصومات والمكافآت'!$B:$B,B193,'➕ الخصومات والمكافآت'!$F:$F,PayPeriod,'➕ الخصومات والمكافآت'!$C:$C,"خصم"),0))</f>
        <v>0</v>
      </c>
      <c r="N193" s="82">
        <f t="shared" si="27"/>
        <v>0</v>
      </c>
      <c r="O193" s="94">
        <f t="shared" si="28"/>
        <v>0</v>
      </c>
      <c r="P193" s="53"/>
      <c r="Q193" s="88">
        <f>IF(B193="",0,IFERROR(SUMIFS('📅 الحضور'!$J:$J,'📅 الحضور'!$B:$B,B193,'📅 الحضور'!$L:$L,PayPeriod),0))</f>
        <v>0</v>
      </c>
      <c r="R193" s="89">
        <f t="shared" si="29"/>
        <v>0</v>
      </c>
      <c r="S193" s="89">
        <f>IF(B193="",0,IF(IFERROR(VLOOKUP(B193,'👥 بيانات الموظفين'!$B:$D,3,0),"")="سعودي",MIN(F193+G193,GosiCeiling)*GosiEmpRate,IF(IFERROR(VLOOKUP(B193,'👥 بيانات الموظفين'!$B:$D,3,0),"")="سعودية",MIN(F193+G193,GosiCeiling)*GosiEmpRate,0)))</f>
        <v>0</v>
      </c>
      <c r="T193" s="89">
        <f>IF(B193="",0,IF(OR(IFERROR(VLOOKUP(B193,'👥 بيانات الموظفين'!$B:$D,3,0),"")="سعودي",IFERROR(VLOOKUP(B193,'👥 بيانات الموظفين'!$B:$D,3,0),"")="سعودية"),MIN(F193+G193,GosiCeiling)*GosiCoRate,(F193+G193)*0.02))</f>
        <v>0</v>
      </c>
      <c r="U193" s="89">
        <f>IF(B193="",0,IFERROR(IF(VLOOKUP(B193,'👥 بيانات الموظفين'!$B:$M,12,0)&lt;5,F193/24,F193/12),0))</f>
        <v>0</v>
      </c>
    </row>
    <row r="194" spans="1:21" ht="22.15" customHeight="1" x14ac:dyDescent="0.2">
      <c r="A194" s="57">
        <f t="shared" si="25"/>
        <v>190</v>
      </c>
      <c r="B194" s="57">
        <f>IFERROR('👥 بيانات الموظفين'!B194,"")</f>
        <v>0</v>
      </c>
      <c r="C194" s="57" t="str">
        <f>IFERROR(VLOOKUP(B194,'👥 بيانات الموظفين'!$B:$C,2,0),"")</f>
        <v/>
      </c>
      <c r="D194" s="57" t="str">
        <f>IFERROR(VLOOKUP(B194,'👥 بيانات الموظفين'!$B:$E,4,0),"")</f>
        <v/>
      </c>
      <c r="E194" s="69">
        <f>IF(B194="",0,IFERROR(COUNTIFS('📅 الحضور'!$B:$B,B194,'📅 الحضور'!$L:$L,PayPeriod,'📅 الحضور'!$E:$E,"حاضر")+COUNTIFS('📅 الحضور'!$B:$B,B194,'📅 الحضور'!$L:$L,PayPeriod,'📅 الحضور'!$E:$E,"متأخر"),0))</f>
        <v>0</v>
      </c>
      <c r="F194" s="83">
        <f>IFERROR(VLOOKUP(B194,'👥 بيانات الموظفين'!$B:$H,7,0),0)</f>
        <v>0</v>
      </c>
      <c r="G194" s="83">
        <f>IFERROR(VLOOKUP(B194,'👥 بيانات الموظفين'!$B:$I,8,0),0)</f>
        <v>0</v>
      </c>
      <c r="H194" s="83">
        <f>IFERROR(VLOOKUP(B194,'👥 بيانات الموظفين'!$B:$J,9,0),0)</f>
        <v>0</v>
      </c>
      <c r="I194" s="83">
        <f>IF(B194="",0,IFERROR(SUMIFS('➕ الخصومات والمكافآت'!$E:$E,'➕ الخصومات والمكافآت'!$B:$B,B194,'➕ الخصومات والمكافآت'!$F:$F,PayPeriod,'➕ الخصومات والمكافآت'!$C:$C,"مكافأة"),0))</f>
        <v>0</v>
      </c>
      <c r="J194" s="83">
        <f t="shared" si="26"/>
        <v>0</v>
      </c>
      <c r="K194" s="83">
        <f>IF(B194="",0,IFERROR(COUNTIFS('📅 الحضور'!$B:$B,B194,'📅 الحضور'!$L:$L,PayPeriod,'📅 الحضور'!$E:$E,"غائب")*F194/WorkDaysMonth,0))</f>
        <v>0</v>
      </c>
      <c r="L194" s="83">
        <f>IF(B194="",0,IFERROR(SUMIFS('📅 الحضور'!$I:$I,'📅 الحضور'!$B:$B,B194,'📅 الحضور'!$L:$L,PayPeriod)/60/WorkHoursDay*F194/WorkDaysMonth,0))</f>
        <v>0</v>
      </c>
      <c r="M194" s="83">
        <f>IF(B194="",0,IFERROR(SUMIFS('➕ الخصومات والمكافآت'!$E:$E,'➕ الخصومات والمكافآت'!$B:$B,B194,'➕ الخصومات والمكافآت'!$F:$F,PayPeriod,'➕ الخصومات والمكافآت'!$C:$C,"خصم"),0))</f>
        <v>0</v>
      </c>
      <c r="N194" s="83">
        <f t="shared" si="27"/>
        <v>0</v>
      </c>
      <c r="O194" s="95">
        <f t="shared" si="28"/>
        <v>0</v>
      </c>
      <c r="P194" s="57"/>
      <c r="Q194" s="90">
        <f>IF(B194="",0,IFERROR(SUMIFS('📅 الحضور'!$J:$J,'📅 الحضور'!$B:$B,B194,'📅 الحضور'!$L:$L,PayPeriod),0))</f>
        <v>0</v>
      </c>
      <c r="R194" s="91">
        <f t="shared" si="29"/>
        <v>0</v>
      </c>
      <c r="S194" s="91">
        <f>IF(B194="",0,IF(IFERROR(VLOOKUP(B194,'👥 بيانات الموظفين'!$B:$D,3,0),"")="سعودي",MIN(F194+G194,GosiCeiling)*GosiEmpRate,IF(IFERROR(VLOOKUP(B194,'👥 بيانات الموظفين'!$B:$D,3,0),"")="سعودية",MIN(F194+G194,GosiCeiling)*GosiEmpRate,0)))</f>
        <v>0</v>
      </c>
      <c r="T194" s="91">
        <f>IF(B194="",0,IF(OR(IFERROR(VLOOKUP(B194,'👥 بيانات الموظفين'!$B:$D,3,0),"")="سعودي",IFERROR(VLOOKUP(B194,'👥 بيانات الموظفين'!$B:$D,3,0),"")="سعودية"),MIN(F194+G194,GosiCeiling)*GosiCoRate,(F194+G194)*0.02))</f>
        <v>0</v>
      </c>
      <c r="U194" s="91">
        <f>IF(B194="",0,IFERROR(IF(VLOOKUP(B194,'👥 بيانات الموظفين'!$B:$M,12,0)&lt;5,F194/24,F194/12),0))</f>
        <v>0</v>
      </c>
    </row>
    <row r="195" spans="1:21" ht="22.15" customHeight="1" x14ac:dyDescent="0.2">
      <c r="A195" s="53">
        <f t="shared" si="25"/>
        <v>191</v>
      </c>
      <c r="B195" s="53">
        <f>IFERROR('👥 بيانات الموظفين'!B195,"")</f>
        <v>0</v>
      </c>
      <c r="C195" s="53" t="str">
        <f>IFERROR(VLOOKUP(B195,'👥 بيانات الموظفين'!$B:$C,2,0),"")</f>
        <v/>
      </c>
      <c r="D195" s="53" t="str">
        <f>IFERROR(VLOOKUP(B195,'👥 بيانات الموظفين'!$B:$E,4,0),"")</f>
        <v/>
      </c>
      <c r="E195" s="68">
        <f>IF(B195="",0,IFERROR(COUNTIFS('📅 الحضور'!$B:$B,B195,'📅 الحضور'!$L:$L,PayPeriod,'📅 الحضور'!$E:$E,"حاضر")+COUNTIFS('📅 الحضور'!$B:$B,B195,'📅 الحضور'!$L:$L,PayPeriod,'📅 الحضور'!$E:$E,"متأخر"),0))</f>
        <v>0</v>
      </c>
      <c r="F195" s="82">
        <f>IFERROR(VLOOKUP(B195,'👥 بيانات الموظفين'!$B:$H,7,0),0)</f>
        <v>0</v>
      </c>
      <c r="G195" s="82">
        <f>IFERROR(VLOOKUP(B195,'👥 بيانات الموظفين'!$B:$I,8,0),0)</f>
        <v>0</v>
      </c>
      <c r="H195" s="82">
        <f>IFERROR(VLOOKUP(B195,'👥 بيانات الموظفين'!$B:$J,9,0),0)</f>
        <v>0</v>
      </c>
      <c r="I195" s="82">
        <f>IF(B195="",0,IFERROR(SUMIFS('➕ الخصومات والمكافآت'!$E:$E,'➕ الخصومات والمكافآت'!$B:$B,B195,'➕ الخصومات والمكافآت'!$F:$F,PayPeriod,'➕ الخصومات والمكافآت'!$C:$C,"مكافأة"),0))</f>
        <v>0</v>
      </c>
      <c r="J195" s="82">
        <f t="shared" si="26"/>
        <v>0</v>
      </c>
      <c r="K195" s="82">
        <f>IF(B195="",0,IFERROR(COUNTIFS('📅 الحضور'!$B:$B,B195,'📅 الحضور'!$L:$L,PayPeriod,'📅 الحضور'!$E:$E,"غائب")*F195/WorkDaysMonth,0))</f>
        <v>0</v>
      </c>
      <c r="L195" s="82">
        <f>IF(B195="",0,IFERROR(SUMIFS('📅 الحضور'!$I:$I,'📅 الحضور'!$B:$B,B195,'📅 الحضور'!$L:$L,PayPeriod)/60/WorkHoursDay*F195/WorkDaysMonth,0))</f>
        <v>0</v>
      </c>
      <c r="M195" s="82">
        <f>IF(B195="",0,IFERROR(SUMIFS('➕ الخصومات والمكافآت'!$E:$E,'➕ الخصومات والمكافآت'!$B:$B,B195,'➕ الخصومات والمكافآت'!$F:$F,PayPeriod,'➕ الخصومات والمكافآت'!$C:$C,"خصم"),0))</f>
        <v>0</v>
      </c>
      <c r="N195" s="82">
        <f t="shared" si="27"/>
        <v>0</v>
      </c>
      <c r="O195" s="94">
        <f t="shared" si="28"/>
        <v>0</v>
      </c>
      <c r="P195" s="53"/>
      <c r="Q195" s="88">
        <f>IF(B195="",0,IFERROR(SUMIFS('📅 الحضور'!$J:$J,'📅 الحضور'!$B:$B,B195,'📅 الحضور'!$L:$L,PayPeriod),0))</f>
        <v>0</v>
      </c>
      <c r="R195" s="89">
        <f t="shared" si="29"/>
        <v>0</v>
      </c>
      <c r="S195" s="89">
        <f>IF(B195="",0,IF(IFERROR(VLOOKUP(B195,'👥 بيانات الموظفين'!$B:$D,3,0),"")="سعودي",MIN(F195+G195,GosiCeiling)*GosiEmpRate,IF(IFERROR(VLOOKUP(B195,'👥 بيانات الموظفين'!$B:$D,3,0),"")="سعودية",MIN(F195+G195,GosiCeiling)*GosiEmpRate,0)))</f>
        <v>0</v>
      </c>
      <c r="T195" s="89">
        <f>IF(B195="",0,IF(OR(IFERROR(VLOOKUP(B195,'👥 بيانات الموظفين'!$B:$D,3,0),"")="سعودي",IFERROR(VLOOKUP(B195,'👥 بيانات الموظفين'!$B:$D,3,0),"")="سعودية"),MIN(F195+G195,GosiCeiling)*GosiCoRate,(F195+G195)*0.02))</f>
        <v>0</v>
      </c>
      <c r="U195" s="89">
        <f>IF(B195="",0,IFERROR(IF(VLOOKUP(B195,'👥 بيانات الموظفين'!$B:$M,12,0)&lt;5,F195/24,F195/12),0))</f>
        <v>0</v>
      </c>
    </row>
    <row r="196" spans="1:21" ht="22.15" customHeight="1" x14ac:dyDescent="0.2">
      <c r="A196" s="57">
        <f t="shared" si="25"/>
        <v>192</v>
      </c>
      <c r="B196" s="57">
        <f>IFERROR('👥 بيانات الموظفين'!B196,"")</f>
        <v>0</v>
      </c>
      <c r="C196" s="57" t="str">
        <f>IFERROR(VLOOKUP(B196,'👥 بيانات الموظفين'!$B:$C,2,0),"")</f>
        <v/>
      </c>
      <c r="D196" s="57" t="str">
        <f>IFERROR(VLOOKUP(B196,'👥 بيانات الموظفين'!$B:$E,4,0),"")</f>
        <v/>
      </c>
      <c r="E196" s="69">
        <f>IF(B196="",0,IFERROR(COUNTIFS('📅 الحضور'!$B:$B,B196,'📅 الحضور'!$L:$L,PayPeriod,'📅 الحضور'!$E:$E,"حاضر")+COUNTIFS('📅 الحضور'!$B:$B,B196,'📅 الحضور'!$L:$L,PayPeriod,'📅 الحضور'!$E:$E,"متأخر"),0))</f>
        <v>0</v>
      </c>
      <c r="F196" s="83">
        <f>IFERROR(VLOOKUP(B196,'👥 بيانات الموظفين'!$B:$H,7,0),0)</f>
        <v>0</v>
      </c>
      <c r="G196" s="83">
        <f>IFERROR(VLOOKUP(B196,'👥 بيانات الموظفين'!$B:$I,8,0),0)</f>
        <v>0</v>
      </c>
      <c r="H196" s="83">
        <f>IFERROR(VLOOKUP(B196,'👥 بيانات الموظفين'!$B:$J,9,0),0)</f>
        <v>0</v>
      </c>
      <c r="I196" s="83">
        <f>IF(B196="",0,IFERROR(SUMIFS('➕ الخصومات والمكافآت'!$E:$E,'➕ الخصومات والمكافآت'!$B:$B,B196,'➕ الخصومات والمكافآت'!$F:$F,PayPeriod,'➕ الخصومات والمكافآت'!$C:$C,"مكافأة"),0))</f>
        <v>0</v>
      </c>
      <c r="J196" s="83">
        <f t="shared" si="26"/>
        <v>0</v>
      </c>
      <c r="K196" s="83">
        <f>IF(B196="",0,IFERROR(COUNTIFS('📅 الحضور'!$B:$B,B196,'📅 الحضور'!$L:$L,PayPeriod,'📅 الحضور'!$E:$E,"غائب")*F196/WorkDaysMonth,0))</f>
        <v>0</v>
      </c>
      <c r="L196" s="83">
        <f>IF(B196="",0,IFERROR(SUMIFS('📅 الحضور'!$I:$I,'📅 الحضور'!$B:$B,B196,'📅 الحضور'!$L:$L,PayPeriod)/60/WorkHoursDay*F196/WorkDaysMonth,0))</f>
        <v>0</v>
      </c>
      <c r="M196" s="83">
        <f>IF(B196="",0,IFERROR(SUMIFS('➕ الخصومات والمكافآت'!$E:$E,'➕ الخصومات والمكافآت'!$B:$B,B196,'➕ الخصومات والمكافآت'!$F:$F,PayPeriod,'➕ الخصومات والمكافآت'!$C:$C,"خصم"),0))</f>
        <v>0</v>
      </c>
      <c r="N196" s="83">
        <f t="shared" si="27"/>
        <v>0</v>
      </c>
      <c r="O196" s="95">
        <f t="shared" si="28"/>
        <v>0</v>
      </c>
      <c r="P196" s="57"/>
      <c r="Q196" s="90">
        <f>IF(B196="",0,IFERROR(SUMIFS('📅 الحضور'!$J:$J,'📅 الحضور'!$B:$B,B196,'📅 الحضور'!$L:$L,PayPeriod),0))</f>
        <v>0</v>
      </c>
      <c r="R196" s="91">
        <f t="shared" si="29"/>
        <v>0</v>
      </c>
      <c r="S196" s="91">
        <f>IF(B196="",0,IF(IFERROR(VLOOKUP(B196,'👥 بيانات الموظفين'!$B:$D,3,0),"")="سعودي",MIN(F196+G196,GosiCeiling)*GosiEmpRate,IF(IFERROR(VLOOKUP(B196,'👥 بيانات الموظفين'!$B:$D,3,0),"")="سعودية",MIN(F196+G196,GosiCeiling)*GosiEmpRate,0)))</f>
        <v>0</v>
      </c>
      <c r="T196" s="91">
        <f>IF(B196="",0,IF(OR(IFERROR(VLOOKUP(B196,'👥 بيانات الموظفين'!$B:$D,3,0),"")="سعودي",IFERROR(VLOOKUP(B196,'👥 بيانات الموظفين'!$B:$D,3,0),"")="سعودية"),MIN(F196+G196,GosiCeiling)*GosiCoRate,(F196+G196)*0.02))</f>
        <v>0</v>
      </c>
      <c r="U196" s="91">
        <f>IF(B196="",0,IFERROR(IF(VLOOKUP(B196,'👥 بيانات الموظفين'!$B:$M,12,0)&lt;5,F196/24,F196/12),0))</f>
        <v>0</v>
      </c>
    </row>
    <row r="197" spans="1:21" ht="22.15" customHeight="1" x14ac:dyDescent="0.2">
      <c r="A197" s="53">
        <f t="shared" ref="A197:A204" si="30">IF(B197&lt;&gt;"",ROW()-4,"")</f>
        <v>193</v>
      </c>
      <c r="B197" s="53">
        <f>IFERROR('👥 بيانات الموظفين'!B197,"")</f>
        <v>0</v>
      </c>
      <c r="C197" s="53" t="str">
        <f>IFERROR(VLOOKUP(B197,'👥 بيانات الموظفين'!$B:$C,2,0),"")</f>
        <v/>
      </c>
      <c r="D197" s="53" t="str">
        <f>IFERROR(VLOOKUP(B197,'👥 بيانات الموظفين'!$B:$E,4,0),"")</f>
        <v/>
      </c>
      <c r="E197" s="68">
        <f>IF(B197="",0,IFERROR(COUNTIFS('📅 الحضور'!$B:$B,B197,'📅 الحضور'!$L:$L,PayPeriod,'📅 الحضور'!$E:$E,"حاضر")+COUNTIFS('📅 الحضور'!$B:$B,B197,'📅 الحضور'!$L:$L,PayPeriod,'📅 الحضور'!$E:$E,"متأخر"),0))</f>
        <v>0</v>
      </c>
      <c r="F197" s="82">
        <f>IFERROR(VLOOKUP(B197,'👥 بيانات الموظفين'!$B:$H,7,0),0)</f>
        <v>0</v>
      </c>
      <c r="G197" s="82">
        <f>IFERROR(VLOOKUP(B197,'👥 بيانات الموظفين'!$B:$I,8,0),0)</f>
        <v>0</v>
      </c>
      <c r="H197" s="82">
        <f>IFERROR(VLOOKUP(B197,'👥 بيانات الموظفين'!$B:$J,9,0),0)</f>
        <v>0</v>
      </c>
      <c r="I197" s="82">
        <f>IF(B197="",0,IFERROR(SUMIFS('➕ الخصومات والمكافآت'!$E:$E,'➕ الخصومات والمكافآت'!$B:$B,B197,'➕ الخصومات والمكافآت'!$F:$F,PayPeriod,'➕ الخصومات والمكافآت'!$C:$C,"مكافأة"),0))</f>
        <v>0</v>
      </c>
      <c r="J197" s="82">
        <f t="shared" ref="J197:J204" si="31">IF(B197="","",F197+G197+H197+I197+R197)</f>
        <v>0</v>
      </c>
      <c r="K197" s="82">
        <f>IF(B197="",0,IFERROR(COUNTIFS('📅 الحضور'!$B:$B,B197,'📅 الحضور'!$L:$L,PayPeriod,'📅 الحضور'!$E:$E,"غائب")*F197/WorkDaysMonth,0))</f>
        <v>0</v>
      </c>
      <c r="L197" s="82">
        <f>IF(B197="",0,IFERROR(SUMIFS('📅 الحضور'!$I:$I,'📅 الحضور'!$B:$B,B197,'📅 الحضور'!$L:$L,PayPeriod)/60/WorkHoursDay*F197/WorkDaysMonth,0))</f>
        <v>0</v>
      </c>
      <c r="M197" s="82">
        <f>IF(B197="",0,IFERROR(SUMIFS('➕ الخصومات والمكافآت'!$E:$E,'➕ الخصومات والمكافآت'!$B:$B,B197,'➕ الخصومات والمكافآت'!$F:$F,PayPeriod,'➕ الخصومات والمكافآت'!$C:$C,"خصم"),0))</f>
        <v>0</v>
      </c>
      <c r="N197" s="82">
        <f t="shared" ref="N197:N204" si="32">IF(B197="","",K197+L197+M197+S197)</f>
        <v>0</v>
      </c>
      <c r="O197" s="94">
        <f t="shared" ref="O197:O204" si="33">IF(B197="","",J197-N197)</f>
        <v>0</v>
      </c>
      <c r="P197" s="53"/>
      <c r="Q197" s="88">
        <f>IF(B197="",0,IFERROR(SUMIFS('📅 الحضور'!$J:$J,'📅 الحضور'!$B:$B,B197,'📅 الحضور'!$L:$L,PayPeriod),0))</f>
        <v>0</v>
      </c>
      <c r="R197" s="89">
        <f t="shared" ref="R197:R204" si="34">IF(B197="",0,IFERROR(Q197*(F197/WorkHoursMonth)*OTRateRegular,0))</f>
        <v>0</v>
      </c>
      <c r="S197" s="89">
        <f>IF(B197="",0,IF(IFERROR(VLOOKUP(B197,'👥 بيانات الموظفين'!$B:$D,3,0),"")="سعودي",MIN(F197+G197,GosiCeiling)*GosiEmpRate,IF(IFERROR(VLOOKUP(B197,'👥 بيانات الموظفين'!$B:$D,3,0),"")="سعودية",MIN(F197+G197,GosiCeiling)*GosiEmpRate,0)))</f>
        <v>0</v>
      </c>
      <c r="T197" s="89">
        <f>IF(B197="",0,IF(OR(IFERROR(VLOOKUP(B197,'👥 بيانات الموظفين'!$B:$D,3,0),"")="سعودي",IFERROR(VLOOKUP(B197,'👥 بيانات الموظفين'!$B:$D,3,0),"")="سعودية"),MIN(F197+G197,GosiCeiling)*GosiCoRate,(F197+G197)*0.02))</f>
        <v>0</v>
      </c>
      <c r="U197" s="89">
        <f>IF(B197="",0,IFERROR(IF(VLOOKUP(B197,'👥 بيانات الموظفين'!$B:$M,12,0)&lt;5,F197/24,F197/12),0))</f>
        <v>0</v>
      </c>
    </row>
    <row r="198" spans="1:21" ht="22.15" customHeight="1" x14ac:dyDescent="0.2">
      <c r="A198" s="57">
        <f t="shared" si="30"/>
        <v>194</v>
      </c>
      <c r="B198" s="57">
        <f>IFERROR('👥 بيانات الموظفين'!B198,"")</f>
        <v>0</v>
      </c>
      <c r="C198" s="57" t="str">
        <f>IFERROR(VLOOKUP(B198,'👥 بيانات الموظفين'!$B:$C,2,0),"")</f>
        <v/>
      </c>
      <c r="D198" s="57" t="str">
        <f>IFERROR(VLOOKUP(B198,'👥 بيانات الموظفين'!$B:$E,4,0),"")</f>
        <v/>
      </c>
      <c r="E198" s="69">
        <f>IF(B198="",0,IFERROR(COUNTIFS('📅 الحضور'!$B:$B,B198,'📅 الحضور'!$L:$L,PayPeriod,'📅 الحضور'!$E:$E,"حاضر")+COUNTIFS('📅 الحضور'!$B:$B,B198,'📅 الحضور'!$L:$L,PayPeriod,'📅 الحضور'!$E:$E,"متأخر"),0))</f>
        <v>0</v>
      </c>
      <c r="F198" s="83">
        <f>IFERROR(VLOOKUP(B198,'👥 بيانات الموظفين'!$B:$H,7,0),0)</f>
        <v>0</v>
      </c>
      <c r="G198" s="83">
        <f>IFERROR(VLOOKUP(B198,'👥 بيانات الموظفين'!$B:$I,8,0),0)</f>
        <v>0</v>
      </c>
      <c r="H198" s="83">
        <f>IFERROR(VLOOKUP(B198,'👥 بيانات الموظفين'!$B:$J,9,0),0)</f>
        <v>0</v>
      </c>
      <c r="I198" s="83">
        <f>IF(B198="",0,IFERROR(SUMIFS('➕ الخصومات والمكافآت'!$E:$E,'➕ الخصومات والمكافآت'!$B:$B,B198,'➕ الخصومات والمكافآت'!$F:$F,PayPeriod,'➕ الخصومات والمكافآت'!$C:$C,"مكافأة"),0))</f>
        <v>0</v>
      </c>
      <c r="J198" s="83">
        <f t="shared" si="31"/>
        <v>0</v>
      </c>
      <c r="K198" s="83">
        <f>IF(B198="",0,IFERROR(COUNTIFS('📅 الحضور'!$B:$B,B198,'📅 الحضور'!$L:$L,PayPeriod,'📅 الحضور'!$E:$E,"غائب")*F198/WorkDaysMonth,0))</f>
        <v>0</v>
      </c>
      <c r="L198" s="83">
        <f>IF(B198="",0,IFERROR(SUMIFS('📅 الحضور'!$I:$I,'📅 الحضور'!$B:$B,B198,'📅 الحضور'!$L:$L,PayPeriod)/60/WorkHoursDay*F198/WorkDaysMonth,0))</f>
        <v>0</v>
      </c>
      <c r="M198" s="83">
        <f>IF(B198="",0,IFERROR(SUMIFS('➕ الخصومات والمكافآت'!$E:$E,'➕ الخصومات والمكافآت'!$B:$B,B198,'➕ الخصومات والمكافآت'!$F:$F,PayPeriod,'➕ الخصومات والمكافآت'!$C:$C,"خصم"),0))</f>
        <v>0</v>
      </c>
      <c r="N198" s="83">
        <f t="shared" si="32"/>
        <v>0</v>
      </c>
      <c r="O198" s="95">
        <f t="shared" si="33"/>
        <v>0</v>
      </c>
      <c r="P198" s="57"/>
      <c r="Q198" s="90">
        <f>IF(B198="",0,IFERROR(SUMIFS('📅 الحضور'!$J:$J,'📅 الحضور'!$B:$B,B198,'📅 الحضور'!$L:$L,PayPeriod),0))</f>
        <v>0</v>
      </c>
      <c r="R198" s="91">
        <f t="shared" si="34"/>
        <v>0</v>
      </c>
      <c r="S198" s="91">
        <f>IF(B198="",0,IF(IFERROR(VLOOKUP(B198,'👥 بيانات الموظفين'!$B:$D,3,0),"")="سعودي",MIN(F198+G198,GosiCeiling)*GosiEmpRate,IF(IFERROR(VLOOKUP(B198,'👥 بيانات الموظفين'!$B:$D,3,0),"")="سعودية",MIN(F198+G198,GosiCeiling)*GosiEmpRate,0)))</f>
        <v>0</v>
      </c>
      <c r="T198" s="91">
        <f>IF(B198="",0,IF(OR(IFERROR(VLOOKUP(B198,'👥 بيانات الموظفين'!$B:$D,3,0),"")="سعودي",IFERROR(VLOOKUP(B198,'👥 بيانات الموظفين'!$B:$D,3,0),"")="سعودية"),MIN(F198+G198,GosiCeiling)*GosiCoRate,(F198+G198)*0.02))</f>
        <v>0</v>
      </c>
      <c r="U198" s="91">
        <f>IF(B198="",0,IFERROR(IF(VLOOKUP(B198,'👥 بيانات الموظفين'!$B:$M,12,0)&lt;5,F198/24,F198/12),0))</f>
        <v>0</v>
      </c>
    </row>
    <row r="199" spans="1:21" ht="22.15" customHeight="1" x14ac:dyDescent="0.2">
      <c r="A199" s="53">
        <f t="shared" si="30"/>
        <v>195</v>
      </c>
      <c r="B199" s="53">
        <f>IFERROR('👥 بيانات الموظفين'!B199,"")</f>
        <v>0</v>
      </c>
      <c r="C199" s="53" t="str">
        <f>IFERROR(VLOOKUP(B199,'👥 بيانات الموظفين'!$B:$C,2,0),"")</f>
        <v/>
      </c>
      <c r="D199" s="53" t="str">
        <f>IFERROR(VLOOKUP(B199,'👥 بيانات الموظفين'!$B:$E,4,0),"")</f>
        <v/>
      </c>
      <c r="E199" s="68">
        <f>IF(B199="",0,IFERROR(COUNTIFS('📅 الحضور'!$B:$B,B199,'📅 الحضور'!$L:$L,PayPeriod,'📅 الحضور'!$E:$E,"حاضر")+COUNTIFS('📅 الحضور'!$B:$B,B199,'📅 الحضور'!$L:$L,PayPeriod,'📅 الحضور'!$E:$E,"متأخر"),0))</f>
        <v>0</v>
      </c>
      <c r="F199" s="82">
        <f>IFERROR(VLOOKUP(B199,'👥 بيانات الموظفين'!$B:$H,7,0),0)</f>
        <v>0</v>
      </c>
      <c r="G199" s="82">
        <f>IFERROR(VLOOKUP(B199,'👥 بيانات الموظفين'!$B:$I,8,0),0)</f>
        <v>0</v>
      </c>
      <c r="H199" s="82">
        <f>IFERROR(VLOOKUP(B199,'👥 بيانات الموظفين'!$B:$J,9,0),0)</f>
        <v>0</v>
      </c>
      <c r="I199" s="82">
        <f>IF(B199="",0,IFERROR(SUMIFS('➕ الخصومات والمكافآت'!$E:$E,'➕ الخصومات والمكافآت'!$B:$B,B199,'➕ الخصومات والمكافآت'!$F:$F,PayPeriod,'➕ الخصومات والمكافآت'!$C:$C,"مكافأة"),0))</f>
        <v>0</v>
      </c>
      <c r="J199" s="82">
        <f t="shared" si="31"/>
        <v>0</v>
      </c>
      <c r="K199" s="82">
        <f>IF(B199="",0,IFERROR(COUNTIFS('📅 الحضور'!$B:$B,B199,'📅 الحضور'!$L:$L,PayPeriod,'📅 الحضور'!$E:$E,"غائب")*F199/WorkDaysMonth,0))</f>
        <v>0</v>
      </c>
      <c r="L199" s="82">
        <f>IF(B199="",0,IFERROR(SUMIFS('📅 الحضور'!$I:$I,'📅 الحضور'!$B:$B,B199,'📅 الحضور'!$L:$L,PayPeriod)/60/WorkHoursDay*F199/WorkDaysMonth,0))</f>
        <v>0</v>
      </c>
      <c r="M199" s="82">
        <f>IF(B199="",0,IFERROR(SUMIFS('➕ الخصومات والمكافآت'!$E:$E,'➕ الخصومات والمكافآت'!$B:$B,B199,'➕ الخصومات والمكافآت'!$F:$F,PayPeriod,'➕ الخصومات والمكافآت'!$C:$C,"خصم"),0))</f>
        <v>0</v>
      </c>
      <c r="N199" s="82">
        <f t="shared" si="32"/>
        <v>0</v>
      </c>
      <c r="O199" s="94">
        <f t="shared" si="33"/>
        <v>0</v>
      </c>
      <c r="P199" s="53"/>
      <c r="Q199" s="88">
        <f>IF(B199="",0,IFERROR(SUMIFS('📅 الحضور'!$J:$J,'📅 الحضور'!$B:$B,B199,'📅 الحضور'!$L:$L,PayPeriod),0))</f>
        <v>0</v>
      </c>
      <c r="R199" s="89">
        <f t="shared" si="34"/>
        <v>0</v>
      </c>
      <c r="S199" s="89">
        <f>IF(B199="",0,IF(IFERROR(VLOOKUP(B199,'👥 بيانات الموظفين'!$B:$D,3,0),"")="سعودي",MIN(F199+G199,GosiCeiling)*GosiEmpRate,IF(IFERROR(VLOOKUP(B199,'👥 بيانات الموظفين'!$B:$D,3,0),"")="سعودية",MIN(F199+G199,GosiCeiling)*GosiEmpRate,0)))</f>
        <v>0</v>
      </c>
      <c r="T199" s="89">
        <f>IF(B199="",0,IF(OR(IFERROR(VLOOKUP(B199,'👥 بيانات الموظفين'!$B:$D,3,0),"")="سعودي",IFERROR(VLOOKUP(B199,'👥 بيانات الموظفين'!$B:$D,3,0),"")="سعودية"),MIN(F199+G199,GosiCeiling)*GosiCoRate,(F199+G199)*0.02))</f>
        <v>0</v>
      </c>
      <c r="U199" s="89">
        <f>IF(B199="",0,IFERROR(IF(VLOOKUP(B199,'👥 بيانات الموظفين'!$B:$M,12,0)&lt;5,F199/24,F199/12),0))</f>
        <v>0</v>
      </c>
    </row>
    <row r="200" spans="1:21" ht="22.15" customHeight="1" x14ac:dyDescent="0.2">
      <c r="A200" s="57">
        <f t="shared" si="30"/>
        <v>196</v>
      </c>
      <c r="B200" s="57">
        <f>IFERROR('👥 بيانات الموظفين'!B200,"")</f>
        <v>0</v>
      </c>
      <c r="C200" s="57" t="str">
        <f>IFERROR(VLOOKUP(B200,'👥 بيانات الموظفين'!$B:$C,2,0),"")</f>
        <v/>
      </c>
      <c r="D200" s="57" t="str">
        <f>IFERROR(VLOOKUP(B200,'👥 بيانات الموظفين'!$B:$E,4,0),"")</f>
        <v/>
      </c>
      <c r="E200" s="69">
        <f>IF(B200="",0,IFERROR(COUNTIFS('📅 الحضور'!$B:$B,B200,'📅 الحضور'!$L:$L,PayPeriod,'📅 الحضور'!$E:$E,"حاضر")+COUNTIFS('📅 الحضور'!$B:$B,B200,'📅 الحضور'!$L:$L,PayPeriod,'📅 الحضور'!$E:$E,"متأخر"),0))</f>
        <v>0</v>
      </c>
      <c r="F200" s="83">
        <f>IFERROR(VLOOKUP(B200,'👥 بيانات الموظفين'!$B:$H,7,0),0)</f>
        <v>0</v>
      </c>
      <c r="G200" s="83">
        <f>IFERROR(VLOOKUP(B200,'👥 بيانات الموظفين'!$B:$I,8,0),0)</f>
        <v>0</v>
      </c>
      <c r="H200" s="83">
        <f>IFERROR(VLOOKUP(B200,'👥 بيانات الموظفين'!$B:$J,9,0),0)</f>
        <v>0</v>
      </c>
      <c r="I200" s="83">
        <f>IF(B200="",0,IFERROR(SUMIFS('➕ الخصومات والمكافآت'!$E:$E,'➕ الخصومات والمكافآت'!$B:$B,B200,'➕ الخصومات والمكافآت'!$F:$F,PayPeriod,'➕ الخصومات والمكافآت'!$C:$C,"مكافأة"),0))</f>
        <v>0</v>
      </c>
      <c r="J200" s="83">
        <f t="shared" si="31"/>
        <v>0</v>
      </c>
      <c r="K200" s="83">
        <f>IF(B200="",0,IFERROR(COUNTIFS('📅 الحضور'!$B:$B,B200,'📅 الحضور'!$L:$L,PayPeriod,'📅 الحضور'!$E:$E,"غائب")*F200/WorkDaysMonth,0))</f>
        <v>0</v>
      </c>
      <c r="L200" s="83">
        <f>IF(B200="",0,IFERROR(SUMIFS('📅 الحضور'!$I:$I,'📅 الحضور'!$B:$B,B200,'📅 الحضور'!$L:$L,PayPeriod)/60/WorkHoursDay*F200/WorkDaysMonth,0))</f>
        <v>0</v>
      </c>
      <c r="M200" s="83">
        <f>IF(B200="",0,IFERROR(SUMIFS('➕ الخصومات والمكافآت'!$E:$E,'➕ الخصومات والمكافآت'!$B:$B,B200,'➕ الخصومات والمكافآت'!$F:$F,PayPeriod,'➕ الخصومات والمكافآت'!$C:$C,"خصم"),0))</f>
        <v>0</v>
      </c>
      <c r="N200" s="83">
        <f t="shared" si="32"/>
        <v>0</v>
      </c>
      <c r="O200" s="95">
        <f t="shared" si="33"/>
        <v>0</v>
      </c>
      <c r="P200" s="57"/>
      <c r="Q200" s="90">
        <f>IF(B200="",0,IFERROR(SUMIFS('📅 الحضور'!$J:$J,'📅 الحضور'!$B:$B,B200,'📅 الحضور'!$L:$L,PayPeriod),0))</f>
        <v>0</v>
      </c>
      <c r="R200" s="91">
        <f t="shared" si="34"/>
        <v>0</v>
      </c>
      <c r="S200" s="91">
        <f>IF(B200="",0,IF(IFERROR(VLOOKUP(B200,'👥 بيانات الموظفين'!$B:$D,3,0),"")="سعودي",MIN(F200+G200,GosiCeiling)*GosiEmpRate,IF(IFERROR(VLOOKUP(B200,'👥 بيانات الموظفين'!$B:$D,3,0),"")="سعودية",MIN(F200+G200,GosiCeiling)*GosiEmpRate,0)))</f>
        <v>0</v>
      </c>
      <c r="T200" s="91">
        <f>IF(B200="",0,IF(OR(IFERROR(VLOOKUP(B200,'👥 بيانات الموظفين'!$B:$D,3,0),"")="سعودي",IFERROR(VLOOKUP(B200,'👥 بيانات الموظفين'!$B:$D,3,0),"")="سعودية"),MIN(F200+G200,GosiCeiling)*GosiCoRate,(F200+G200)*0.02))</f>
        <v>0</v>
      </c>
      <c r="U200" s="91">
        <f>IF(B200="",0,IFERROR(IF(VLOOKUP(B200,'👥 بيانات الموظفين'!$B:$M,12,0)&lt;5,F200/24,F200/12),0))</f>
        <v>0</v>
      </c>
    </row>
    <row r="201" spans="1:21" ht="22.15" customHeight="1" x14ac:dyDescent="0.2">
      <c r="A201" s="53">
        <f t="shared" si="30"/>
        <v>197</v>
      </c>
      <c r="B201" s="53">
        <f>IFERROR('👥 بيانات الموظفين'!B201,"")</f>
        <v>0</v>
      </c>
      <c r="C201" s="53" t="str">
        <f>IFERROR(VLOOKUP(B201,'👥 بيانات الموظفين'!$B:$C,2,0),"")</f>
        <v/>
      </c>
      <c r="D201" s="53" t="str">
        <f>IFERROR(VLOOKUP(B201,'👥 بيانات الموظفين'!$B:$E,4,0),"")</f>
        <v/>
      </c>
      <c r="E201" s="68">
        <f>IF(B201="",0,IFERROR(COUNTIFS('📅 الحضور'!$B:$B,B201,'📅 الحضور'!$L:$L,PayPeriod,'📅 الحضور'!$E:$E,"حاضر")+COUNTIFS('📅 الحضور'!$B:$B,B201,'📅 الحضور'!$L:$L,PayPeriod,'📅 الحضور'!$E:$E,"متأخر"),0))</f>
        <v>0</v>
      </c>
      <c r="F201" s="82">
        <f>IFERROR(VLOOKUP(B201,'👥 بيانات الموظفين'!$B:$H,7,0),0)</f>
        <v>0</v>
      </c>
      <c r="G201" s="82">
        <f>IFERROR(VLOOKUP(B201,'👥 بيانات الموظفين'!$B:$I,8,0),0)</f>
        <v>0</v>
      </c>
      <c r="H201" s="82">
        <f>IFERROR(VLOOKUP(B201,'👥 بيانات الموظفين'!$B:$J,9,0),0)</f>
        <v>0</v>
      </c>
      <c r="I201" s="82">
        <f>IF(B201="",0,IFERROR(SUMIFS('➕ الخصومات والمكافآت'!$E:$E,'➕ الخصومات والمكافآت'!$B:$B,B201,'➕ الخصومات والمكافآت'!$F:$F,PayPeriod,'➕ الخصومات والمكافآت'!$C:$C,"مكافأة"),0))</f>
        <v>0</v>
      </c>
      <c r="J201" s="82">
        <f t="shared" si="31"/>
        <v>0</v>
      </c>
      <c r="K201" s="82">
        <f>IF(B201="",0,IFERROR(COUNTIFS('📅 الحضور'!$B:$B,B201,'📅 الحضور'!$L:$L,PayPeriod,'📅 الحضور'!$E:$E,"غائب")*F201/WorkDaysMonth,0))</f>
        <v>0</v>
      </c>
      <c r="L201" s="82">
        <f>IF(B201="",0,IFERROR(SUMIFS('📅 الحضور'!$I:$I,'📅 الحضور'!$B:$B,B201,'📅 الحضور'!$L:$L,PayPeriod)/60/WorkHoursDay*F201/WorkDaysMonth,0))</f>
        <v>0</v>
      </c>
      <c r="M201" s="82">
        <f>IF(B201="",0,IFERROR(SUMIFS('➕ الخصومات والمكافآت'!$E:$E,'➕ الخصومات والمكافآت'!$B:$B,B201,'➕ الخصومات والمكافآت'!$F:$F,PayPeriod,'➕ الخصومات والمكافآت'!$C:$C,"خصم"),0))</f>
        <v>0</v>
      </c>
      <c r="N201" s="82">
        <f t="shared" si="32"/>
        <v>0</v>
      </c>
      <c r="O201" s="94">
        <f t="shared" si="33"/>
        <v>0</v>
      </c>
      <c r="P201" s="53"/>
      <c r="Q201" s="88">
        <f>IF(B201="",0,IFERROR(SUMIFS('📅 الحضور'!$J:$J,'📅 الحضور'!$B:$B,B201,'📅 الحضور'!$L:$L,PayPeriod),0))</f>
        <v>0</v>
      </c>
      <c r="R201" s="89">
        <f t="shared" si="34"/>
        <v>0</v>
      </c>
      <c r="S201" s="89">
        <f>IF(B201="",0,IF(IFERROR(VLOOKUP(B201,'👥 بيانات الموظفين'!$B:$D,3,0),"")="سعودي",MIN(F201+G201,GosiCeiling)*GosiEmpRate,IF(IFERROR(VLOOKUP(B201,'👥 بيانات الموظفين'!$B:$D,3,0),"")="سعودية",MIN(F201+G201,GosiCeiling)*GosiEmpRate,0)))</f>
        <v>0</v>
      </c>
      <c r="T201" s="89">
        <f>IF(B201="",0,IF(OR(IFERROR(VLOOKUP(B201,'👥 بيانات الموظفين'!$B:$D,3,0),"")="سعودي",IFERROR(VLOOKUP(B201,'👥 بيانات الموظفين'!$B:$D,3,0),"")="سعودية"),MIN(F201+G201,GosiCeiling)*GosiCoRate,(F201+G201)*0.02))</f>
        <v>0</v>
      </c>
      <c r="U201" s="89">
        <f>IF(B201="",0,IFERROR(IF(VLOOKUP(B201,'👥 بيانات الموظفين'!$B:$M,12,0)&lt;5,F201/24,F201/12),0))</f>
        <v>0</v>
      </c>
    </row>
    <row r="202" spans="1:21" ht="22.15" customHeight="1" x14ac:dyDescent="0.2">
      <c r="A202" s="57">
        <f t="shared" si="30"/>
        <v>198</v>
      </c>
      <c r="B202" s="57">
        <f>IFERROR('👥 بيانات الموظفين'!B202,"")</f>
        <v>0</v>
      </c>
      <c r="C202" s="57" t="str">
        <f>IFERROR(VLOOKUP(B202,'👥 بيانات الموظفين'!$B:$C,2,0),"")</f>
        <v/>
      </c>
      <c r="D202" s="57" t="str">
        <f>IFERROR(VLOOKUP(B202,'👥 بيانات الموظفين'!$B:$E,4,0),"")</f>
        <v/>
      </c>
      <c r="E202" s="69">
        <f>IF(B202="",0,IFERROR(COUNTIFS('📅 الحضور'!$B:$B,B202,'📅 الحضور'!$L:$L,PayPeriod,'📅 الحضور'!$E:$E,"حاضر")+COUNTIFS('📅 الحضور'!$B:$B,B202,'📅 الحضور'!$L:$L,PayPeriod,'📅 الحضور'!$E:$E,"متأخر"),0))</f>
        <v>0</v>
      </c>
      <c r="F202" s="83">
        <f>IFERROR(VLOOKUP(B202,'👥 بيانات الموظفين'!$B:$H,7,0),0)</f>
        <v>0</v>
      </c>
      <c r="G202" s="83">
        <f>IFERROR(VLOOKUP(B202,'👥 بيانات الموظفين'!$B:$I,8,0),0)</f>
        <v>0</v>
      </c>
      <c r="H202" s="83">
        <f>IFERROR(VLOOKUP(B202,'👥 بيانات الموظفين'!$B:$J,9,0),0)</f>
        <v>0</v>
      </c>
      <c r="I202" s="83">
        <f>IF(B202="",0,IFERROR(SUMIFS('➕ الخصومات والمكافآت'!$E:$E,'➕ الخصومات والمكافآت'!$B:$B,B202,'➕ الخصومات والمكافآت'!$F:$F,PayPeriod,'➕ الخصومات والمكافآت'!$C:$C,"مكافأة"),0))</f>
        <v>0</v>
      </c>
      <c r="J202" s="83">
        <f t="shared" si="31"/>
        <v>0</v>
      </c>
      <c r="K202" s="83">
        <f>IF(B202="",0,IFERROR(COUNTIFS('📅 الحضور'!$B:$B,B202,'📅 الحضور'!$L:$L,PayPeriod,'📅 الحضور'!$E:$E,"غائب")*F202/WorkDaysMonth,0))</f>
        <v>0</v>
      </c>
      <c r="L202" s="83">
        <f>IF(B202="",0,IFERROR(SUMIFS('📅 الحضور'!$I:$I,'📅 الحضور'!$B:$B,B202,'📅 الحضور'!$L:$L,PayPeriod)/60/WorkHoursDay*F202/WorkDaysMonth,0))</f>
        <v>0</v>
      </c>
      <c r="M202" s="83">
        <f>IF(B202="",0,IFERROR(SUMIFS('➕ الخصومات والمكافآت'!$E:$E,'➕ الخصومات والمكافآت'!$B:$B,B202,'➕ الخصومات والمكافآت'!$F:$F,PayPeriod,'➕ الخصومات والمكافآت'!$C:$C,"خصم"),0))</f>
        <v>0</v>
      </c>
      <c r="N202" s="83">
        <f t="shared" si="32"/>
        <v>0</v>
      </c>
      <c r="O202" s="95">
        <f t="shared" si="33"/>
        <v>0</v>
      </c>
      <c r="P202" s="57"/>
      <c r="Q202" s="90">
        <f>IF(B202="",0,IFERROR(SUMIFS('📅 الحضور'!$J:$J,'📅 الحضور'!$B:$B,B202,'📅 الحضور'!$L:$L,PayPeriod),0))</f>
        <v>0</v>
      </c>
      <c r="R202" s="91">
        <f t="shared" si="34"/>
        <v>0</v>
      </c>
      <c r="S202" s="91">
        <f>IF(B202="",0,IF(IFERROR(VLOOKUP(B202,'👥 بيانات الموظفين'!$B:$D,3,0),"")="سعودي",MIN(F202+G202,GosiCeiling)*GosiEmpRate,IF(IFERROR(VLOOKUP(B202,'👥 بيانات الموظفين'!$B:$D,3,0),"")="سعودية",MIN(F202+G202,GosiCeiling)*GosiEmpRate,0)))</f>
        <v>0</v>
      </c>
      <c r="T202" s="91">
        <f>IF(B202="",0,IF(OR(IFERROR(VLOOKUP(B202,'👥 بيانات الموظفين'!$B:$D,3,0),"")="سعودي",IFERROR(VLOOKUP(B202,'👥 بيانات الموظفين'!$B:$D,3,0),"")="سعودية"),MIN(F202+G202,GosiCeiling)*GosiCoRate,(F202+G202)*0.02))</f>
        <v>0</v>
      </c>
      <c r="U202" s="91">
        <f>IF(B202="",0,IFERROR(IF(VLOOKUP(B202,'👥 بيانات الموظفين'!$B:$M,12,0)&lt;5,F202/24,F202/12),0))</f>
        <v>0</v>
      </c>
    </row>
    <row r="203" spans="1:21" ht="22.15" customHeight="1" x14ac:dyDescent="0.2">
      <c r="A203" s="53">
        <f t="shared" si="30"/>
        <v>199</v>
      </c>
      <c r="B203" s="53">
        <f>IFERROR('👥 بيانات الموظفين'!B203,"")</f>
        <v>0</v>
      </c>
      <c r="C203" s="53" t="str">
        <f>IFERROR(VLOOKUP(B203,'👥 بيانات الموظفين'!$B:$C,2,0),"")</f>
        <v/>
      </c>
      <c r="D203" s="53" t="str">
        <f>IFERROR(VLOOKUP(B203,'👥 بيانات الموظفين'!$B:$E,4,0),"")</f>
        <v/>
      </c>
      <c r="E203" s="68">
        <f>IF(B203="",0,IFERROR(COUNTIFS('📅 الحضور'!$B:$B,B203,'📅 الحضور'!$L:$L,PayPeriod,'📅 الحضور'!$E:$E,"حاضر")+COUNTIFS('📅 الحضور'!$B:$B,B203,'📅 الحضور'!$L:$L,PayPeriod,'📅 الحضور'!$E:$E,"متأخر"),0))</f>
        <v>0</v>
      </c>
      <c r="F203" s="82">
        <f>IFERROR(VLOOKUP(B203,'👥 بيانات الموظفين'!$B:$H,7,0),0)</f>
        <v>0</v>
      </c>
      <c r="G203" s="82">
        <f>IFERROR(VLOOKUP(B203,'👥 بيانات الموظفين'!$B:$I,8,0),0)</f>
        <v>0</v>
      </c>
      <c r="H203" s="82">
        <f>IFERROR(VLOOKUP(B203,'👥 بيانات الموظفين'!$B:$J,9,0),0)</f>
        <v>0</v>
      </c>
      <c r="I203" s="82">
        <f>IF(B203="",0,IFERROR(SUMIFS('➕ الخصومات والمكافآت'!$E:$E,'➕ الخصومات والمكافآت'!$B:$B,B203,'➕ الخصومات والمكافآت'!$F:$F,PayPeriod,'➕ الخصومات والمكافآت'!$C:$C,"مكافأة"),0))</f>
        <v>0</v>
      </c>
      <c r="J203" s="82">
        <f t="shared" si="31"/>
        <v>0</v>
      </c>
      <c r="K203" s="82">
        <f>IF(B203="",0,IFERROR(COUNTIFS('📅 الحضور'!$B:$B,B203,'📅 الحضور'!$L:$L,PayPeriod,'📅 الحضور'!$E:$E,"غائب")*F203/WorkDaysMonth,0))</f>
        <v>0</v>
      </c>
      <c r="L203" s="82">
        <f>IF(B203="",0,IFERROR(SUMIFS('📅 الحضور'!$I:$I,'📅 الحضور'!$B:$B,B203,'📅 الحضور'!$L:$L,PayPeriod)/60/WorkHoursDay*F203/WorkDaysMonth,0))</f>
        <v>0</v>
      </c>
      <c r="M203" s="82">
        <f>IF(B203="",0,IFERROR(SUMIFS('➕ الخصومات والمكافآت'!$E:$E,'➕ الخصومات والمكافآت'!$B:$B,B203,'➕ الخصومات والمكافآت'!$F:$F,PayPeriod,'➕ الخصومات والمكافآت'!$C:$C,"خصم"),0))</f>
        <v>0</v>
      </c>
      <c r="N203" s="82">
        <f t="shared" si="32"/>
        <v>0</v>
      </c>
      <c r="O203" s="94">
        <f t="shared" si="33"/>
        <v>0</v>
      </c>
      <c r="P203" s="53"/>
      <c r="Q203" s="88">
        <f>IF(B203="",0,IFERROR(SUMIFS('📅 الحضور'!$J:$J,'📅 الحضور'!$B:$B,B203,'📅 الحضور'!$L:$L,PayPeriod),0))</f>
        <v>0</v>
      </c>
      <c r="R203" s="89">
        <f t="shared" si="34"/>
        <v>0</v>
      </c>
      <c r="S203" s="89">
        <f>IF(B203="",0,IF(IFERROR(VLOOKUP(B203,'👥 بيانات الموظفين'!$B:$D,3,0),"")="سعودي",MIN(F203+G203,GosiCeiling)*GosiEmpRate,IF(IFERROR(VLOOKUP(B203,'👥 بيانات الموظفين'!$B:$D,3,0),"")="سعودية",MIN(F203+G203,GosiCeiling)*GosiEmpRate,0)))</f>
        <v>0</v>
      </c>
      <c r="T203" s="89">
        <f>IF(B203="",0,IF(OR(IFERROR(VLOOKUP(B203,'👥 بيانات الموظفين'!$B:$D,3,0),"")="سعودي",IFERROR(VLOOKUP(B203,'👥 بيانات الموظفين'!$B:$D,3,0),"")="سعودية"),MIN(F203+G203,GosiCeiling)*GosiCoRate,(F203+G203)*0.02))</f>
        <v>0</v>
      </c>
      <c r="U203" s="89">
        <f>IF(B203="",0,IFERROR(IF(VLOOKUP(B203,'👥 بيانات الموظفين'!$B:$M,12,0)&lt;5,F203/24,F203/12),0))</f>
        <v>0</v>
      </c>
    </row>
    <row r="204" spans="1:21" ht="22.15" customHeight="1" thickBot="1" x14ac:dyDescent="0.25">
      <c r="A204" s="79">
        <f t="shared" si="30"/>
        <v>200</v>
      </c>
      <c r="B204" s="79">
        <f>IFERROR('👥 بيانات الموظفين'!B204,"")</f>
        <v>0</v>
      </c>
      <c r="C204" s="79" t="str">
        <f>IFERROR(VLOOKUP(B204,'👥 بيانات الموظفين'!$B:$C,2,0),"")</f>
        <v/>
      </c>
      <c r="D204" s="79" t="str">
        <f>IFERROR(VLOOKUP(B204,'👥 بيانات الموظفين'!$B:$E,4,0),"")</f>
        <v/>
      </c>
      <c r="E204" s="87">
        <f>IF(B204="",0,IFERROR(COUNTIFS('📅 الحضور'!$B:$B,B204,'📅 الحضور'!$L:$L,PayPeriod,'📅 الحضور'!$E:$E,"حاضر")+COUNTIFS('📅 الحضور'!$B:$B,B204,'📅 الحضور'!$L:$L,PayPeriod,'📅 الحضور'!$E:$E,"متأخر"),0))</f>
        <v>0</v>
      </c>
      <c r="F204" s="84">
        <f>IFERROR(VLOOKUP(B204,'👥 بيانات الموظفين'!$B:$H,7,0),0)</f>
        <v>0</v>
      </c>
      <c r="G204" s="84">
        <f>IFERROR(VLOOKUP(B204,'👥 بيانات الموظفين'!$B:$I,8,0),0)</f>
        <v>0</v>
      </c>
      <c r="H204" s="84">
        <f>IFERROR(VLOOKUP(B204,'👥 بيانات الموظفين'!$B:$J,9,0),0)</f>
        <v>0</v>
      </c>
      <c r="I204" s="84">
        <f>IF(B204="",0,IFERROR(SUMIFS('➕ الخصومات والمكافآت'!$E:$E,'➕ الخصومات والمكافآت'!$B:$B,B204,'➕ الخصومات والمكافآت'!$F:$F,PayPeriod,'➕ الخصومات والمكافآت'!$C:$C,"مكافأة"),0))</f>
        <v>0</v>
      </c>
      <c r="J204" s="84">
        <f t="shared" si="31"/>
        <v>0</v>
      </c>
      <c r="K204" s="84">
        <f>IF(B204="",0,IFERROR(COUNTIFS('📅 الحضور'!$B:$B,B204,'📅 الحضور'!$L:$L,PayPeriod,'📅 الحضور'!$E:$E,"غائب")*F204/WorkDaysMonth,0))</f>
        <v>0</v>
      </c>
      <c r="L204" s="84">
        <f>IF(B204="",0,IFERROR(SUMIFS('📅 الحضور'!$I:$I,'📅 الحضور'!$B:$B,B204,'📅 الحضور'!$L:$L,PayPeriod)/60/WorkHoursDay*F204/WorkDaysMonth,0))</f>
        <v>0</v>
      </c>
      <c r="M204" s="84">
        <f>IF(B204="",0,IFERROR(SUMIFS('➕ الخصومات والمكافآت'!$E:$E,'➕ الخصومات والمكافآت'!$B:$B,B204,'➕ الخصومات والمكافآت'!$F:$F,PayPeriod,'➕ الخصومات والمكافآت'!$C:$C,"خصم"),0))</f>
        <v>0</v>
      </c>
      <c r="N204" s="84">
        <f t="shared" si="32"/>
        <v>0</v>
      </c>
      <c r="O204" s="96">
        <f t="shared" si="33"/>
        <v>0</v>
      </c>
      <c r="P204" s="79"/>
      <c r="Q204" s="92">
        <f>IF(B204="",0,IFERROR(SUMIFS('📅 الحضور'!$J:$J,'📅 الحضور'!$B:$B,B204,'📅 الحضور'!$L:$L,PayPeriod),0))</f>
        <v>0</v>
      </c>
      <c r="R204" s="93">
        <f t="shared" si="34"/>
        <v>0</v>
      </c>
      <c r="S204" s="93">
        <f>IF(B204="",0,IF(IFERROR(VLOOKUP(B204,'👥 بيانات الموظفين'!$B:$D,3,0),"")="سعودي",MIN(F204+G204,GosiCeiling)*GosiEmpRate,IF(IFERROR(VLOOKUP(B204,'👥 بيانات الموظفين'!$B:$D,3,0),"")="سعودية",MIN(F204+G204,GosiCeiling)*GosiEmpRate,0)))</f>
        <v>0</v>
      </c>
      <c r="T204" s="93">
        <f>IF(B204="",0,IF(OR(IFERROR(VLOOKUP(B204,'👥 بيانات الموظفين'!$B:$D,3,0),"")="سعودي",IFERROR(VLOOKUP(B204,'👥 بيانات الموظفين'!$B:$D,3,0),"")="سعودية"),MIN(F204+G204,GosiCeiling)*GosiCoRate,(F204+G204)*0.02))</f>
        <v>0</v>
      </c>
      <c r="U204" s="93">
        <f>IF(B204="",0,IFERROR(IF(VLOOKUP(B204,'👥 بيانات الموظفين'!$B:$M,12,0)&lt;5,F204/24,F204/12),0))</f>
        <v>0</v>
      </c>
    </row>
    <row r="205" spans="1:21" ht="28.15" customHeight="1" thickTop="1" thickBot="1" x14ac:dyDescent="0.3">
      <c r="A205" s="197" t="s">
        <v>101</v>
      </c>
      <c r="B205" s="198"/>
      <c r="C205" s="198"/>
      <c r="D205" s="198"/>
      <c r="E205" s="198"/>
      <c r="F205" s="85">
        <f t="shared" ref="F205:O205" si="35">SUM(F5:F204)</f>
        <v>419000</v>
      </c>
      <c r="G205" s="85">
        <f t="shared" si="35"/>
        <v>104750</v>
      </c>
      <c r="H205" s="85">
        <f t="shared" si="35"/>
        <v>30650</v>
      </c>
      <c r="I205" s="85">
        <f t="shared" si="35"/>
        <v>51600</v>
      </c>
      <c r="J205" s="85">
        <f t="shared" si="35"/>
        <v>647467.08333333337</v>
      </c>
      <c r="K205" s="85">
        <f t="shared" si="35"/>
        <v>800</v>
      </c>
      <c r="L205" s="85">
        <f t="shared" si="35"/>
        <v>1621.0416666666674</v>
      </c>
      <c r="M205" s="85">
        <f t="shared" si="35"/>
        <v>5700</v>
      </c>
      <c r="N205" s="85">
        <f t="shared" si="35"/>
        <v>49933.541666666664</v>
      </c>
      <c r="O205" s="85">
        <f t="shared" si="35"/>
        <v>597533.54166666663</v>
      </c>
      <c r="P205" s="80"/>
      <c r="Q205" s="81">
        <f>SUM(Q5:Q204)</f>
        <v>458.23333333333358</v>
      </c>
      <c r="R205" s="86">
        <f>SUM(R5:R204)</f>
        <v>41467.083333333343</v>
      </c>
      <c r="S205" s="86">
        <f>SUM(S5:S204)</f>
        <v>41812.5</v>
      </c>
      <c r="T205" s="86">
        <f>SUM(T5:T204)</f>
        <v>52137.5</v>
      </c>
      <c r="U205" s="86">
        <f ca="1">SUM(U5:U204)</f>
        <v>28500.000000000007</v>
      </c>
    </row>
    <row r="206" spans="1:21" ht="15" thickTop="1" x14ac:dyDescent="0.2"/>
  </sheetData>
  <mergeCells count="4">
    <mergeCell ref="A1:Z1"/>
    <mergeCell ref="A205:E205"/>
    <mergeCell ref="A2:Z2"/>
    <mergeCell ref="A3:U3"/>
  </mergeCells>
  <dataValidations count="1">
    <dataValidation type="list" allowBlank="1" sqref="P5:P200" xr:uid="{00000000-0002-0000-0300-000000000000}">
      <formula1>"تم الصرف,قيد المعالجة,معلق"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293B"/>
  </sheetPr>
  <dimension ref="A1:Z504"/>
  <sheetViews>
    <sheetView showGridLines="0" rightToLeft="1" zoomScaleNormal="100"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activeCell="F8" sqref="F8"/>
    </sheetView>
  </sheetViews>
  <sheetFormatPr defaultRowHeight="14.25" x14ac:dyDescent="0.2"/>
  <cols>
    <col min="1" max="1" width="5.625" customWidth="1"/>
    <col min="2" max="2" width="12.625" customWidth="1"/>
    <col min="3" max="3" width="24.625" customWidth="1"/>
    <col min="4" max="6" width="14.625" customWidth="1"/>
    <col min="7" max="8" width="10.625" customWidth="1"/>
    <col min="9" max="9" width="24.625" customWidth="1"/>
    <col min="10" max="11" width="18.625" customWidth="1"/>
    <col min="12" max="12" width="20" customWidth="1"/>
  </cols>
  <sheetData>
    <row r="1" spans="1:26" ht="38.1" customHeight="1" x14ac:dyDescent="0.2">
      <c r="A1" s="191" t="s">
        <v>102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20.100000000000001" customHeight="1" x14ac:dyDescent="0.2">
      <c r="A2" s="192" t="s">
        <v>103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4" spans="1:26" ht="32.1" customHeight="1" x14ac:dyDescent="0.2">
      <c r="A4" s="35" t="s">
        <v>45</v>
      </c>
      <c r="B4" s="35" t="s">
        <v>46</v>
      </c>
      <c r="C4" s="35" t="s">
        <v>79</v>
      </c>
      <c r="D4" s="35" t="s">
        <v>104</v>
      </c>
      <c r="E4" s="35" t="s">
        <v>105</v>
      </c>
      <c r="F4" s="35" t="s">
        <v>50</v>
      </c>
      <c r="G4" s="35" t="s">
        <v>106</v>
      </c>
      <c r="H4" s="35" t="s">
        <v>107</v>
      </c>
      <c r="I4" s="35" t="s">
        <v>108</v>
      </c>
      <c r="J4" s="35" t="s">
        <v>109</v>
      </c>
      <c r="K4" s="35" t="s">
        <v>194</v>
      </c>
      <c r="L4" s="97" t="s">
        <v>62</v>
      </c>
    </row>
    <row r="5" spans="1:26" ht="22.15" customHeight="1" x14ac:dyDescent="0.2">
      <c r="A5" s="53">
        <v>1</v>
      </c>
      <c r="B5" s="53" t="s">
        <v>249</v>
      </c>
      <c r="C5" s="53" t="str">
        <f>IFERROR(VLOOKUP(B5,'👥 بيانات الموظفين'!B:C,2,0),"")</f>
        <v>Maria Garcia Lopez</v>
      </c>
      <c r="D5" s="53" t="s">
        <v>181</v>
      </c>
      <c r="E5" s="55">
        <f>DATEVALUE("2026-04-22")</f>
        <v>46134</v>
      </c>
      <c r="F5" s="55">
        <f>DATEVALUE("2026-04-30")</f>
        <v>46142</v>
      </c>
      <c r="G5" s="68">
        <f t="shared" ref="G5:G68" si="0">IFERROR(IF(AND(E5&lt;&gt;"",F5&lt;&gt;""),F5-E5+1,""),"")</f>
        <v>9</v>
      </c>
      <c r="H5" s="68">
        <f t="shared" ref="H5:H68" si="1">IF(AND(E5&lt;&gt;"",G5&lt;&gt;""),NETWORKDAYS(E5,G5),"")</f>
        <v>-32948</v>
      </c>
      <c r="I5" s="53" t="s">
        <v>399</v>
      </c>
      <c r="J5" s="53" t="s">
        <v>356</v>
      </c>
      <c r="K5" s="53" t="s">
        <v>196</v>
      </c>
      <c r="L5" s="98"/>
    </row>
    <row r="6" spans="1:26" ht="22.15" customHeight="1" x14ac:dyDescent="0.2">
      <c r="A6" s="57">
        <v>2</v>
      </c>
      <c r="B6" s="57" t="s">
        <v>245</v>
      </c>
      <c r="C6" s="57" t="str">
        <f>IFERROR(VLOOKUP(B6,'👥 بيانات الموظفين'!B:C,2,0),"")</f>
        <v>Omar Khalid Mansour</v>
      </c>
      <c r="D6" s="57" t="s">
        <v>186</v>
      </c>
      <c r="E6" s="59">
        <f>DATEVALUE("2026-04-07")</f>
        <v>46119</v>
      </c>
      <c r="F6" s="59">
        <f>DATEVALUE("2026-04-13")</f>
        <v>46125</v>
      </c>
      <c r="G6" s="69">
        <f t="shared" si="0"/>
        <v>7</v>
      </c>
      <c r="H6" s="69">
        <f t="shared" si="1"/>
        <v>-32937</v>
      </c>
      <c r="I6" s="57" t="s">
        <v>400</v>
      </c>
      <c r="J6" s="57" t="s">
        <v>355</v>
      </c>
      <c r="K6" s="57" t="s">
        <v>196</v>
      </c>
      <c r="L6" s="99"/>
    </row>
    <row r="7" spans="1:26" ht="22.15" customHeight="1" x14ac:dyDescent="0.2">
      <c r="A7" s="53">
        <v>3</v>
      </c>
      <c r="B7" s="53" t="s">
        <v>238</v>
      </c>
      <c r="C7" s="53" t="str">
        <f>IFERROR(VLOOKUP(B7,'👥 بيانات الموظفين'!B:C,2,0),"")</f>
        <v>عبدالرحمن خالد المالكي</v>
      </c>
      <c r="D7" s="53" t="s">
        <v>182</v>
      </c>
      <c r="E7" s="55">
        <f>DATEVALUE("2026-04-14")</f>
        <v>46126</v>
      </c>
      <c r="F7" s="55">
        <f>DATEVALUE("2026-04-15")</f>
        <v>46127</v>
      </c>
      <c r="G7" s="68">
        <f t="shared" si="0"/>
        <v>2</v>
      </c>
      <c r="H7" s="68">
        <f t="shared" si="1"/>
        <v>-32947</v>
      </c>
      <c r="I7" s="53" t="s">
        <v>401</v>
      </c>
      <c r="J7" s="53" t="s">
        <v>353</v>
      </c>
      <c r="K7" s="53" t="s">
        <v>196</v>
      </c>
      <c r="L7" s="98"/>
    </row>
    <row r="8" spans="1:26" ht="22.15" customHeight="1" x14ac:dyDescent="0.2">
      <c r="A8" s="57">
        <v>4</v>
      </c>
      <c r="B8" s="57" t="s">
        <v>251</v>
      </c>
      <c r="C8" s="57" t="str">
        <f>IFERROR(VLOOKUP(B8,'👥 بيانات الموظفين'!B:C,2,0),"")</f>
        <v>ريان محمد العسيري</v>
      </c>
      <c r="D8" s="57" t="s">
        <v>183</v>
      </c>
      <c r="E8" s="59">
        <f>DATEVALUE("2026-04-23")</f>
        <v>46135</v>
      </c>
      <c r="F8" s="59">
        <f>DATEVALUE("2026-04-23")</f>
        <v>46135</v>
      </c>
      <c r="G8" s="69">
        <f t="shared" si="0"/>
        <v>1</v>
      </c>
      <c r="H8" s="69">
        <f t="shared" si="1"/>
        <v>-32954</v>
      </c>
      <c r="I8" s="57" t="s">
        <v>402</v>
      </c>
      <c r="J8" s="57" t="s">
        <v>357</v>
      </c>
      <c r="K8" s="57" t="s">
        <v>196</v>
      </c>
      <c r="L8" s="99"/>
    </row>
    <row r="9" spans="1:26" ht="22.15" customHeight="1" x14ac:dyDescent="0.2">
      <c r="A9" s="53">
        <v>5</v>
      </c>
      <c r="B9" s="53" t="s">
        <v>237</v>
      </c>
      <c r="C9" s="53" t="str">
        <f>IFERROR(VLOOKUP(B9,'👥 بيانات الموظفين'!B:C,2,0),"")</f>
        <v>نورة عبدالله الشمري</v>
      </c>
      <c r="D9" s="53" t="s">
        <v>184</v>
      </c>
      <c r="E9" s="55">
        <f>DATEVALUE("2026-01-10")</f>
        <v>46032</v>
      </c>
      <c r="F9" s="55">
        <f>DATEVALUE("2026-03-15")</f>
        <v>46096</v>
      </c>
      <c r="G9" s="68">
        <f t="shared" si="0"/>
        <v>65</v>
      </c>
      <c r="H9" s="68">
        <f t="shared" si="1"/>
        <v>-32835</v>
      </c>
      <c r="I9" s="53" t="s">
        <v>403</v>
      </c>
      <c r="J9" s="53" t="s">
        <v>357</v>
      </c>
      <c r="K9" s="53" t="s">
        <v>196</v>
      </c>
      <c r="L9" s="98"/>
    </row>
    <row r="10" spans="1:26" ht="22.15" customHeight="1" x14ac:dyDescent="0.2">
      <c r="A10" s="57">
        <v>6</v>
      </c>
      <c r="B10" s="57" t="s">
        <v>243</v>
      </c>
      <c r="C10" s="57" t="str">
        <f>IFERROR(VLOOKUP(B10,'👥 بيانات الموظفين'!B:C,2,0),"")</f>
        <v>سارة أحمد الحربي</v>
      </c>
      <c r="D10" s="57" t="s">
        <v>185</v>
      </c>
      <c r="E10" s="59">
        <f>DATEVALUE("2026-07-05")</f>
        <v>46208</v>
      </c>
      <c r="F10" s="59">
        <f>DATEVALUE("2026-07-15")</f>
        <v>46218</v>
      </c>
      <c r="G10" s="69">
        <f t="shared" si="0"/>
        <v>11</v>
      </c>
      <c r="H10" s="69">
        <f t="shared" si="1"/>
        <v>-32998</v>
      </c>
      <c r="I10" s="57" t="s">
        <v>404</v>
      </c>
      <c r="J10" s="57" t="s">
        <v>355</v>
      </c>
      <c r="K10" s="57" t="s">
        <v>195</v>
      </c>
      <c r="L10" s="99"/>
    </row>
    <row r="11" spans="1:26" ht="22.15" customHeight="1" x14ac:dyDescent="0.2">
      <c r="A11" s="53">
        <v>7</v>
      </c>
      <c r="B11" s="53" t="s">
        <v>252</v>
      </c>
      <c r="C11" s="53" t="str">
        <f>IFERROR(VLOOKUP(B11,'👥 بيانات الموظفين'!B:C,2,0),"")</f>
        <v>عبدالله صالح الراشد</v>
      </c>
      <c r="D11" s="53" t="s">
        <v>181</v>
      </c>
      <c r="E11" s="55">
        <f>DATEVALUE("2026-05-10")</f>
        <v>46152</v>
      </c>
      <c r="F11" s="55">
        <f>DATEVALUE("2026-05-20")</f>
        <v>46162</v>
      </c>
      <c r="G11" s="68">
        <f t="shared" si="0"/>
        <v>11</v>
      </c>
      <c r="H11" s="68">
        <f t="shared" si="1"/>
        <v>-32958</v>
      </c>
      <c r="I11" s="53" t="s">
        <v>405</v>
      </c>
      <c r="J11" s="53" t="s">
        <v>358</v>
      </c>
      <c r="K11" s="53" t="s">
        <v>195</v>
      </c>
      <c r="L11" s="98"/>
    </row>
    <row r="12" spans="1:26" ht="22.15" customHeight="1" x14ac:dyDescent="0.2">
      <c r="A12" s="57">
        <v>8</v>
      </c>
      <c r="B12" s="57" t="s">
        <v>255</v>
      </c>
      <c r="C12" s="57" t="str">
        <f>IFERROR(VLOOKUP(B12,'👥 بيانات الموظفين'!B:C,2,0),"")</f>
        <v>ناصر علي الشمراني</v>
      </c>
      <c r="D12" s="57" t="s">
        <v>181</v>
      </c>
      <c r="E12" s="59">
        <f>DATEVALUE("2026-06-01")</f>
        <v>46174</v>
      </c>
      <c r="F12" s="59">
        <f>DATEVALUE("2026-06-15")</f>
        <v>46188</v>
      </c>
      <c r="G12" s="69">
        <f t="shared" si="0"/>
        <v>15</v>
      </c>
      <c r="H12" s="69">
        <f t="shared" si="1"/>
        <v>-32971</v>
      </c>
      <c r="I12" s="57" t="s">
        <v>406</v>
      </c>
      <c r="J12" s="57" t="s">
        <v>354</v>
      </c>
      <c r="K12" s="57" t="s">
        <v>195</v>
      </c>
      <c r="L12" s="99"/>
    </row>
    <row r="13" spans="1:26" ht="22.15" customHeight="1" x14ac:dyDescent="0.2">
      <c r="A13" s="53">
        <v>9</v>
      </c>
      <c r="B13" s="53" t="s">
        <v>241</v>
      </c>
      <c r="C13" s="53" t="str">
        <f>IFERROR(VLOOKUP(B13,'👥 بيانات الموظفين'!B:C,2,0),"")</f>
        <v>فهد عبدالله الشهري</v>
      </c>
      <c r="D13" s="53" t="s">
        <v>183</v>
      </c>
      <c r="E13" s="55">
        <f>DATEVALUE("2026-04-29")</f>
        <v>46141</v>
      </c>
      <c r="F13" s="55">
        <f>DATEVALUE("2026-04-29")</f>
        <v>46141</v>
      </c>
      <c r="G13" s="68">
        <f t="shared" si="0"/>
        <v>1</v>
      </c>
      <c r="H13" s="68">
        <f t="shared" si="1"/>
        <v>-32958</v>
      </c>
      <c r="I13" s="53" t="s">
        <v>407</v>
      </c>
      <c r="J13" s="53" t="s">
        <v>353</v>
      </c>
      <c r="K13" s="53" t="s">
        <v>197</v>
      </c>
      <c r="L13" s="98"/>
    </row>
    <row r="14" spans="1:26" ht="22.15" customHeight="1" x14ac:dyDescent="0.2">
      <c r="A14" s="57">
        <v>10</v>
      </c>
      <c r="B14" s="57" t="s">
        <v>248</v>
      </c>
      <c r="C14" s="57" t="str">
        <f>IFERROR(VLOOKUP(B14,'👥 بيانات الموظفين'!B:C,2,0),"")</f>
        <v>لمى محمد البرقاوي</v>
      </c>
      <c r="D14" s="57" t="s">
        <v>181</v>
      </c>
      <c r="E14" s="59">
        <f>DATEVALUE("2026-08-01")</f>
        <v>46235</v>
      </c>
      <c r="F14" s="59">
        <f>DATEVALUE("2026-08-10")</f>
        <v>46244</v>
      </c>
      <c r="G14" s="69">
        <f t="shared" si="0"/>
        <v>10</v>
      </c>
      <c r="H14" s="69">
        <f t="shared" si="1"/>
        <v>-33019</v>
      </c>
      <c r="I14" s="57" t="s">
        <v>397</v>
      </c>
      <c r="J14" s="57" t="s">
        <v>356</v>
      </c>
      <c r="K14" s="57" t="s">
        <v>196</v>
      </c>
      <c r="L14" s="99"/>
    </row>
    <row r="15" spans="1:26" ht="22.15" customHeight="1" x14ac:dyDescent="0.2">
      <c r="A15" s="53">
        <v>11</v>
      </c>
      <c r="B15" s="53" t="s">
        <v>72</v>
      </c>
      <c r="C15" s="53" t="str">
        <f>IFERROR(VLOOKUP(B15,'👥 بيانات الموظفين'!B:C,2,0),"")</f>
        <v>سلطان فيصل القحطاني</v>
      </c>
      <c r="D15" s="53" t="s">
        <v>181</v>
      </c>
      <c r="E15" s="55">
        <f>DATEVALUE("2026-06-20")</f>
        <v>46193</v>
      </c>
      <c r="F15" s="55">
        <f>DATEVALUE("2026-06-30")</f>
        <v>46203</v>
      </c>
      <c r="G15" s="68">
        <f t="shared" si="0"/>
        <v>11</v>
      </c>
      <c r="H15" s="68">
        <f t="shared" si="1"/>
        <v>-32988</v>
      </c>
      <c r="I15" s="53" t="s">
        <v>408</v>
      </c>
      <c r="J15" s="53" t="s">
        <v>352</v>
      </c>
      <c r="K15" s="53" t="s">
        <v>196</v>
      </c>
      <c r="L15" s="98"/>
    </row>
    <row r="16" spans="1:26" ht="22.15" customHeight="1" x14ac:dyDescent="0.2">
      <c r="A16" s="57">
        <v>12</v>
      </c>
      <c r="B16" s="57" t="s">
        <v>240</v>
      </c>
      <c r="C16" s="57" t="str">
        <f>IFERROR(VLOOKUP(B16,'👥 بيانات الموظفين'!B:C,2,0),"")</f>
        <v>ريم سعود العنزي</v>
      </c>
      <c r="D16" s="57" t="s">
        <v>182</v>
      </c>
      <c r="E16" s="59">
        <f>DATEVALUE("2026-04-08")</f>
        <v>46120</v>
      </c>
      <c r="F16" s="59">
        <f>DATEVALUE("2026-04-09")</f>
        <v>46121</v>
      </c>
      <c r="G16" s="69">
        <f t="shared" si="0"/>
        <v>2</v>
      </c>
      <c r="H16" s="69">
        <f t="shared" si="1"/>
        <v>-32943</v>
      </c>
      <c r="I16" s="57" t="s">
        <v>409</v>
      </c>
      <c r="J16" s="57" t="s">
        <v>353</v>
      </c>
      <c r="K16" s="57" t="s">
        <v>196</v>
      </c>
      <c r="L16" s="99"/>
    </row>
    <row r="17" spans="1:12" ht="22.15" customHeight="1" x14ac:dyDescent="0.2">
      <c r="A17" s="53">
        <v>13</v>
      </c>
      <c r="B17" s="53" t="s">
        <v>254</v>
      </c>
      <c r="C17" s="53" t="str">
        <f>IFERROR(VLOOKUP(B17,'👥 بيانات الموظفين'!B:C,2,0),"")</f>
        <v>Hassan Ali Khoury</v>
      </c>
      <c r="D17" s="53" t="s">
        <v>187</v>
      </c>
      <c r="E17" s="55">
        <f>DATEVALUE("2026-03-20")</f>
        <v>46101</v>
      </c>
      <c r="F17" s="55">
        <f>DATEVALUE("2026-03-22")</f>
        <v>46103</v>
      </c>
      <c r="G17" s="68">
        <f t="shared" si="0"/>
        <v>3</v>
      </c>
      <c r="H17" s="68">
        <f t="shared" si="1"/>
        <v>-32929</v>
      </c>
      <c r="I17" s="53" t="s">
        <v>410</v>
      </c>
      <c r="J17" s="53" t="s">
        <v>359</v>
      </c>
      <c r="K17" s="53" t="s">
        <v>196</v>
      </c>
      <c r="L17" s="98"/>
    </row>
    <row r="18" spans="1:12" ht="22.15" customHeight="1" x14ac:dyDescent="0.2">
      <c r="A18" s="57">
        <v>14</v>
      </c>
      <c r="B18" s="57" t="s">
        <v>69</v>
      </c>
      <c r="C18" s="57" t="str">
        <f>IFERROR(VLOOKUP(B18,'👥 بيانات الموظفين'!B:C,2,0),"")</f>
        <v>خالد عبدالرحمن الدوسري</v>
      </c>
      <c r="D18" s="57" t="s">
        <v>181</v>
      </c>
      <c r="E18" s="59">
        <f>DATEVALUE("2026-09-01")</f>
        <v>46266</v>
      </c>
      <c r="F18" s="59">
        <f>DATEVALUE("2026-09-15")</f>
        <v>46280</v>
      </c>
      <c r="G18" s="69">
        <f t="shared" si="0"/>
        <v>15</v>
      </c>
      <c r="H18" s="69">
        <f t="shared" si="1"/>
        <v>-33037</v>
      </c>
      <c r="I18" s="57" t="s">
        <v>397</v>
      </c>
      <c r="J18" s="57" t="s">
        <v>352</v>
      </c>
      <c r="K18" s="57" t="s">
        <v>195</v>
      </c>
      <c r="L18" s="99"/>
    </row>
    <row r="19" spans="1:12" ht="22.15" customHeight="1" x14ac:dyDescent="0.2">
      <c r="A19" s="53">
        <v>15</v>
      </c>
      <c r="B19" s="53" t="s">
        <v>258</v>
      </c>
      <c r="C19" s="53" t="str">
        <f>IFERROR(VLOOKUP(B19,'👥 بيانات الموظفين'!B:C,2,0),"")</f>
        <v>Sara Mahmoud Ibrahim</v>
      </c>
      <c r="D19" s="53" t="s">
        <v>181</v>
      </c>
      <c r="E19" s="55">
        <f>DATEVALUE("2026-04-01")</f>
        <v>46113</v>
      </c>
      <c r="F19" s="55">
        <f>DATEVALUE("2026-04-03")</f>
        <v>46115</v>
      </c>
      <c r="G19" s="68">
        <f t="shared" si="0"/>
        <v>3</v>
      </c>
      <c r="H19" s="68">
        <f t="shared" si="1"/>
        <v>-32937</v>
      </c>
      <c r="I19" s="53" t="s">
        <v>411</v>
      </c>
      <c r="J19" s="53" t="s">
        <v>360</v>
      </c>
      <c r="K19" s="53" t="s">
        <v>196</v>
      </c>
      <c r="L19" s="98"/>
    </row>
    <row r="20" spans="1:12" ht="22.15" customHeight="1" x14ac:dyDescent="0.2">
      <c r="A20" s="57">
        <v>16</v>
      </c>
      <c r="B20" s="57" t="s">
        <v>250</v>
      </c>
      <c r="C20" s="57" t="str">
        <f>IFERROR(VLOOKUP(B20,'👥 بيانات الموظفين'!B:C,2,0),"")</f>
        <v>حنان عبدالكريم الخميس</v>
      </c>
      <c r="D20" s="57" t="s">
        <v>181</v>
      </c>
      <c r="E20" s="59">
        <f>DATEVALUE("2026-07-20")</f>
        <v>46223</v>
      </c>
      <c r="F20" s="59">
        <f>DATEVALUE("2026-07-31")</f>
        <v>46234</v>
      </c>
      <c r="G20" s="69">
        <f t="shared" si="0"/>
        <v>12</v>
      </c>
      <c r="H20" s="69">
        <f t="shared" si="1"/>
        <v>-33008</v>
      </c>
      <c r="I20" s="57" t="s">
        <v>406</v>
      </c>
      <c r="J20" s="57" t="s">
        <v>354</v>
      </c>
      <c r="K20" s="57" t="s">
        <v>195</v>
      </c>
      <c r="L20" s="99"/>
    </row>
    <row r="21" spans="1:12" ht="22.15" customHeight="1" x14ac:dyDescent="0.2">
      <c r="A21" s="53" t="str">
        <f>IF(B21&lt;&gt;"",17,"")</f>
        <v/>
      </c>
      <c r="B21" s="53"/>
      <c r="C21" s="53" t="str">
        <f>IFERROR(VLOOKUP(B21,'👥 بيانات الموظفين'!B:C,2,0),"")</f>
        <v/>
      </c>
      <c r="D21" s="53"/>
      <c r="E21" s="55"/>
      <c r="F21" s="55"/>
      <c r="G21" s="68" t="str">
        <f t="shared" si="0"/>
        <v/>
      </c>
      <c r="H21" s="68" t="str">
        <f t="shared" si="1"/>
        <v/>
      </c>
      <c r="I21" s="53" t="str">
        <f>IFERROR(VLOOKUP(B21,'👥 بيانات الموظفين'!B:Q,16,0)-SUMIFS(H$5:H21,B$5:B21,B21,F$5:F21,"معتمدة"),"")</f>
        <v/>
      </c>
      <c r="J21" s="53"/>
      <c r="K21" s="53"/>
      <c r="L21" s="98"/>
    </row>
    <row r="22" spans="1:12" ht="22.15" customHeight="1" x14ac:dyDescent="0.2">
      <c r="A22" s="57" t="str">
        <f>IF(B22&lt;&gt;"",18,"")</f>
        <v/>
      </c>
      <c r="B22" s="57"/>
      <c r="C22" s="57" t="str">
        <f>IFERROR(VLOOKUP(B22,'👥 بيانات الموظفين'!B:C,2,0),"")</f>
        <v/>
      </c>
      <c r="D22" s="57"/>
      <c r="E22" s="59"/>
      <c r="F22" s="59"/>
      <c r="G22" s="69" t="str">
        <f t="shared" si="0"/>
        <v/>
      </c>
      <c r="H22" s="69" t="str">
        <f t="shared" si="1"/>
        <v/>
      </c>
      <c r="I22" s="57" t="str">
        <f>IFERROR(VLOOKUP(B22,'👥 بيانات الموظفين'!B:Q,16,0)-SUMIFS(H$5:H22,B$5:B22,B22,F$5:F22,"معتمدة"),"")</f>
        <v/>
      </c>
      <c r="J22" s="57"/>
      <c r="K22" s="57"/>
      <c r="L22" s="99"/>
    </row>
    <row r="23" spans="1:12" ht="22.15" customHeight="1" x14ac:dyDescent="0.2">
      <c r="A23" s="53" t="str">
        <f>IF(B23&lt;&gt;"",19,"")</f>
        <v/>
      </c>
      <c r="B23" s="53"/>
      <c r="C23" s="53" t="str">
        <f>IFERROR(VLOOKUP(B23,'👥 بيانات الموظفين'!B:C,2,0),"")</f>
        <v/>
      </c>
      <c r="D23" s="53"/>
      <c r="E23" s="55"/>
      <c r="F23" s="55"/>
      <c r="G23" s="68" t="str">
        <f t="shared" si="0"/>
        <v/>
      </c>
      <c r="H23" s="68" t="str">
        <f t="shared" si="1"/>
        <v/>
      </c>
      <c r="I23" s="53" t="str">
        <f>IFERROR(VLOOKUP(B23,'👥 بيانات الموظفين'!B:Q,16,0)-SUMIFS(H$5:H23,B$5:B23,B23,F$5:F23,"معتمدة"),"")</f>
        <v/>
      </c>
      <c r="J23" s="53"/>
      <c r="K23" s="53"/>
      <c r="L23" s="98"/>
    </row>
    <row r="24" spans="1:12" ht="22.15" customHeight="1" x14ac:dyDescent="0.2">
      <c r="A24" s="57" t="str">
        <f>IF(B24&lt;&gt;"",20,"")</f>
        <v/>
      </c>
      <c r="B24" s="57"/>
      <c r="C24" s="57" t="str">
        <f>IFERROR(VLOOKUP(B24,'👥 بيانات الموظفين'!B:C,2,0),"")</f>
        <v/>
      </c>
      <c r="D24" s="57"/>
      <c r="E24" s="59"/>
      <c r="F24" s="59"/>
      <c r="G24" s="69" t="str">
        <f t="shared" si="0"/>
        <v/>
      </c>
      <c r="H24" s="69" t="str">
        <f t="shared" si="1"/>
        <v/>
      </c>
      <c r="I24" s="57" t="str">
        <f>IFERROR(VLOOKUP(B24,'👥 بيانات الموظفين'!B:Q,16,0)-SUMIFS(H$5:H24,B$5:B24,B24,F$5:F24,"معتمدة"),"")</f>
        <v/>
      </c>
      <c r="J24" s="57"/>
      <c r="K24" s="57"/>
      <c r="L24" s="99"/>
    </row>
    <row r="25" spans="1:12" ht="22.15" customHeight="1" x14ac:dyDescent="0.2">
      <c r="A25" s="53" t="str">
        <f>IF(B25&lt;&gt;"",21,"")</f>
        <v/>
      </c>
      <c r="B25" s="53"/>
      <c r="C25" s="53" t="str">
        <f>IFERROR(VLOOKUP(B25,'👥 بيانات الموظفين'!B:C,2,0),"")</f>
        <v/>
      </c>
      <c r="D25" s="53"/>
      <c r="E25" s="55"/>
      <c r="F25" s="55"/>
      <c r="G25" s="68" t="str">
        <f t="shared" si="0"/>
        <v/>
      </c>
      <c r="H25" s="68" t="str">
        <f t="shared" si="1"/>
        <v/>
      </c>
      <c r="I25" s="53" t="str">
        <f>IFERROR(VLOOKUP(B25,'👥 بيانات الموظفين'!B:Q,16,0)-SUMIFS(H$5:H25,B$5:B25,B25,F$5:F25,"معتمدة"),"")</f>
        <v/>
      </c>
      <c r="J25" s="53"/>
      <c r="K25" s="53"/>
      <c r="L25" s="98"/>
    </row>
    <row r="26" spans="1:12" ht="22.15" customHeight="1" x14ac:dyDescent="0.2">
      <c r="A26" s="57" t="str">
        <f>IF(B26&lt;&gt;"",22,"")</f>
        <v/>
      </c>
      <c r="B26" s="57"/>
      <c r="C26" s="57" t="str">
        <f>IFERROR(VLOOKUP(B26,'👥 بيانات الموظفين'!B:C,2,0),"")</f>
        <v/>
      </c>
      <c r="D26" s="57"/>
      <c r="E26" s="59"/>
      <c r="F26" s="59"/>
      <c r="G26" s="69" t="str">
        <f t="shared" si="0"/>
        <v/>
      </c>
      <c r="H26" s="69" t="str">
        <f t="shared" si="1"/>
        <v/>
      </c>
      <c r="I26" s="57" t="str">
        <f>IFERROR(VLOOKUP(B26,'👥 بيانات الموظفين'!B:Q,16,0)-SUMIFS(H$5:H26,B$5:B26,B26,F$5:F26,"معتمدة"),"")</f>
        <v/>
      </c>
      <c r="J26" s="57"/>
      <c r="K26" s="57"/>
      <c r="L26" s="99"/>
    </row>
    <row r="27" spans="1:12" ht="22.15" customHeight="1" x14ac:dyDescent="0.2">
      <c r="A27" s="53" t="str">
        <f>IF(B27&lt;&gt;"",23,"")</f>
        <v/>
      </c>
      <c r="B27" s="53"/>
      <c r="C27" s="53" t="str">
        <f>IFERROR(VLOOKUP(B27,'👥 بيانات الموظفين'!B:C,2,0),"")</f>
        <v/>
      </c>
      <c r="D27" s="53"/>
      <c r="E27" s="55"/>
      <c r="F27" s="55"/>
      <c r="G27" s="68" t="str">
        <f t="shared" si="0"/>
        <v/>
      </c>
      <c r="H27" s="68" t="str">
        <f t="shared" si="1"/>
        <v/>
      </c>
      <c r="I27" s="53" t="str">
        <f>IFERROR(VLOOKUP(B27,'👥 بيانات الموظفين'!B:Q,16,0)-SUMIFS(H$5:H27,B$5:B27,B27,F$5:F27,"معتمدة"),"")</f>
        <v/>
      </c>
      <c r="J27" s="53"/>
      <c r="K27" s="53"/>
      <c r="L27" s="98"/>
    </row>
    <row r="28" spans="1:12" ht="22.15" customHeight="1" x14ac:dyDescent="0.2">
      <c r="A28" s="57" t="str">
        <f>IF(B28&lt;&gt;"",24,"")</f>
        <v/>
      </c>
      <c r="B28" s="57"/>
      <c r="C28" s="57" t="str">
        <f>IFERROR(VLOOKUP(B28,'👥 بيانات الموظفين'!B:C,2,0),"")</f>
        <v/>
      </c>
      <c r="D28" s="57"/>
      <c r="E28" s="59"/>
      <c r="F28" s="59"/>
      <c r="G28" s="69" t="str">
        <f t="shared" si="0"/>
        <v/>
      </c>
      <c r="H28" s="69" t="str">
        <f t="shared" si="1"/>
        <v/>
      </c>
      <c r="I28" s="57" t="str">
        <f>IFERROR(VLOOKUP(B28,'👥 بيانات الموظفين'!B:Q,16,0)-SUMIFS(H$5:H28,B$5:B28,B28,F$5:F28,"معتمدة"),"")</f>
        <v/>
      </c>
      <c r="J28" s="57"/>
      <c r="K28" s="57"/>
      <c r="L28" s="99"/>
    </row>
    <row r="29" spans="1:12" ht="22.15" customHeight="1" x14ac:dyDescent="0.2">
      <c r="A29" s="53" t="str">
        <f>IF(B29&lt;&gt;"",25,"")</f>
        <v/>
      </c>
      <c r="B29" s="53"/>
      <c r="C29" s="53" t="str">
        <f>IFERROR(VLOOKUP(B29,'👥 بيانات الموظفين'!B:C,2,0),"")</f>
        <v/>
      </c>
      <c r="D29" s="53"/>
      <c r="E29" s="55"/>
      <c r="F29" s="55"/>
      <c r="G29" s="68" t="str">
        <f t="shared" si="0"/>
        <v/>
      </c>
      <c r="H29" s="68" t="str">
        <f t="shared" si="1"/>
        <v/>
      </c>
      <c r="I29" s="53" t="str">
        <f>IFERROR(VLOOKUP(B29,'👥 بيانات الموظفين'!B:Q,16,0)-SUMIFS(H$5:H29,B$5:B29,B29,F$5:F29,"معتمدة"),"")</f>
        <v/>
      </c>
      <c r="J29" s="53"/>
      <c r="K29" s="53"/>
      <c r="L29" s="98"/>
    </row>
    <row r="30" spans="1:12" ht="22.15" customHeight="1" x14ac:dyDescent="0.2">
      <c r="A30" s="57" t="str">
        <f>IF(B30&lt;&gt;"",26,"")</f>
        <v/>
      </c>
      <c r="B30" s="57"/>
      <c r="C30" s="57" t="str">
        <f>IFERROR(VLOOKUP(B30,'👥 بيانات الموظفين'!B:C,2,0),"")</f>
        <v/>
      </c>
      <c r="D30" s="57"/>
      <c r="E30" s="59"/>
      <c r="F30" s="59"/>
      <c r="G30" s="69" t="str">
        <f t="shared" si="0"/>
        <v/>
      </c>
      <c r="H30" s="69" t="str">
        <f t="shared" si="1"/>
        <v/>
      </c>
      <c r="I30" s="57" t="str">
        <f>IFERROR(VLOOKUP(B30,'👥 بيانات الموظفين'!B:Q,16,0)-SUMIFS(H$5:H30,B$5:B30,B30,F$5:F30,"معتمدة"),"")</f>
        <v/>
      </c>
      <c r="J30" s="57"/>
      <c r="K30" s="57"/>
      <c r="L30" s="99"/>
    </row>
    <row r="31" spans="1:12" ht="22.15" customHeight="1" x14ac:dyDescent="0.2">
      <c r="A31" s="53" t="str">
        <f>IF(B31&lt;&gt;"",27,"")</f>
        <v/>
      </c>
      <c r="B31" s="53"/>
      <c r="C31" s="53" t="str">
        <f>IFERROR(VLOOKUP(B31,'👥 بيانات الموظفين'!B:C,2,0),"")</f>
        <v/>
      </c>
      <c r="D31" s="53"/>
      <c r="E31" s="55"/>
      <c r="F31" s="55"/>
      <c r="G31" s="68" t="str">
        <f t="shared" si="0"/>
        <v/>
      </c>
      <c r="H31" s="68" t="str">
        <f t="shared" si="1"/>
        <v/>
      </c>
      <c r="I31" s="53" t="str">
        <f>IFERROR(VLOOKUP(B31,'👥 بيانات الموظفين'!B:Q,16,0)-SUMIFS(H$5:H31,B$5:B31,B31,F$5:F31,"معتمدة"),"")</f>
        <v/>
      </c>
      <c r="J31" s="53"/>
      <c r="K31" s="53"/>
      <c r="L31" s="98"/>
    </row>
    <row r="32" spans="1:12" ht="22.15" customHeight="1" x14ac:dyDescent="0.2">
      <c r="A32" s="57" t="str">
        <f>IF(B32&lt;&gt;"",28,"")</f>
        <v/>
      </c>
      <c r="B32" s="57"/>
      <c r="C32" s="57" t="str">
        <f>IFERROR(VLOOKUP(B32,'👥 بيانات الموظفين'!B:C,2,0),"")</f>
        <v/>
      </c>
      <c r="D32" s="57"/>
      <c r="E32" s="59"/>
      <c r="F32" s="59"/>
      <c r="G32" s="69" t="str">
        <f t="shared" si="0"/>
        <v/>
      </c>
      <c r="H32" s="69" t="str">
        <f t="shared" si="1"/>
        <v/>
      </c>
      <c r="I32" s="57" t="str">
        <f>IFERROR(VLOOKUP(B32,'👥 بيانات الموظفين'!B:Q,16,0)-SUMIFS(H$5:H32,B$5:B32,B32,F$5:F32,"معتمدة"),"")</f>
        <v/>
      </c>
      <c r="J32" s="57"/>
      <c r="K32" s="57"/>
      <c r="L32" s="99"/>
    </row>
    <row r="33" spans="1:12" ht="22.15" customHeight="1" x14ac:dyDescent="0.2">
      <c r="A33" s="53" t="str">
        <f>IF(B33&lt;&gt;"",29,"")</f>
        <v/>
      </c>
      <c r="B33" s="53"/>
      <c r="C33" s="53" t="str">
        <f>IFERROR(VLOOKUP(B33,'👥 بيانات الموظفين'!B:C,2,0),"")</f>
        <v/>
      </c>
      <c r="D33" s="53"/>
      <c r="E33" s="55"/>
      <c r="F33" s="55"/>
      <c r="G33" s="68" t="str">
        <f t="shared" si="0"/>
        <v/>
      </c>
      <c r="H33" s="68" t="str">
        <f t="shared" si="1"/>
        <v/>
      </c>
      <c r="I33" s="53" t="str">
        <f>IFERROR(VLOOKUP(B33,'👥 بيانات الموظفين'!B:Q,16,0)-SUMIFS(H$5:H33,B$5:B33,B33,F$5:F33,"معتمدة"),"")</f>
        <v/>
      </c>
      <c r="J33" s="53"/>
      <c r="K33" s="53"/>
      <c r="L33" s="98"/>
    </row>
    <row r="34" spans="1:12" ht="22.15" customHeight="1" x14ac:dyDescent="0.2">
      <c r="A34" s="57" t="str">
        <f>IF(B34&lt;&gt;"",30,"")</f>
        <v/>
      </c>
      <c r="B34" s="57"/>
      <c r="C34" s="57" t="str">
        <f>IFERROR(VLOOKUP(B34,'👥 بيانات الموظفين'!B:C,2,0),"")</f>
        <v/>
      </c>
      <c r="D34" s="57"/>
      <c r="E34" s="59"/>
      <c r="F34" s="59"/>
      <c r="G34" s="69" t="str">
        <f t="shared" si="0"/>
        <v/>
      </c>
      <c r="H34" s="69" t="str">
        <f t="shared" si="1"/>
        <v/>
      </c>
      <c r="I34" s="57" t="str">
        <f>IFERROR(VLOOKUP(B34,'👥 بيانات الموظفين'!B:Q,16,0)-SUMIFS(H$5:H34,B$5:B34,B34,F$5:F34,"معتمدة"),"")</f>
        <v/>
      </c>
      <c r="J34" s="57"/>
      <c r="K34" s="57"/>
      <c r="L34" s="99"/>
    </row>
    <row r="35" spans="1:12" ht="22.15" customHeight="1" x14ac:dyDescent="0.2">
      <c r="A35" s="53" t="str">
        <f>IF(B35&lt;&gt;"",31,"")</f>
        <v/>
      </c>
      <c r="B35" s="53"/>
      <c r="C35" s="53" t="str">
        <f>IFERROR(VLOOKUP(B35,'👥 بيانات الموظفين'!B:C,2,0),"")</f>
        <v/>
      </c>
      <c r="D35" s="53"/>
      <c r="E35" s="55"/>
      <c r="F35" s="55"/>
      <c r="G35" s="68" t="str">
        <f t="shared" si="0"/>
        <v/>
      </c>
      <c r="H35" s="68" t="str">
        <f t="shared" si="1"/>
        <v/>
      </c>
      <c r="I35" s="53" t="str">
        <f>IFERROR(VLOOKUP(B35,'👥 بيانات الموظفين'!B:Q,16,0)-SUMIFS(H$5:H35,B$5:B35,B35,F$5:F35,"معتمدة"),"")</f>
        <v/>
      </c>
      <c r="J35" s="53"/>
      <c r="K35" s="53"/>
      <c r="L35" s="98"/>
    </row>
    <row r="36" spans="1:12" ht="22.15" customHeight="1" x14ac:dyDescent="0.2">
      <c r="A36" s="57" t="str">
        <f>IF(B36&lt;&gt;"",32,"")</f>
        <v/>
      </c>
      <c r="B36" s="57"/>
      <c r="C36" s="57" t="str">
        <f>IFERROR(VLOOKUP(B36,'👥 بيانات الموظفين'!B:C,2,0),"")</f>
        <v/>
      </c>
      <c r="D36" s="57"/>
      <c r="E36" s="59"/>
      <c r="F36" s="59"/>
      <c r="G36" s="69" t="str">
        <f t="shared" si="0"/>
        <v/>
      </c>
      <c r="H36" s="69" t="str">
        <f t="shared" si="1"/>
        <v/>
      </c>
      <c r="I36" s="57" t="str">
        <f>IFERROR(VLOOKUP(B36,'👥 بيانات الموظفين'!B:Q,16,0)-SUMIFS(H$5:H36,B$5:B36,B36,F$5:F36,"معتمدة"),"")</f>
        <v/>
      </c>
      <c r="J36" s="57"/>
      <c r="K36" s="57"/>
      <c r="L36" s="99"/>
    </row>
    <row r="37" spans="1:12" ht="22.15" customHeight="1" x14ac:dyDescent="0.2">
      <c r="A37" s="53" t="str">
        <f>IF(B37&lt;&gt;"",33,"")</f>
        <v/>
      </c>
      <c r="B37" s="53"/>
      <c r="C37" s="53" t="str">
        <f>IFERROR(VLOOKUP(B37,'👥 بيانات الموظفين'!B:C,2,0),"")</f>
        <v/>
      </c>
      <c r="D37" s="53"/>
      <c r="E37" s="55"/>
      <c r="F37" s="55"/>
      <c r="G37" s="68" t="str">
        <f t="shared" si="0"/>
        <v/>
      </c>
      <c r="H37" s="68" t="str">
        <f t="shared" si="1"/>
        <v/>
      </c>
      <c r="I37" s="53" t="str">
        <f>IFERROR(VLOOKUP(B37,'👥 بيانات الموظفين'!B:Q,16,0)-SUMIFS(H$5:H37,B$5:B37,B37,F$5:F37,"معتمدة"),"")</f>
        <v/>
      </c>
      <c r="J37" s="53"/>
      <c r="K37" s="53"/>
      <c r="L37" s="98"/>
    </row>
    <row r="38" spans="1:12" ht="22.15" customHeight="1" x14ac:dyDescent="0.2">
      <c r="A38" s="57" t="str">
        <f>IF(B38&lt;&gt;"",34,"")</f>
        <v/>
      </c>
      <c r="B38" s="57"/>
      <c r="C38" s="57" t="str">
        <f>IFERROR(VLOOKUP(B38,'👥 بيانات الموظفين'!B:C,2,0),"")</f>
        <v/>
      </c>
      <c r="D38" s="57"/>
      <c r="E38" s="59"/>
      <c r="F38" s="59"/>
      <c r="G38" s="69" t="str">
        <f t="shared" si="0"/>
        <v/>
      </c>
      <c r="H38" s="69" t="str">
        <f t="shared" si="1"/>
        <v/>
      </c>
      <c r="I38" s="57" t="str">
        <f>IFERROR(VLOOKUP(B38,'👥 بيانات الموظفين'!B:Q,16,0)-SUMIFS(H$5:H38,B$5:B38,B38,F$5:F38,"معتمدة"),"")</f>
        <v/>
      </c>
      <c r="J38" s="57"/>
      <c r="K38" s="57"/>
      <c r="L38" s="99"/>
    </row>
    <row r="39" spans="1:12" ht="22.15" customHeight="1" x14ac:dyDescent="0.2">
      <c r="A39" s="53" t="str">
        <f>IF(B39&lt;&gt;"",35,"")</f>
        <v/>
      </c>
      <c r="B39" s="53"/>
      <c r="C39" s="53" t="str">
        <f>IFERROR(VLOOKUP(B39,'👥 بيانات الموظفين'!B:C,2,0),"")</f>
        <v/>
      </c>
      <c r="D39" s="53"/>
      <c r="E39" s="55"/>
      <c r="F39" s="55"/>
      <c r="G39" s="68" t="str">
        <f t="shared" si="0"/>
        <v/>
      </c>
      <c r="H39" s="68" t="str">
        <f t="shared" si="1"/>
        <v/>
      </c>
      <c r="I39" s="53" t="str">
        <f>IFERROR(VLOOKUP(B39,'👥 بيانات الموظفين'!B:Q,16,0)-SUMIFS(H$5:H39,B$5:B39,B39,F$5:F39,"معتمدة"),"")</f>
        <v/>
      </c>
      <c r="J39" s="53"/>
      <c r="K39" s="53"/>
      <c r="L39" s="98"/>
    </row>
    <row r="40" spans="1:12" ht="22.15" customHeight="1" x14ac:dyDescent="0.2">
      <c r="A40" s="57" t="str">
        <f>IF(B40&lt;&gt;"",36,"")</f>
        <v/>
      </c>
      <c r="B40" s="57"/>
      <c r="C40" s="57" t="str">
        <f>IFERROR(VLOOKUP(B40,'👥 بيانات الموظفين'!B:C,2,0),"")</f>
        <v/>
      </c>
      <c r="D40" s="57"/>
      <c r="E40" s="59"/>
      <c r="F40" s="59"/>
      <c r="G40" s="69" t="str">
        <f t="shared" si="0"/>
        <v/>
      </c>
      <c r="H40" s="69" t="str">
        <f t="shared" si="1"/>
        <v/>
      </c>
      <c r="I40" s="57" t="str">
        <f>IFERROR(VLOOKUP(B40,'👥 بيانات الموظفين'!B:Q,16,0)-SUMIFS(H$5:H40,B$5:B40,B40,F$5:F40,"معتمدة"),"")</f>
        <v/>
      </c>
      <c r="J40" s="57"/>
      <c r="K40" s="57"/>
      <c r="L40" s="99"/>
    </row>
    <row r="41" spans="1:12" ht="22.15" customHeight="1" x14ac:dyDescent="0.2">
      <c r="A41" s="53" t="str">
        <f>IF(B41&lt;&gt;"",37,"")</f>
        <v/>
      </c>
      <c r="B41" s="53"/>
      <c r="C41" s="53" t="str">
        <f>IFERROR(VLOOKUP(B41,'👥 بيانات الموظفين'!B:C,2,0),"")</f>
        <v/>
      </c>
      <c r="D41" s="53"/>
      <c r="E41" s="55"/>
      <c r="F41" s="55"/>
      <c r="G41" s="68" t="str">
        <f t="shared" si="0"/>
        <v/>
      </c>
      <c r="H41" s="68" t="str">
        <f t="shared" si="1"/>
        <v/>
      </c>
      <c r="I41" s="53" t="str">
        <f>IFERROR(VLOOKUP(B41,'👥 بيانات الموظفين'!B:Q,16,0)-SUMIFS(H$5:H41,B$5:B41,B41,F$5:F41,"معتمدة"),"")</f>
        <v/>
      </c>
      <c r="J41" s="53"/>
      <c r="K41" s="53"/>
      <c r="L41" s="98"/>
    </row>
    <row r="42" spans="1:12" ht="22.15" customHeight="1" x14ac:dyDescent="0.2">
      <c r="A42" s="57" t="str">
        <f>IF(B42&lt;&gt;"",38,"")</f>
        <v/>
      </c>
      <c r="B42" s="57"/>
      <c r="C42" s="57" t="str">
        <f>IFERROR(VLOOKUP(B42,'👥 بيانات الموظفين'!B:C,2,0),"")</f>
        <v/>
      </c>
      <c r="D42" s="57"/>
      <c r="E42" s="59"/>
      <c r="F42" s="59"/>
      <c r="G42" s="69" t="str">
        <f t="shared" si="0"/>
        <v/>
      </c>
      <c r="H42" s="69" t="str">
        <f t="shared" si="1"/>
        <v/>
      </c>
      <c r="I42" s="57" t="str">
        <f>IFERROR(VLOOKUP(B42,'👥 بيانات الموظفين'!B:Q,16,0)-SUMIFS(H$5:H42,B$5:B42,B42,F$5:F42,"معتمدة"),"")</f>
        <v/>
      </c>
      <c r="J42" s="57"/>
      <c r="K42" s="57"/>
      <c r="L42" s="99"/>
    </row>
    <row r="43" spans="1:12" ht="22.15" customHeight="1" x14ac:dyDescent="0.2">
      <c r="A43" s="53" t="str">
        <f>IF(B43&lt;&gt;"",39,"")</f>
        <v/>
      </c>
      <c r="B43" s="53"/>
      <c r="C43" s="53" t="str">
        <f>IFERROR(VLOOKUP(B43,'👥 بيانات الموظفين'!B:C,2,0),"")</f>
        <v/>
      </c>
      <c r="D43" s="53"/>
      <c r="E43" s="55"/>
      <c r="F43" s="55"/>
      <c r="G43" s="68" t="str">
        <f t="shared" si="0"/>
        <v/>
      </c>
      <c r="H43" s="68" t="str">
        <f t="shared" si="1"/>
        <v/>
      </c>
      <c r="I43" s="53" t="str">
        <f>IFERROR(VLOOKUP(B43,'👥 بيانات الموظفين'!B:Q,16,0)-SUMIFS(H$5:H43,B$5:B43,B43,F$5:F43,"معتمدة"),"")</f>
        <v/>
      </c>
      <c r="J43" s="53"/>
      <c r="K43" s="53"/>
      <c r="L43" s="98"/>
    </row>
    <row r="44" spans="1:12" ht="22.15" customHeight="1" x14ac:dyDescent="0.2">
      <c r="A44" s="57" t="str">
        <f>IF(B44&lt;&gt;"",40,"")</f>
        <v/>
      </c>
      <c r="B44" s="57"/>
      <c r="C44" s="57" t="str">
        <f>IFERROR(VLOOKUP(B44,'👥 بيانات الموظفين'!B:C,2,0),"")</f>
        <v/>
      </c>
      <c r="D44" s="57"/>
      <c r="E44" s="59"/>
      <c r="F44" s="59"/>
      <c r="G44" s="69" t="str">
        <f t="shared" si="0"/>
        <v/>
      </c>
      <c r="H44" s="69" t="str">
        <f t="shared" si="1"/>
        <v/>
      </c>
      <c r="I44" s="57" t="str">
        <f>IFERROR(VLOOKUP(B44,'👥 بيانات الموظفين'!B:Q,16,0)-SUMIFS(H$5:H44,B$5:B44,B44,F$5:F44,"معتمدة"),"")</f>
        <v/>
      </c>
      <c r="J44" s="57"/>
      <c r="K44" s="57"/>
      <c r="L44" s="99"/>
    </row>
    <row r="45" spans="1:12" ht="22.15" customHeight="1" x14ac:dyDescent="0.2">
      <c r="A45" s="53" t="str">
        <f>IF(B45&lt;&gt;"",41,"")</f>
        <v/>
      </c>
      <c r="B45" s="53"/>
      <c r="C45" s="53" t="str">
        <f>IFERROR(VLOOKUP(B45,'👥 بيانات الموظفين'!B:C,2,0),"")</f>
        <v/>
      </c>
      <c r="D45" s="53"/>
      <c r="E45" s="55"/>
      <c r="F45" s="55"/>
      <c r="G45" s="68" t="str">
        <f t="shared" si="0"/>
        <v/>
      </c>
      <c r="H45" s="68" t="str">
        <f t="shared" si="1"/>
        <v/>
      </c>
      <c r="I45" s="53" t="str">
        <f>IFERROR(VLOOKUP(B45,'👥 بيانات الموظفين'!B:Q,16,0)-SUMIFS(H$5:H45,B$5:B45,B45,F$5:F45,"معتمدة"),"")</f>
        <v/>
      </c>
      <c r="J45" s="53"/>
      <c r="K45" s="53"/>
      <c r="L45" s="98"/>
    </row>
    <row r="46" spans="1:12" ht="22.15" customHeight="1" x14ac:dyDescent="0.2">
      <c r="A46" s="57" t="str">
        <f>IF(B46&lt;&gt;"",42,"")</f>
        <v/>
      </c>
      <c r="B46" s="57"/>
      <c r="C46" s="57" t="str">
        <f>IFERROR(VLOOKUP(B46,'👥 بيانات الموظفين'!B:C,2,0),"")</f>
        <v/>
      </c>
      <c r="D46" s="57"/>
      <c r="E46" s="59"/>
      <c r="F46" s="59"/>
      <c r="G46" s="69" t="str">
        <f t="shared" si="0"/>
        <v/>
      </c>
      <c r="H46" s="69" t="str">
        <f t="shared" si="1"/>
        <v/>
      </c>
      <c r="I46" s="57" t="str">
        <f>IFERROR(VLOOKUP(B46,'👥 بيانات الموظفين'!B:Q,16,0)-SUMIFS(H$5:H46,B$5:B46,B46,F$5:F46,"معتمدة"),"")</f>
        <v/>
      </c>
      <c r="J46" s="57"/>
      <c r="K46" s="57"/>
      <c r="L46" s="99"/>
    </row>
    <row r="47" spans="1:12" ht="22.15" customHeight="1" x14ac:dyDescent="0.2">
      <c r="A47" s="53" t="str">
        <f>IF(B47&lt;&gt;"",43,"")</f>
        <v/>
      </c>
      <c r="B47" s="53"/>
      <c r="C47" s="53" t="str">
        <f>IFERROR(VLOOKUP(B47,'👥 بيانات الموظفين'!B:C,2,0),"")</f>
        <v/>
      </c>
      <c r="D47" s="53"/>
      <c r="E47" s="55"/>
      <c r="F47" s="55"/>
      <c r="G47" s="68" t="str">
        <f t="shared" si="0"/>
        <v/>
      </c>
      <c r="H47" s="68" t="str">
        <f t="shared" si="1"/>
        <v/>
      </c>
      <c r="I47" s="53" t="str">
        <f>IFERROR(VLOOKUP(B47,'👥 بيانات الموظفين'!B:Q,16,0)-SUMIFS(H$5:H47,B$5:B47,B47,F$5:F47,"معتمدة"),"")</f>
        <v/>
      </c>
      <c r="J47" s="53"/>
      <c r="K47" s="53"/>
      <c r="L47" s="98"/>
    </row>
    <row r="48" spans="1:12" ht="22.15" customHeight="1" x14ac:dyDescent="0.2">
      <c r="A48" s="57" t="str">
        <f>IF(B48&lt;&gt;"",44,"")</f>
        <v/>
      </c>
      <c r="B48" s="57"/>
      <c r="C48" s="57" t="str">
        <f>IFERROR(VLOOKUP(B48,'👥 بيانات الموظفين'!B:C,2,0),"")</f>
        <v/>
      </c>
      <c r="D48" s="57"/>
      <c r="E48" s="59"/>
      <c r="F48" s="59"/>
      <c r="G48" s="69" t="str">
        <f t="shared" si="0"/>
        <v/>
      </c>
      <c r="H48" s="69" t="str">
        <f t="shared" si="1"/>
        <v/>
      </c>
      <c r="I48" s="57" t="str">
        <f>IFERROR(VLOOKUP(B48,'👥 بيانات الموظفين'!B:Q,16,0)-SUMIFS(H$5:H48,B$5:B48,B48,F$5:F48,"معتمدة"),"")</f>
        <v/>
      </c>
      <c r="J48" s="57"/>
      <c r="K48" s="57"/>
      <c r="L48" s="99"/>
    </row>
    <row r="49" spans="1:12" ht="22.15" customHeight="1" x14ac:dyDescent="0.2">
      <c r="A49" s="53" t="str">
        <f>IF(B49&lt;&gt;"",45,"")</f>
        <v/>
      </c>
      <c r="B49" s="53"/>
      <c r="C49" s="53" t="str">
        <f>IFERROR(VLOOKUP(B49,'👥 بيانات الموظفين'!B:C,2,0),"")</f>
        <v/>
      </c>
      <c r="D49" s="53"/>
      <c r="E49" s="55"/>
      <c r="F49" s="55"/>
      <c r="G49" s="68" t="str">
        <f t="shared" si="0"/>
        <v/>
      </c>
      <c r="H49" s="68" t="str">
        <f t="shared" si="1"/>
        <v/>
      </c>
      <c r="I49" s="53" t="str">
        <f>IFERROR(VLOOKUP(B49,'👥 بيانات الموظفين'!B:Q,16,0)-SUMIFS(H$5:H49,B$5:B49,B49,F$5:F49,"معتمدة"),"")</f>
        <v/>
      </c>
      <c r="J49" s="53"/>
      <c r="K49" s="53"/>
      <c r="L49" s="98"/>
    </row>
    <row r="50" spans="1:12" ht="22.15" customHeight="1" x14ac:dyDescent="0.2">
      <c r="A50" s="57" t="str">
        <f>IF(B50&lt;&gt;"",46,"")</f>
        <v/>
      </c>
      <c r="B50" s="57"/>
      <c r="C50" s="57" t="str">
        <f>IFERROR(VLOOKUP(B50,'👥 بيانات الموظفين'!B:C,2,0),"")</f>
        <v/>
      </c>
      <c r="D50" s="57"/>
      <c r="E50" s="59"/>
      <c r="F50" s="59"/>
      <c r="G50" s="69" t="str">
        <f t="shared" si="0"/>
        <v/>
      </c>
      <c r="H50" s="69" t="str">
        <f t="shared" si="1"/>
        <v/>
      </c>
      <c r="I50" s="57" t="str">
        <f>IFERROR(VLOOKUP(B50,'👥 بيانات الموظفين'!B:Q,16,0)-SUMIFS(H$5:H50,B$5:B50,B50,F$5:F50,"معتمدة"),"")</f>
        <v/>
      </c>
      <c r="J50" s="57"/>
      <c r="K50" s="57"/>
      <c r="L50" s="99"/>
    </row>
    <row r="51" spans="1:12" ht="22.15" customHeight="1" x14ac:dyDescent="0.2">
      <c r="A51" s="53" t="str">
        <f>IF(B51&lt;&gt;"",47,"")</f>
        <v/>
      </c>
      <c r="B51" s="53"/>
      <c r="C51" s="53" t="str">
        <f>IFERROR(VLOOKUP(B51,'👥 بيانات الموظفين'!B:C,2,0),"")</f>
        <v/>
      </c>
      <c r="D51" s="53"/>
      <c r="E51" s="55"/>
      <c r="F51" s="55"/>
      <c r="G51" s="68" t="str">
        <f t="shared" si="0"/>
        <v/>
      </c>
      <c r="H51" s="68" t="str">
        <f t="shared" si="1"/>
        <v/>
      </c>
      <c r="I51" s="53" t="str">
        <f>IFERROR(VLOOKUP(B51,'👥 بيانات الموظفين'!B:Q,16,0)-SUMIFS(H$5:H51,B$5:B51,B51,F$5:F51,"معتمدة"),"")</f>
        <v/>
      </c>
      <c r="J51" s="53"/>
      <c r="K51" s="53"/>
      <c r="L51" s="98"/>
    </row>
    <row r="52" spans="1:12" ht="22.15" customHeight="1" x14ac:dyDescent="0.2">
      <c r="A52" s="57" t="str">
        <f>IF(B52&lt;&gt;"",48,"")</f>
        <v/>
      </c>
      <c r="B52" s="57"/>
      <c r="C52" s="57" t="str">
        <f>IFERROR(VLOOKUP(B52,'👥 بيانات الموظفين'!B:C,2,0),"")</f>
        <v/>
      </c>
      <c r="D52" s="57"/>
      <c r="E52" s="59"/>
      <c r="F52" s="59"/>
      <c r="G52" s="69" t="str">
        <f t="shared" si="0"/>
        <v/>
      </c>
      <c r="H52" s="69" t="str">
        <f t="shared" si="1"/>
        <v/>
      </c>
      <c r="I52" s="57" t="str">
        <f>IFERROR(VLOOKUP(B52,'👥 بيانات الموظفين'!B:Q,16,0)-SUMIFS(H$5:H52,B$5:B52,B52,F$5:F52,"معتمدة"),"")</f>
        <v/>
      </c>
      <c r="J52" s="57"/>
      <c r="K52" s="57"/>
      <c r="L52" s="99"/>
    </row>
    <row r="53" spans="1:12" ht="22.15" customHeight="1" x14ac:dyDescent="0.2">
      <c r="A53" s="53" t="str">
        <f>IF(B53&lt;&gt;"",49,"")</f>
        <v/>
      </c>
      <c r="B53" s="53"/>
      <c r="C53" s="53" t="str">
        <f>IFERROR(VLOOKUP(B53,'👥 بيانات الموظفين'!B:C,2,0),"")</f>
        <v/>
      </c>
      <c r="D53" s="53"/>
      <c r="E53" s="55"/>
      <c r="F53" s="55"/>
      <c r="G53" s="68" t="str">
        <f t="shared" si="0"/>
        <v/>
      </c>
      <c r="H53" s="68" t="str">
        <f t="shared" si="1"/>
        <v/>
      </c>
      <c r="I53" s="53" t="str">
        <f>IFERROR(VLOOKUP(B53,'👥 بيانات الموظفين'!B:Q,16,0)-SUMIFS(H$5:H53,B$5:B53,B53,F$5:F53,"معتمدة"),"")</f>
        <v/>
      </c>
      <c r="J53" s="53"/>
      <c r="K53" s="53"/>
      <c r="L53" s="98"/>
    </row>
    <row r="54" spans="1:12" ht="22.15" customHeight="1" x14ac:dyDescent="0.2">
      <c r="A54" s="57" t="str">
        <f>IF(B54&lt;&gt;"",50,"")</f>
        <v/>
      </c>
      <c r="B54" s="57"/>
      <c r="C54" s="57" t="str">
        <f>IFERROR(VLOOKUP(B54,'👥 بيانات الموظفين'!B:C,2,0),"")</f>
        <v/>
      </c>
      <c r="D54" s="57"/>
      <c r="E54" s="59"/>
      <c r="F54" s="59"/>
      <c r="G54" s="69" t="str">
        <f t="shared" si="0"/>
        <v/>
      </c>
      <c r="H54" s="69" t="str">
        <f t="shared" si="1"/>
        <v/>
      </c>
      <c r="I54" s="57" t="str">
        <f>IFERROR(VLOOKUP(B54,'👥 بيانات الموظفين'!B:Q,16,0)-SUMIFS(H$5:H54,B$5:B54,B54,F$5:F54,"معتمدة"),"")</f>
        <v/>
      </c>
      <c r="J54" s="57"/>
      <c r="K54" s="57"/>
      <c r="L54" s="99"/>
    </row>
    <row r="55" spans="1:12" ht="22.15" customHeight="1" x14ac:dyDescent="0.2">
      <c r="A55" s="53" t="str">
        <f>IF(B55&lt;&gt;"",51,"")</f>
        <v/>
      </c>
      <c r="B55" s="53"/>
      <c r="C55" s="53" t="str">
        <f>IFERROR(VLOOKUP(B55,'👥 بيانات الموظفين'!B:C,2,0),"")</f>
        <v/>
      </c>
      <c r="D55" s="53"/>
      <c r="E55" s="55"/>
      <c r="F55" s="55"/>
      <c r="G55" s="68" t="str">
        <f t="shared" si="0"/>
        <v/>
      </c>
      <c r="H55" s="68" t="str">
        <f t="shared" si="1"/>
        <v/>
      </c>
      <c r="I55" s="53" t="str">
        <f>IFERROR(VLOOKUP(B55,'👥 بيانات الموظفين'!B:Q,16,0)-SUMIFS(H$5:H55,B$5:B55,B55,F$5:F55,"معتمدة"),"")</f>
        <v/>
      </c>
      <c r="J55" s="53"/>
      <c r="K55" s="53"/>
      <c r="L55" s="98"/>
    </row>
    <row r="56" spans="1:12" ht="22.15" customHeight="1" x14ac:dyDescent="0.2">
      <c r="A56" s="57" t="str">
        <f>IF(B56&lt;&gt;"",52,"")</f>
        <v/>
      </c>
      <c r="B56" s="57"/>
      <c r="C56" s="57" t="str">
        <f>IFERROR(VLOOKUP(B56,'👥 بيانات الموظفين'!B:C,2,0),"")</f>
        <v/>
      </c>
      <c r="D56" s="57"/>
      <c r="E56" s="59"/>
      <c r="F56" s="59"/>
      <c r="G56" s="69" t="str">
        <f t="shared" si="0"/>
        <v/>
      </c>
      <c r="H56" s="69" t="str">
        <f t="shared" si="1"/>
        <v/>
      </c>
      <c r="I56" s="57" t="str">
        <f>IFERROR(VLOOKUP(B56,'👥 بيانات الموظفين'!B:Q,16,0)-SUMIFS(H$5:H56,B$5:B56,B56,F$5:F56,"معتمدة"),"")</f>
        <v/>
      </c>
      <c r="J56" s="57"/>
      <c r="K56" s="57"/>
      <c r="L56" s="99"/>
    </row>
    <row r="57" spans="1:12" ht="22.15" customHeight="1" x14ac:dyDescent="0.2">
      <c r="A57" s="53" t="str">
        <f>IF(B57&lt;&gt;"",53,"")</f>
        <v/>
      </c>
      <c r="B57" s="53"/>
      <c r="C57" s="53" t="str">
        <f>IFERROR(VLOOKUP(B57,'👥 بيانات الموظفين'!B:C,2,0),"")</f>
        <v/>
      </c>
      <c r="D57" s="53"/>
      <c r="E57" s="55"/>
      <c r="F57" s="55"/>
      <c r="G57" s="68" t="str">
        <f t="shared" si="0"/>
        <v/>
      </c>
      <c r="H57" s="68" t="str">
        <f t="shared" si="1"/>
        <v/>
      </c>
      <c r="I57" s="53" t="str">
        <f>IFERROR(VLOOKUP(B57,'👥 بيانات الموظفين'!B:Q,16,0)-SUMIFS(H$5:H57,B$5:B57,B57,F$5:F57,"معتمدة"),"")</f>
        <v/>
      </c>
      <c r="J57" s="53"/>
      <c r="K57" s="53"/>
      <c r="L57" s="98"/>
    </row>
    <row r="58" spans="1:12" ht="22.15" customHeight="1" x14ac:dyDescent="0.2">
      <c r="A58" s="57" t="str">
        <f>IF(B58&lt;&gt;"",54,"")</f>
        <v/>
      </c>
      <c r="B58" s="57"/>
      <c r="C58" s="57" t="str">
        <f>IFERROR(VLOOKUP(B58,'👥 بيانات الموظفين'!B:C,2,0),"")</f>
        <v/>
      </c>
      <c r="D58" s="57"/>
      <c r="E58" s="59"/>
      <c r="F58" s="59"/>
      <c r="G58" s="69" t="str">
        <f t="shared" si="0"/>
        <v/>
      </c>
      <c r="H58" s="69" t="str">
        <f t="shared" si="1"/>
        <v/>
      </c>
      <c r="I58" s="57" t="str">
        <f>IFERROR(VLOOKUP(B58,'👥 بيانات الموظفين'!B:Q,16,0)-SUMIFS(H$5:H58,B$5:B58,B58,F$5:F58,"معتمدة"),"")</f>
        <v/>
      </c>
      <c r="J58" s="57"/>
      <c r="K58" s="57"/>
      <c r="L58" s="99"/>
    </row>
    <row r="59" spans="1:12" ht="22.15" customHeight="1" x14ac:dyDescent="0.2">
      <c r="A59" s="53" t="str">
        <f>IF(B59&lt;&gt;"",55,"")</f>
        <v/>
      </c>
      <c r="B59" s="53"/>
      <c r="C59" s="53" t="str">
        <f>IFERROR(VLOOKUP(B59,'👥 بيانات الموظفين'!B:C,2,0),"")</f>
        <v/>
      </c>
      <c r="D59" s="53"/>
      <c r="E59" s="55"/>
      <c r="F59" s="55"/>
      <c r="G59" s="68" t="str">
        <f t="shared" si="0"/>
        <v/>
      </c>
      <c r="H59" s="68" t="str">
        <f t="shared" si="1"/>
        <v/>
      </c>
      <c r="I59" s="53" t="str">
        <f>IFERROR(VLOOKUP(B59,'👥 بيانات الموظفين'!B:Q,16,0)-SUMIFS(H$5:H59,B$5:B59,B59,F$5:F59,"معتمدة"),"")</f>
        <v/>
      </c>
      <c r="J59" s="53"/>
      <c r="K59" s="53"/>
      <c r="L59" s="98"/>
    </row>
    <row r="60" spans="1:12" ht="22.15" customHeight="1" x14ac:dyDescent="0.2">
      <c r="A60" s="57" t="str">
        <f>IF(B60&lt;&gt;"",56,"")</f>
        <v/>
      </c>
      <c r="B60" s="57"/>
      <c r="C60" s="57" t="str">
        <f>IFERROR(VLOOKUP(B60,'👥 بيانات الموظفين'!B:C,2,0),"")</f>
        <v/>
      </c>
      <c r="D60" s="57"/>
      <c r="E60" s="59"/>
      <c r="F60" s="59"/>
      <c r="G60" s="69" t="str">
        <f t="shared" si="0"/>
        <v/>
      </c>
      <c r="H60" s="69" t="str">
        <f t="shared" si="1"/>
        <v/>
      </c>
      <c r="I60" s="57" t="str">
        <f>IFERROR(VLOOKUP(B60,'👥 بيانات الموظفين'!B:Q,16,0)-SUMIFS(H$5:H60,B$5:B60,B60,F$5:F60,"معتمدة"),"")</f>
        <v/>
      </c>
      <c r="J60" s="57"/>
      <c r="K60" s="57"/>
      <c r="L60" s="99"/>
    </row>
    <row r="61" spans="1:12" ht="22.15" customHeight="1" x14ac:dyDescent="0.2">
      <c r="A61" s="53" t="str">
        <f>IF(B61&lt;&gt;"",57,"")</f>
        <v/>
      </c>
      <c r="B61" s="53"/>
      <c r="C61" s="53" t="str">
        <f>IFERROR(VLOOKUP(B61,'👥 بيانات الموظفين'!B:C,2,0),"")</f>
        <v/>
      </c>
      <c r="D61" s="53"/>
      <c r="E61" s="55"/>
      <c r="F61" s="55"/>
      <c r="G61" s="68" t="str">
        <f t="shared" si="0"/>
        <v/>
      </c>
      <c r="H61" s="68" t="str">
        <f t="shared" si="1"/>
        <v/>
      </c>
      <c r="I61" s="53" t="str">
        <f>IFERROR(VLOOKUP(B61,'👥 بيانات الموظفين'!B:Q,16,0)-SUMIFS(H$5:H61,B$5:B61,B61,F$5:F61,"معتمدة"),"")</f>
        <v/>
      </c>
      <c r="J61" s="53"/>
      <c r="K61" s="53"/>
      <c r="L61" s="98"/>
    </row>
    <row r="62" spans="1:12" ht="22.15" customHeight="1" x14ac:dyDescent="0.2">
      <c r="A62" s="57" t="str">
        <f>IF(B62&lt;&gt;"",58,"")</f>
        <v/>
      </c>
      <c r="B62" s="57"/>
      <c r="C62" s="57" t="str">
        <f>IFERROR(VLOOKUP(B62,'👥 بيانات الموظفين'!B:C,2,0),"")</f>
        <v/>
      </c>
      <c r="D62" s="57"/>
      <c r="E62" s="59"/>
      <c r="F62" s="59"/>
      <c r="G62" s="69" t="str">
        <f t="shared" si="0"/>
        <v/>
      </c>
      <c r="H62" s="69" t="str">
        <f t="shared" si="1"/>
        <v/>
      </c>
      <c r="I62" s="57" t="str">
        <f>IFERROR(VLOOKUP(B62,'👥 بيانات الموظفين'!B:Q,16,0)-SUMIFS(H$5:H62,B$5:B62,B62,F$5:F62,"معتمدة"),"")</f>
        <v/>
      </c>
      <c r="J62" s="57"/>
      <c r="K62" s="57"/>
      <c r="L62" s="99"/>
    </row>
    <row r="63" spans="1:12" ht="22.15" customHeight="1" x14ac:dyDescent="0.2">
      <c r="A63" s="53" t="str">
        <f>IF(B63&lt;&gt;"",59,"")</f>
        <v/>
      </c>
      <c r="B63" s="53"/>
      <c r="C63" s="53" t="str">
        <f>IFERROR(VLOOKUP(B63,'👥 بيانات الموظفين'!B:C,2,0),"")</f>
        <v/>
      </c>
      <c r="D63" s="53"/>
      <c r="E63" s="55"/>
      <c r="F63" s="55"/>
      <c r="G63" s="68" t="str">
        <f t="shared" si="0"/>
        <v/>
      </c>
      <c r="H63" s="68" t="str">
        <f t="shared" si="1"/>
        <v/>
      </c>
      <c r="I63" s="53" t="str">
        <f>IFERROR(VLOOKUP(B63,'👥 بيانات الموظفين'!B:Q,16,0)-SUMIFS(H$5:H63,B$5:B63,B63,F$5:F63,"معتمدة"),"")</f>
        <v/>
      </c>
      <c r="J63" s="53"/>
      <c r="K63" s="53"/>
      <c r="L63" s="98"/>
    </row>
    <row r="64" spans="1:12" ht="22.15" customHeight="1" x14ac:dyDescent="0.2">
      <c r="A64" s="57" t="str">
        <f>IF(B64&lt;&gt;"",60,"")</f>
        <v/>
      </c>
      <c r="B64" s="57"/>
      <c r="C64" s="57" t="str">
        <f>IFERROR(VLOOKUP(B64,'👥 بيانات الموظفين'!B:C,2,0),"")</f>
        <v/>
      </c>
      <c r="D64" s="57"/>
      <c r="E64" s="59"/>
      <c r="F64" s="59"/>
      <c r="G64" s="69" t="str">
        <f t="shared" si="0"/>
        <v/>
      </c>
      <c r="H64" s="69" t="str">
        <f t="shared" si="1"/>
        <v/>
      </c>
      <c r="I64" s="57" t="str">
        <f>IFERROR(VLOOKUP(B64,'👥 بيانات الموظفين'!B:Q,16,0)-SUMIFS(H$5:H64,B$5:B64,B64,F$5:F64,"معتمدة"),"")</f>
        <v/>
      </c>
      <c r="J64" s="57"/>
      <c r="K64" s="57"/>
      <c r="L64" s="99"/>
    </row>
    <row r="65" spans="1:12" ht="22.15" customHeight="1" x14ac:dyDescent="0.2">
      <c r="A65" s="53" t="str">
        <f>IF(B65&lt;&gt;"",61,"")</f>
        <v/>
      </c>
      <c r="B65" s="53"/>
      <c r="C65" s="53" t="str">
        <f>IFERROR(VLOOKUP(B65,'👥 بيانات الموظفين'!B:C,2,0),"")</f>
        <v/>
      </c>
      <c r="D65" s="53"/>
      <c r="E65" s="55"/>
      <c r="F65" s="55"/>
      <c r="G65" s="68" t="str">
        <f t="shared" si="0"/>
        <v/>
      </c>
      <c r="H65" s="68" t="str">
        <f t="shared" si="1"/>
        <v/>
      </c>
      <c r="I65" s="53" t="str">
        <f>IFERROR(VLOOKUP(B65,'👥 بيانات الموظفين'!B:Q,16,0)-SUMIFS(H$5:H65,B$5:B65,B65,F$5:F65,"معتمدة"),"")</f>
        <v/>
      </c>
      <c r="J65" s="53"/>
      <c r="K65" s="53"/>
      <c r="L65" s="98"/>
    </row>
    <row r="66" spans="1:12" ht="22.15" customHeight="1" x14ac:dyDescent="0.2">
      <c r="A66" s="57" t="str">
        <f>IF(B66&lt;&gt;"",62,"")</f>
        <v/>
      </c>
      <c r="B66" s="57"/>
      <c r="C66" s="57" t="str">
        <f>IFERROR(VLOOKUP(B66,'👥 بيانات الموظفين'!B:C,2,0),"")</f>
        <v/>
      </c>
      <c r="D66" s="57"/>
      <c r="E66" s="59"/>
      <c r="F66" s="59"/>
      <c r="G66" s="69" t="str">
        <f t="shared" si="0"/>
        <v/>
      </c>
      <c r="H66" s="69" t="str">
        <f t="shared" si="1"/>
        <v/>
      </c>
      <c r="I66" s="57" t="str">
        <f>IFERROR(VLOOKUP(B66,'👥 بيانات الموظفين'!B:Q,16,0)-SUMIFS(H$5:H66,B$5:B66,B66,F$5:F66,"معتمدة"),"")</f>
        <v/>
      </c>
      <c r="J66" s="57"/>
      <c r="K66" s="57"/>
      <c r="L66" s="99"/>
    </row>
    <row r="67" spans="1:12" ht="22.15" customHeight="1" x14ac:dyDescent="0.2">
      <c r="A67" s="53" t="str">
        <f>IF(B67&lt;&gt;"",63,"")</f>
        <v/>
      </c>
      <c r="B67" s="53"/>
      <c r="C67" s="53" t="str">
        <f>IFERROR(VLOOKUP(B67,'👥 بيانات الموظفين'!B:C,2,0),"")</f>
        <v/>
      </c>
      <c r="D67" s="53"/>
      <c r="E67" s="55"/>
      <c r="F67" s="55"/>
      <c r="G67" s="68" t="str">
        <f t="shared" si="0"/>
        <v/>
      </c>
      <c r="H67" s="68" t="str">
        <f t="shared" si="1"/>
        <v/>
      </c>
      <c r="I67" s="53" t="str">
        <f>IFERROR(VLOOKUP(B67,'👥 بيانات الموظفين'!B:Q,16,0)-SUMIFS(H$5:H67,B$5:B67,B67,F$5:F67,"معتمدة"),"")</f>
        <v/>
      </c>
      <c r="J67" s="53"/>
      <c r="K67" s="53"/>
      <c r="L67" s="98"/>
    </row>
    <row r="68" spans="1:12" ht="22.15" customHeight="1" x14ac:dyDescent="0.2">
      <c r="A68" s="57" t="str">
        <f>IF(B68&lt;&gt;"",64,"")</f>
        <v/>
      </c>
      <c r="B68" s="57"/>
      <c r="C68" s="57" t="str">
        <f>IFERROR(VLOOKUP(B68,'👥 بيانات الموظفين'!B:C,2,0),"")</f>
        <v/>
      </c>
      <c r="D68" s="57"/>
      <c r="E68" s="59"/>
      <c r="F68" s="59"/>
      <c r="G68" s="69" t="str">
        <f t="shared" si="0"/>
        <v/>
      </c>
      <c r="H68" s="69" t="str">
        <f t="shared" si="1"/>
        <v/>
      </c>
      <c r="I68" s="57" t="str">
        <f>IFERROR(VLOOKUP(B68,'👥 بيانات الموظفين'!B:Q,16,0)-SUMIFS(H$5:H68,B$5:B68,B68,F$5:F68,"معتمدة"),"")</f>
        <v/>
      </c>
      <c r="J68" s="57"/>
      <c r="K68" s="57"/>
      <c r="L68" s="99"/>
    </row>
    <row r="69" spans="1:12" ht="22.15" customHeight="1" x14ac:dyDescent="0.2">
      <c r="A69" s="53" t="str">
        <f>IF(B69&lt;&gt;"",65,"")</f>
        <v/>
      </c>
      <c r="B69" s="53"/>
      <c r="C69" s="53" t="str">
        <f>IFERROR(VLOOKUP(B69,'👥 بيانات الموظفين'!B:C,2,0),"")</f>
        <v/>
      </c>
      <c r="D69" s="53"/>
      <c r="E69" s="55"/>
      <c r="F69" s="55"/>
      <c r="G69" s="68" t="str">
        <f t="shared" ref="G69:G132" si="2">IFERROR(IF(AND(E69&lt;&gt;"",F69&lt;&gt;""),F69-E69+1,""),"")</f>
        <v/>
      </c>
      <c r="H69" s="68" t="str">
        <f t="shared" ref="H69:H132" si="3">IF(AND(E69&lt;&gt;"",G69&lt;&gt;""),NETWORKDAYS(E69,G69),"")</f>
        <v/>
      </c>
      <c r="I69" s="53" t="str">
        <f>IFERROR(VLOOKUP(B69,'👥 بيانات الموظفين'!B:Q,16,0)-SUMIFS(H$5:H69,B$5:B69,B69,F$5:F69,"معتمدة"),"")</f>
        <v/>
      </c>
      <c r="J69" s="53"/>
      <c r="K69" s="53"/>
      <c r="L69" s="98"/>
    </row>
    <row r="70" spans="1:12" ht="22.15" customHeight="1" x14ac:dyDescent="0.2">
      <c r="A70" s="57" t="str">
        <f>IF(B70&lt;&gt;"",66,"")</f>
        <v/>
      </c>
      <c r="B70" s="57"/>
      <c r="C70" s="57" t="str">
        <f>IFERROR(VLOOKUP(B70,'👥 بيانات الموظفين'!B:C,2,0),"")</f>
        <v/>
      </c>
      <c r="D70" s="57"/>
      <c r="E70" s="59"/>
      <c r="F70" s="59"/>
      <c r="G70" s="69" t="str">
        <f t="shared" si="2"/>
        <v/>
      </c>
      <c r="H70" s="69" t="str">
        <f t="shared" si="3"/>
        <v/>
      </c>
      <c r="I70" s="57" t="str">
        <f>IFERROR(VLOOKUP(B70,'👥 بيانات الموظفين'!B:Q,16,0)-SUMIFS(H$5:H70,B$5:B70,B70,F$5:F70,"معتمدة"),"")</f>
        <v/>
      </c>
      <c r="J70" s="57"/>
      <c r="K70" s="57"/>
      <c r="L70" s="99"/>
    </row>
    <row r="71" spans="1:12" ht="22.15" customHeight="1" x14ac:dyDescent="0.2">
      <c r="A71" s="53" t="str">
        <f>IF(B71&lt;&gt;"",67,"")</f>
        <v/>
      </c>
      <c r="B71" s="53"/>
      <c r="C71" s="53" t="str">
        <f>IFERROR(VLOOKUP(B71,'👥 بيانات الموظفين'!B:C,2,0),"")</f>
        <v/>
      </c>
      <c r="D71" s="53"/>
      <c r="E71" s="55"/>
      <c r="F71" s="55"/>
      <c r="G71" s="68" t="str">
        <f t="shared" si="2"/>
        <v/>
      </c>
      <c r="H71" s="68" t="str">
        <f t="shared" si="3"/>
        <v/>
      </c>
      <c r="I71" s="53" t="str">
        <f>IFERROR(VLOOKUP(B71,'👥 بيانات الموظفين'!B:Q,16,0)-SUMIFS(H$5:H71,B$5:B71,B71,F$5:F71,"معتمدة"),"")</f>
        <v/>
      </c>
      <c r="J71" s="53"/>
      <c r="K71" s="53"/>
      <c r="L71" s="98"/>
    </row>
    <row r="72" spans="1:12" ht="22.15" customHeight="1" x14ac:dyDescent="0.2">
      <c r="A72" s="57" t="str">
        <f>IF(B72&lt;&gt;"",68,"")</f>
        <v/>
      </c>
      <c r="B72" s="57"/>
      <c r="C72" s="57" t="str">
        <f>IFERROR(VLOOKUP(B72,'👥 بيانات الموظفين'!B:C,2,0),"")</f>
        <v/>
      </c>
      <c r="D72" s="57"/>
      <c r="E72" s="59"/>
      <c r="F72" s="59"/>
      <c r="G72" s="69" t="str">
        <f t="shared" si="2"/>
        <v/>
      </c>
      <c r="H72" s="69" t="str">
        <f t="shared" si="3"/>
        <v/>
      </c>
      <c r="I72" s="57" t="str">
        <f>IFERROR(VLOOKUP(B72,'👥 بيانات الموظفين'!B:Q,16,0)-SUMIFS(H$5:H72,B$5:B72,B72,F$5:F72,"معتمدة"),"")</f>
        <v/>
      </c>
      <c r="J72" s="57"/>
      <c r="K72" s="57"/>
      <c r="L72" s="99"/>
    </row>
    <row r="73" spans="1:12" ht="22.15" customHeight="1" x14ac:dyDescent="0.2">
      <c r="A73" s="53" t="str">
        <f>IF(B73&lt;&gt;"",69,"")</f>
        <v/>
      </c>
      <c r="B73" s="53"/>
      <c r="C73" s="53" t="str">
        <f>IFERROR(VLOOKUP(B73,'👥 بيانات الموظفين'!B:C,2,0),"")</f>
        <v/>
      </c>
      <c r="D73" s="53"/>
      <c r="E73" s="55"/>
      <c r="F73" s="55"/>
      <c r="G73" s="68" t="str">
        <f t="shared" si="2"/>
        <v/>
      </c>
      <c r="H73" s="68" t="str">
        <f t="shared" si="3"/>
        <v/>
      </c>
      <c r="I73" s="53" t="str">
        <f>IFERROR(VLOOKUP(B73,'👥 بيانات الموظفين'!B:Q,16,0)-SUMIFS(H$5:H73,B$5:B73,B73,F$5:F73,"معتمدة"),"")</f>
        <v/>
      </c>
      <c r="J73" s="53"/>
      <c r="K73" s="53"/>
      <c r="L73" s="98"/>
    </row>
    <row r="74" spans="1:12" ht="22.15" customHeight="1" x14ac:dyDescent="0.2">
      <c r="A74" s="57" t="str">
        <f>IF(B74&lt;&gt;"",70,"")</f>
        <v/>
      </c>
      <c r="B74" s="57"/>
      <c r="C74" s="57" t="str">
        <f>IFERROR(VLOOKUP(B74,'👥 بيانات الموظفين'!B:C,2,0),"")</f>
        <v/>
      </c>
      <c r="D74" s="57"/>
      <c r="E74" s="59"/>
      <c r="F74" s="59"/>
      <c r="G74" s="69" t="str">
        <f t="shared" si="2"/>
        <v/>
      </c>
      <c r="H74" s="69" t="str">
        <f t="shared" si="3"/>
        <v/>
      </c>
      <c r="I74" s="57" t="str">
        <f>IFERROR(VLOOKUP(B74,'👥 بيانات الموظفين'!B:Q,16,0)-SUMIFS(H$5:H74,B$5:B74,B74,F$5:F74,"معتمدة"),"")</f>
        <v/>
      </c>
      <c r="J74" s="57"/>
      <c r="K74" s="57"/>
      <c r="L74" s="99"/>
    </row>
    <row r="75" spans="1:12" ht="22.15" customHeight="1" x14ac:dyDescent="0.2">
      <c r="A75" s="53" t="str">
        <f>IF(B75&lt;&gt;"",71,"")</f>
        <v/>
      </c>
      <c r="B75" s="53"/>
      <c r="C75" s="53" t="str">
        <f>IFERROR(VLOOKUP(B75,'👥 بيانات الموظفين'!B:C,2,0),"")</f>
        <v/>
      </c>
      <c r="D75" s="53"/>
      <c r="E75" s="55"/>
      <c r="F75" s="55"/>
      <c r="G75" s="68" t="str">
        <f t="shared" si="2"/>
        <v/>
      </c>
      <c r="H75" s="68" t="str">
        <f t="shared" si="3"/>
        <v/>
      </c>
      <c r="I75" s="53" t="str">
        <f>IFERROR(VLOOKUP(B75,'👥 بيانات الموظفين'!B:Q,16,0)-SUMIFS(H$5:H75,B$5:B75,B75,F$5:F75,"معتمدة"),"")</f>
        <v/>
      </c>
      <c r="J75" s="53"/>
      <c r="K75" s="53"/>
      <c r="L75" s="98"/>
    </row>
    <row r="76" spans="1:12" ht="22.15" customHeight="1" x14ac:dyDescent="0.2">
      <c r="A76" s="57" t="str">
        <f>IF(B76&lt;&gt;"",72,"")</f>
        <v/>
      </c>
      <c r="B76" s="57"/>
      <c r="C76" s="57" t="str">
        <f>IFERROR(VLOOKUP(B76,'👥 بيانات الموظفين'!B:C,2,0),"")</f>
        <v/>
      </c>
      <c r="D76" s="57"/>
      <c r="E76" s="59"/>
      <c r="F76" s="59"/>
      <c r="G76" s="69" t="str">
        <f t="shared" si="2"/>
        <v/>
      </c>
      <c r="H76" s="69" t="str">
        <f t="shared" si="3"/>
        <v/>
      </c>
      <c r="I76" s="57" t="str">
        <f>IFERROR(VLOOKUP(B76,'👥 بيانات الموظفين'!B:Q,16,0)-SUMIFS(H$5:H76,B$5:B76,B76,F$5:F76,"معتمدة"),"")</f>
        <v/>
      </c>
      <c r="J76" s="57"/>
      <c r="K76" s="57"/>
      <c r="L76" s="99"/>
    </row>
    <row r="77" spans="1:12" ht="22.15" customHeight="1" x14ac:dyDescent="0.2">
      <c r="A77" s="53" t="str">
        <f>IF(B77&lt;&gt;"",73,"")</f>
        <v/>
      </c>
      <c r="B77" s="53"/>
      <c r="C77" s="53" t="str">
        <f>IFERROR(VLOOKUP(B77,'👥 بيانات الموظفين'!B:C,2,0),"")</f>
        <v/>
      </c>
      <c r="D77" s="53"/>
      <c r="E77" s="55"/>
      <c r="F77" s="55"/>
      <c r="G77" s="68" t="str">
        <f t="shared" si="2"/>
        <v/>
      </c>
      <c r="H77" s="68" t="str">
        <f t="shared" si="3"/>
        <v/>
      </c>
      <c r="I77" s="53" t="str">
        <f>IFERROR(VLOOKUP(B77,'👥 بيانات الموظفين'!B:Q,16,0)-SUMIFS(H$5:H77,B$5:B77,B77,F$5:F77,"معتمدة"),"")</f>
        <v/>
      </c>
      <c r="J77" s="53"/>
      <c r="K77" s="53"/>
      <c r="L77" s="98"/>
    </row>
    <row r="78" spans="1:12" ht="22.15" customHeight="1" x14ac:dyDescent="0.2">
      <c r="A78" s="57" t="str">
        <f>IF(B78&lt;&gt;"",74,"")</f>
        <v/>
      </c>
      <c r="B78" s="57"/>
      <c r="C78" s="57" t="str">
        <f>IFERROR(VLOOKUP(B78,'👥 بيانات الموظفين'!B:C,2,0),"")</f>
        <v/>
      </c>
      <c r="D78" s="57"/>
      <c r="E78" s="59"/>
      <c r="F78" s="59"/>
      <c r="G78" s="69" t="str">
        <f t="shared" si="2"/>
        <v/>
      </c>
      <c r="H78" s="69" t="str">
        <f t="shared" si="3"/>
        <v/>
      </c>
      <c r="I78" s="57" t="str">
        <f>IFERROR(VLOOKUP(B78,'👥 بيانات الموظفين'!B:Q,16,0)-SUMIFS(H$5:H78,B$5:B78,B78,F$5:F78,"معتمدة"),"")</f>
        <v/>
      </c>
      <c r="J78" s="57"/>
      <c r="K78" s="57"/>
      <c r="L78" s="99"/>
    </row>
    <row r="79" spans="1:12" ht="22.15" customHeight="1" x14ac:dyDescent="0.2">
      <c r="A79" s="53" t="str">
        <f>IF(B79&lt;&gt;"",75,"")</f>
        <v/>
      </c>
      <c r="B79" s="53"/>
      <c r="C79" s="53" t="str">
        <f>IFERROR(VLOOKUP(B79,'👥 بيانات الموظفين'!B:C,2,0),"")</f>
        <v/>
      </c>
      <c r="D79" s="53"/>
      <c r="E79" s="55"/>
      <c r="F79" s="55"/>
      <c r="G79" s="68" t="str">
        <f t="shared" si="2"/>
        <v/>
      </c>
      <c r="H79" s="68" t="str">
        <f t="shared" si="3"/>
        <v/>
      </c>
      <c r="I79" s="53" t="str">
        <f>IFERROR(VLOOKUP(B79,'👥 بيانات الموظفين'!B:Q,16,0)-SUMIFS(H$5:H79,B$5:B79,B79,F$5:F79,"معتمدة"),"")</f>
        <v/>
      </c>
      <c r="J79" s="53"/>
      <c r="K79" s="53"/>
      <c r="L79" s="98"/>
    </row>
    <row r="80" spans="1:12" ht="22.15" customHeight="1" x14ac:dyDescent="0.2">
      <c r="A80" s="57" t="str">
        <f>IF(B80&lt;&gt;"",76,"")</f>
        <v/>
      </c>
      <c r="B80" s="57"/>
      <c r="C80" s="57" t="str">
        <f>IFERROR(VLOOKUP(B80,'👥 بيانات الموظفين'!B:C,2,0),"")</f>
        <v/>
      </c>
      <c r="D80" s="57"/>
      <c r="E80" s="59"/>
      <c r="F80" s="59"/>
      <c r="G80" s="69" t="str">
        <f t="shared" si="2"/>
        <v/>
      </c>
      <c r="H80" s="69" t="str">
        <f t="shared" si="3"/>
        <v/>
      </c>
      <c r="I80" s="57" t="str">
        <f>IFERROR(VLOOKUP(B80,'👥 بيانات الموظفين'!B:Q,16,0)-SUMIFS(H$5:H80,B$5:B80,B80,F$5:F80,"معتمدة"),"")</f>
        <v/>
      </c>
      <c r="J80" s="57"/>
      <c r="K80" s="57"/>
      <c r="L80" s="99"/>
    </row>
    <row r="81" spans="1:12" ht="22.15" customHeight="1" x14ac:dyDescent="0.2">
      <c r="A81" s="53" t="str">
        <f>IF(B81&lt;&gt;"",77,"")</f>
        <v/>
      </c>
      <c r="B81" s="53"/>
      <c r="C81" s="53" t="str">
        <f>IFERROR(VLOOKUP(B81,'👥 بيانات الموظفين'!B:C,2,0),"")</f>
        <v/>
      </c>
      <c r="D81" s="53"/>
      <c r="E81" s="55"/>
      <c r="F81" s="55"/>
      <c r="G81" s="68" t="str">
        <f t="shared" si="2"/>
        <v/>
      </c>
      <c r="H81" s="68" t="str">
        <f t="shared" si="3"/>
        <v/>
      </c>
      <c r="I81" s="53" t="str">
        <f>IFERROR(VLOOKUP(B81,'👥 بيانات الموظفين'!B:Q,16,0)-SUMIFS(H$5:H81,B$5:B81,B81,F$5:F81,"معتمدة"),"")</f>
        <v/>
      </c>
      <c r="J81" s="53"/>
      <c r="K81" s="53"/>
      <c r="L81" s="98"/>
    </row>
    <row r="82" spans="1:12" ht="22.15" customHeight="1" x14ac:dyDescent="0.2">
      <c r="A82" s="57" t="str">
        <f>IF(B82&lt;&gt;"",78,"")</f>
        <v/>
      </c>
      <c r="B82" s="57"/>
      <c r="C82" s="57" t="str">
        <f>IFERROR(VLOOKUP(B82,'👥 بيانات الموظفين'!B:C,2,0),"")</f>
        <v/>
      </c>
      <c r="D82" s="57"/>
      <c r="E82" s="59"/>
      <c r="F82" s="59"/>
      <c r="G82" s="69" t="str">
        <f t="shared" si="2"/>
        <v/>
      </c>
      <c r="H82" s="69" t="str">
        <f t="shared" si="3"/>
        <v/>
      </c>
      <c r="I82" s="57" t="str">
        <f>IFERROR(VLOOKUP(B82,'👥 بيانات الموظفين'!B:Q,16,0)-SUMIFS(H$5:H82,B$5:B82,B82,F$5:F82,"معتمدة"),"")</f>
        <v/>
      </c>
      <c r="J82" s="57"/>
      <c r="K82" s="57"/>
      <c r="L82" s="99"/>
    </row>
    <row r="83" spans="1:12" ht="22.15" customHeight="1" x14ac:dyDescent="0.2">
      <c r="A83" s="53" t="str">
        <f>IF(B83&lt;&gt;"",79,"")</f>
        <v/>
      </c>
      <c r="B83" s="53"/>
      <c r="C83" s="53" t="str">
        <f>IFERROR(VLOOKUP(B83,'👥 بيانات الموظفين'!B:C,2,0),"")</f>
        <v/>
      </c>
      <c r="D83" s="53"/>
      <c r="E83" s="55"/>
      <c r="F83" s="55"/>
      <c r="G83" s="68" t="str">
        <f t="shared" si="2"/>
        <v/>
      </c>
      <c r="H83" s="68" t="str">
        <f t="shared" si="3"/>
        <v/>
      </c>
      <c r="I83" s="53" t="str">
        <f>IFERROR(VLOOKUP(B83,'👥 بيانات الموظفين'!B:Q,16,0)-SUMIFS(H$5:H83,B$5:B83,B83,F$5:F83,"معتمدة"),"")</f>
        <v/>
      </c>
      <c r="J83" s="53"/>
      <c r="K83" s="53"/>
      <c r="L83" s="98"/>
    </row>
    <row r="84" spans="1:12" ht="22.15" customHeight="1" x14ac:dyDescent="0.2">
      <c r="A84" s="57" t="str">
        <f>IF(B84&lt;&gt;"",80,"")</f>
        <v/>
      </c>
      <c r="B84" s="57"/>
      <c r="C84" s="57" t="str">
        <f>IFERROR(VLOOKUP(B84,'👥 بيانات الموظفين'!B:C,2,0),"")</f>
        <v/>
      </c>
      <c r="D84" s="57"/>
      <c r="E84" s="59"/>
      <c r="F84" s="59"/>
      <c r="G84" s="69" t="str">
        <f t="shared" si="2"/>
        <v/>
      </c>
      <c r="H84" s="69" t="str">
        <f t="shared" si="3"/>
        <v/>
      </c>
      <c r="I84" s="57" t="str">
        <f>IFERROR(VLOOKUP(B84,'👥 بيانات الموظفين'!B:Q,16,0)-SUMIFS(H$5:H84,B$5:B84,B84,F$5:F84,"معتمدة"),"")</f>
        <v/>
      </c>
      <c r="J84" s="57"/>
      <c r="K84" s="57"/>
      <c r="L84" s="99"/>
    </row>
    <row r="85" spans="1:12" ht="22.15" customHeight="1" x14ac:dyDescent="0.2">
      <c r="A85" s="53" t="str">
        <f>IF(B85&lt;&gt;"",81,"")</f>
        <v/>
      </c>
      <c r="B85" s="53"/>
      <c r="C85" s="53" t="str">
        <f>IFERROR(VLOOKUP(B85,'👥 بيانات الموظفين'!B:C,2,0),"")</f>
        <v/>
      </c>
      <c r="D85" s="53"/>
      <c r="E85" s="55"/>
      <c r="F85" s="55"/>
      <c r="G85" s="68" t="str">
        <f t="shared" si="2"/>
        <v/>
      </c>
      <c r="H85" s="68" t="str">
        <f t="shared" si="3"/>
        <v/>
      </c>
      <c r="I85" s="53" t="str">
        <f>IFERROR(VLOOKUP(B85,'👥 بيانات الموظفين'!B:Q,16,0)-SUMIFS(H$5:H85,B$5:B85,B85,F$5:F85,"معتمدة"),"")</f>
        <v/>
      </c>
      <c r="J85" s="53"/>
      <c r="K85" s="53"/>
      <c r="L85" s="98"/>
    </row>
    <row r="86" spans="1:12" ht="22.15" customHeight="1" x14ac:dyDescent="0.2">
      <c r="A86" s="57" t="str">
        <f>IF(B86&lt;&gt;"",82,"")</f>
        <v/>
      </c>
      <c r="B86" s="57"/>
      <c r="C86" s="57" t="str">
        <f>IFERROR(VLOOKUP(B86,'👥 بيانات الموظفين'!B:C,2,0),"")</f>
        <v/>
      </c>
      <c r="D86" s="57"/>
      <c r="E86" s="59"/>
      <c r="F86" s="59"/>
      <c r="G86" s="69" t="str">
        <f t="shared" si="2"/>
        <v/>
      </c>
      <c r="H86" s="69" t="str">
        <f t="shared" si="3"/>
        <v/>
      </c>
      <c r="I86" s="57" t="str">
        <f>IFERROR(VLOOKUP(B86,'👥 بيانات الموظفين'!B:Q,16,0)-SUMIFS(H$5:H86,B$5:B86,B86,F$5:F86,"معتمدة"),"")</f>
        <v/>
      </c>
      <c r="J86" s="57"/>
      <c r="K86" s="57"/>
      <c r="L86" s="99"/>
    </row>
    <row r="87" spans="1:12" ht="22.15" customHeight="1" x14ac:dyDescent="0.2">
      <c r="A87" s="53" t="str">
        <f>IF(B87&lt;&gt;"",83,"")</f>
        <v/>
      </c>
      <c r="B87" s="53"/>
      <c r="C87" s="53" t="str">
        <f>IFERROR(VLOOKUP(B87,'👥 بيانات الموظفين'!B:C,2,0),"")</f>
        <v/>
      </c>
      <c r="D87" s="53"/>
      <c r="E87" s="55"/>
      <c r="F87" s="55"/>
      <c r="G87" s="68" t="str">
        <f t="shared" si="2"/>
        <v/>
      </c>
      <c r="H87" s="68" t="str">
        <f t="shared" si="3"/>
        <v/>
      </c>
      <c r="I87" s="53" t="str">
        <f>IFERROR(VLOOKUP(B87,'👥 بيانات الموظفين'!B:Q,16,0)-SUMIFS(H$5:H87,B$5:B87,B87,F$5:F87,"معتمدة"),"")</f>
        <v/>
      </c>
      <c r="J87" s="53"/>
      <c r="K87" s="53"/>
      <c r="L87" s="98"/>
    </row>
    <row r="88" spans="1:12" ht="22.15" customHeight="1" x14ac:dyDescent="0.2">
      <c r="A88" s="57" t="str">
        <f>IF(B88&lt;&gt;"",84,"")</f>
        <v/>
      </c>
      <c r="B88" s="57"/>
      <c r="C88" s="57" t="str">
        <f>IFERROR(VLOOKUP(B88,'👥 بيانات الموظفين'!B:C,2,0),"")</f>
        <v/>
      </c>
      <c r="D88" s="57"/>
      <c r="E88" s="59"/>
      <c r="F88" s="59"/>
      <c r="G88" s="69" t="str">
        <f t="shared" si="2"/>
        <v/>
      </c>
      <c r="H88" s="69" t="str">
        <f t="shared" si="3"/>
        <v/>
      </c>
      <c r="I88" s="57" t="str">
        <f>IFERROR(VLOOKUP(B88,'👥 بيانات الموظفين'!B:Q,16,0)-SUMIFS(H$5:H88,B$5:B88,B88,F$5:F88,"معتمدة"),"")</f>
        <v/>
      </c>
      <c r="J88" s="57"/>
      <c r="K88" s="57"/>
      <c r="L88" s="99"/>
    </row>
    <row r="89" spans="1:12" ht="22.15" customHeight="1" x14ac:dyDescent="0.2">
      <c r="A89" s="53" t="str">
        <f>IF(B89&lt;&gt;"",85,"")</f>
        <v/>
      </c>
      <c r="B89" s="53"/>
      <c r="C89" s="53" t="str">
        <f>IFERROR(VLOOKUP(B89,'👥 بيانات الموظفين'!B:C,2,0),"")</f>
        <v/>
      </c>
      <c r="D89" s="53"/>
      <c r="E89" s="55"/>
      <c r="F89" s="55"/>
      <c r="G89" s="68" t="str">
        <f t="shared" si="2"/>
        <v/>
      </c>
      <c r="H89" s="68" t="str">
        <f t="shared" si="3"/>
        <v/>
      </c>
      <c r="I89" s="53" t="str">
        <f>IFERROR(VLOOKUP(B89,'👥 بيانات الموظفين'!B:Q,16,0)-SUMIFS(H$5:H89,B$5:B89,B89,F$5:F89,"معتمدة"),"")</f>
        <v/>
      </c>
      <c r="J89" s="53"/>
      <c r="K89" s="53"/>
      <c r="L89" s="98"/>
    </row>
    <row r="90" spans="1:12" ht="22.15" customHeight="1" x14ac:dyDescent="0.2">
      <c r="A90" s="57" t="str">
        <f>IF(B90&lt;&gt;"",86,"")</f>
        <v/>
      </c>
      <c r="B90" s="57"/>
      <c r="C90" s="57" t="str">
        <f>IFERROR(VLOOKUP(B90,'👥 بيانات الموظفين'!B:C,2,0),"")</f>
        <v/>
      </c>
      <c r="D90" s="57"/>
      <c r="E90" s="59"/>
      <c r="F90" s="59"/>
      <c r="G90" s="69" t="str">
        <f t="shared" si="2"/>
        <v/>
      </c>
      <c r="H90" s="69" t="str">
        <f t="shared" si="3"/>
        <v/>
      </c>
      <c r="I90" s="57" t="str">
        <f>IFERROR(VLOOKUP(B90,'👥 بيانات الموظفين'!B:Q,16,0)-SUMIFS(H$5:H90,B$5:B90,B90,F$5:F90,"معتمدة"),"")</f>
        <v/>
      </c>
      <c r="J90" s="57"/>
      <c r="K90" s="57"/>
      <c r="L90" s="99"/>
    </row>
    <row r="91" spans="1:12" ht="22.15" customHeight="1" x14ac:dyDescent="0.2">
      <c r="A91" s="53" t="str">
        <f>IF(B91&lt;&gt;"",87,"")</f>
        <v/>
      </c>
      <c r="B91" s="53"/>
      <c r="C91" s="53" t="str">
        <f>IFERROR(VLOOKUP(B91,'👥 بيانات الموظفين'!B:C,2,0),"")</f>
        <v/>
      </c>
      <c r="D91" s="53"/>
      <c r="E91" s="55"/>
      <c r="F91" s="55"/>
      <c r="G91" s="68" t="str">
        <f t="shared" si="2"/>
        <v/>
      </c>
      <c r="H91" s="68" t="str">
        <f t="shared" si="3"/>
        <v/>
      </c>
      <c r="I91" s="53" t="str">
        <f>IFERROR(VLOOKUP(B91,'👥 بيانات الموظفين'!B:Q,16,0)-SUMIFS(H$5:H91,B$5:B91,B91,F$5:F91,"معتمدة"),"")</f>
        <v/>
      </c>
      <c r="J91" s="53"/>
      <c r="K91" s="53"/>
      <c r="L91" s="98"/>
    </row>
    <row r="92" spans="1:12" ht="22.15" customHeight="1" x14ac:dyDescent="0.2">
      <c r="A92" s="57" t="str">
        <f>IF(B92&lt;&gt;"",88,"")</f>
        <v/>
      </c>
      <c r="B92" s="57"/>
      <c r="C92" s="57" t="str">
        <f>IFERROR(VLOOKUP(B92,'👥 بيانات الموظفين'!B:C,2,0),"")</f>
        <v/>
      </c>
      <c r="D92" s="57"/>
      <c r="E92" s="59"/>
      <c r="F92" s="59"/>
      <c r="G92" s="69" t="str">
        <f t="shared" si="2"/>
        <v/>
      </c>
      <c r="H92" s="69" t="str">
        <f t="shared" si="3"/>
        <v/>
      </c>
      <c r="I92" s="57" t="str">
        <f>IFERROR(VLOOKUP(B92,'👥 بيانات الموظفين'!B:Q,16,0)-SUMIFS(H$5:H92,B$5:B92,B92,F$5:F92,"معتمدة"),"")</f>
        <v/>
      </c>
      <c r="J92" s="57"/>
      <c r="K92" s="57"/>
      <c r="L92" s="99"/>
    </row>
    <row r="93" spans="1:12" ht="22.15" customHeight="1" x14ac:dyDescent="0.2">
      <c r="A93" s="53" t="str">
        <f>IF(B93&lt;&gt;"",89,"")</f>
        <v/>
      </c>
      <c r="B93" s="53"/>
      <c r="C93" s="53" t="str">
        <f>IFERROR(VLOOKUP(B93,'👥 بيانات الموظفين'!B:C,2,0),"")</f>
        <v/>
      </c>
      <c r="D93" s="53"/>
      <c r="E93" s="55"/>
      <c r="F93" s="55"/>
      <c r="G93" s="68" t="str">
        <f t="shared" si="2"/>
        <v/>
      </c>
      <c r="H93" s="68" t="str">
        <f t="shared" si="3"/>
        <v/>
      </c>
      <c r="I93" s="53" t="str">
        <f>IFERROR(VLOOKUP(B93,'👥 بيانات الموظفين'!B:Q,16,0)-SUMIFS(H$5:H93,B$5:B93,B93,F$5:F93,"معتمدة"),"")</f>
        <v/>
      </c>
      <c r="J93" s="53"/>
      <c r="K93" s="53"/>
      <c r="L93" s="98"/>
    </row>
    <row r="94" spans="1:12" ht="22.15" customHeight="1" x14ac:dyDescent="0.2">
      <c r="A94" s="57" t="str">
        <f>IF(B94&lt;&gt;"",90,"")</f>
        <v/>
      </c>
      <c r="B94" s="57"/>
      <c r="C94" s="57" t="str">
        <f>IFERROR(VLOOKUP(B94,'👥 بيانات الموظفين'!B:C,2,0),"")</f>
        <v/>
      </c>
      <c r="D94" s="57"/>
      <c r="E94" s="59"/>
      <c r="F94" s="59"/>
      <c r="G94" s="69" t="str">
        <f t="shared" si="2"/>
        <v/>
      </c>
      <c r="H94" s="69" t="str">
        <f t="shared" si="3"/>
        <v/>
      </c>
      <c r="I94" s="57" t="str">
        <f>IFERROR(VLOOKUP(B94,'👥 بيانات الموظفين'!B:Q,16,0)-SUMIFS(H$5:H94,B$5:B94,B94,F$5:F94,"معتمدة"),"")</f>
        <v/>
      </c>
      <c r="J94" s="57"/>
      <c r="K94" s="57"/>
      <c r="L94" s="99"/>
    </row>
    <row r="95" spans="1:12" ht="22.15" customHeight="1" x14ac:dyDescent="0.2">
      <c r="A95" s="53" t="str">
        <f>IF(B95&lt;&gt;"",91,"")</f>
        <v/>
      </c>
      <c r="B95" s="53"/>
      <c r="C95" s="53" t="str">
        <f>IFERROR(VLOOKUP(B95,'👥 بيانات الموظفين'!B:C,2,0),"")</f>
        <v/>
      </c>
      <c r="D95" s="53"/>
      <c r="E95" s="55"/>
      <c r="F95" s="55"/>
      <c r="G95" s="68" t="str">
        <f t="shared" si="2"/>
        <v/>
      </c>
      <c r="H95" s="68" t="str">
        <f t="shared" si="3"/>
        <v/>
      </c>
      <c r="I95" s="53" t="str">
        <f>IFERROR(VLOOKUP(B95,'👥 بيانات الموظفين'!B:Q,16,0)-SUMIFS(H$5:H95,B$5:B95,B95,F$5:F95,"معتمدة"),"")</f>
        <v/>
      </c>
      <c r="J95" s="53"/>
      <c r="K95" s="53"/>
      <c r="L95" s="98"/>
    </row>
    <row r="96" spans="1:12" ht="22.15" customHeight="1" x14ac:dyDescent="0.2">
      <c r="A96" s="57" t="str">
        <f>IF(B96&lt;&gt;"",92,"")</f>
        <v/>
      </c>
      <c r="B96" s="57"/>
      <c r="C96" s="57" t="str">
        <f>IFERROR(VLOOKUP(B96,'👥 بيانات الموظفين'!B:C,2,0),"")</f>
        <v/>
      </c>
      <c r="D96" s="57"/>
      <c r="E96" s="59"/>
      <c r="F96" s="59"/>
      <c r="G96" s="69" t="str">
        <f t="shared" si="2"/>
        <v/>
      </c>
      <c r="H96" s="69" t="str">
        <f t="shared" si="3"/>
        <v/>
      </c>
      <c r="I96" s="57" t="str">
        <f>IFERROR(VLOOKUP(B96,'👥 بيانات الموظفين'!B:Q,16,0)-SUMIFS(H$5:H96,B$5:B96,B96,F$5:F96,"معتمدة"),"")</f>
        <v/>
      </c>
      <c r="J96" s="57"/>
      <c r="K96" s="57"/>
      <c r="L96" s="99"/>
    </row>
    <row r="97" spans="1:12" ht="22.15" customHeight="1" x14ac:dyDescent="0.2">
      <c r="A97" s="53" t="str">
        <f>IF(B97&lt;&gt;"",93,"")</f>
        <v/>
      </c>
      <c r="B97" s="53"/>
      <c r="C97" s="53" t="str">
        <f>IFERROR(VLOOKUP(B97,'👥 بيانات الموظفين'!B:C,2,0),"")</f>
        <v/>
      </c>
      <c r="D97" s="53"/>
      <c r="E97" s="55"/>
      <c r="F97" s="55"/>
      <c r="G97" s="68" t="str">
        <f t="shared" si="2"/>
        <v/>
      </c>
      <c r="H97" s="68" t="str">
        <f t="shared" si="3"/>
        <v/>
      </c>
      <c r="I97" s="53" t="str">
        <f>IFERROR(VLOOKUP(B97,'👥 بيانات الموظفين'!B:Q,16,0)-SUMIFS(H$5:H97,B$5:B97,B97,F$5:F97,"معتمدة"),"")</f>
        <v/>
      </c>
      <c r="J97" s="53"/>
      <c r="K97" s="53"/>
      <c r="L97" s="98"/>
    </row>
    <row r="98" spans="1:12" ht="22.15" customHeight="1" x14ac:dyDescent="0.2">
      <c r="A98" s="57" t="str">
        <f>IF(B98&lt;&gt;"",94,"")</f>
        <v/>
      </c>
      <c r="B98" s="57"/>
      <c r="C98" s="57" t="str">
        <f>IFERROR(VLOOKUP(B98,'👥 بيانات الموظفين'!B:C,2,0),"")</f>
        <v/>
      </c>
      <c r="D98" s="57"/>
      <c r="E98" s="59"/>
      <c r="F98" s="59"/>
      <c r="G98" s="69" t="str">
        <f t="shared" si="2"/>
        <v/>
      </c>
      <c r="H98" s="69" t="str">
        <f t="shared" si="3"/>
        <v/>
      </c>
      <c r="I98" s="57" t="str">
        <f>IFERROR(VLOOKUP(B98,'👥 بيانات الموظفين'!B:Q,16,0)-SUMIFS(H$5:H98,B$5:B98,B98,F$5:F98,"معتمدة"),"")</f>
        <v/>
      </c>
      <c r="J98" s="57"/>
      <c r="K98" s="57"/>
      <c r="L98" s="99"/>
    </row>
    <row r="99" spans="1:12" ht="22.15" customHeight="1" x14ac:dyDescent="0.2">
      <c r="A99" s="53" t="str">
        <f>IF(B99&lt;&gt;"",95,"")</f>
        <v/>
      </c>
      <c r="B99" s="53"/>
      <c r="C99" s="53" t="str">
        <f>IFERROR(VLOOKUP(B99,'👥 بيانات الموظفين'!B:C,2,0),"")</f>
        <v/>
      </c>
      <c r="D99" s="53"/>
      <c r="E99" s="55"/>
      <c r="F99" s="55"/>
      <c r="G99" s="68" t="str">
        <f t="shared" si="2"/>
        <v/>
      </c>
      <c r="H99" s="68" t="str">
        <f t="shared" si="3"/>
        <v/>
      </c>
      <c r="I99" s="53" t="str">
        <f>IFERROR(VLOOKUP(B99,'👥 بيانات الموظفين'!B:Q,16,0)-SUMIFS(H$5:H99,B$5:B99,B99,F$5:F99,"معتمدة"),"")</f>
        <v/>
      </c>
      <c r="J99" s="53"/>
      <c r="K99" s="53"/>
      <c r="L99" s="98"/>
    </row>
    <row r="100" spans="1:12" ht="22.15" customHeight="1" x14ac:dyDescent="0.2">
      <c r="A100" s="57" t="str">
        <f>IF(B100&lt;&gt;"",96,"")</f>
        <v/>
      </c>
      <c r="B100" s="57"/>
      <c r="C100" s="57" t="str">
        <f>IFERROR(VLOOKUP(B100,'👥 بيانات الموظفين'!B:C,2,0),"")</f>
        <v/>
      </c>
      <c r="D100" s="57"/>
      <c r="E100" s="59"/>
      <c r="F100" s="59"/>
      <c r="G100" s="69" t="str">
        <f t="shared" si="2"/>
        <v/>
      </c>
      <c r="H100" s="69" t="str">
        <f t="shared" si="3"/>
        <v/>
      </c>
      <c r="I100" s="57" t="str">
        <f>IFERROR(VLOOKUP(B100,'👥 بيانات الموظفين'!B:Q,16,0)-SUMIFS(H$5:H100,B$5:B100,B100,F$5:F100,"معتمدة"),"")</f>
        <v/>
      </c>
      <c r="J100" s="57"/>
      <c r="K100" s="57"/>
      <c r="L100" s="99"/>
    </row>
    <row r="101" spans="1:12" ht="22.15" customHeight="1" x14ac:dyDescent="0.2">
      <c r="A101" s="53" t="str">
        <f>IF(B101&lt;&gt;"",97,"")</f>
        <v/>
      </c>
      <c r="B101" s="53"/>
      <c r="C101" s="53" t="str">
        <f>IFERROR(VLOOKUP(B101,'👥 بيانات الموظفين'!B:C,2,0),"")</f>
        <v/>
      </c>
      <c r="D101" s="53"/>
      <c r="E101" s="55"/>
      <c r="F101" s="55"/>
      <c r="G101" s="68" t="str">
        <f t="shared" si="2"/>
        <v/>
      </c>
      <c r="H101" s="68" t="str">
        <f t="shared" si="3"/>
        <v/>
      </c>
      <c r="I101" s="53" t="str">
        <f>IFERROR(VLOOKUP(B101,'👥 بيانات الموظفين'!B:Q,16,0)-SUMIFS(H$5:H101,B$5:B101,B101,F$5:F101,"معتمدة"),"")</f>
        <v/>
      </c>
      <c r="J101" s="53"/>
      <c r="K101" s="53"/>
      <c r="L101" s="98"/>
    </row>
    <row r="102" spans="1:12" ht="22.15" customHeight="1" x14ac:dyDescent="0.2">
      <c r="A102" s="57" t="str">
        <f>IF(B102&lt;&gt;"",98,"")</f>
        <v/>
      </c>
      <c r="B102" s="57"/>
      <c r="C102" s="57" t="str">
        <f>IFERROR(VLOOKUP(B102,'👥 بيانات الموظفين'!B:C,2,0),"")</f>
        <v/>
      </c>
      <c r="D102" s="57"/>
      <c r="E102" s="59"/>
      <c r="F102" s="59"/>
      <c r="G102" s="69" t="str">
        <f t="shared" si="2"/>
        <v/>
      </c>
      <c r="H102" s="69" t="str">
        <f t="shared" si="3"/>
        <v/>
      </c>
      <c r="I102" s="57" t="str">
        <f>IFERROR(VLOOKUP(B102,'👥 بيانات الموظفين'!B:Q,16,0)-SUMIFS(H$5:H102,B$5:B102,B102,F$5:F102,"معتمدة"),"")</f>
        <v/>
      </c>
      <c r="J102" s="57"/>
      <c r="K102" s="57"/>
      <c r="L102" s="99"/>
    </row>
    <row r="103" spans="1:12" ht="22.15" customHeight="1" x14ac:dyDescent="0.2">
      <c r="A103" s="53" t="str">
        <f>IF(B103&lt;&gt;"",99,"")</f>
        <v/>
      </c>
      <c r="B103" s="53"/>
      <c r="C103" s="53" t="str">
        <f>IFERROR(VLOOKUP(B103,'👥 بيانات الموظفين'!B:C,2,0),"")</f>
        <v/>
      </c>
      <c r="D103" s="53"/>
      <c r="E103" s="55"/>
      <c r="F103" s="55"/>
      <c r="G103" s="68" t="str">
        <f t="shared" si="2"/>
        <v/>
      </c>
      <c r="H103" s="68" t="str">
        <f t="shared" si="3"/>
        <v/>
      </c>
      <c r="I103" s="53" t="str">
        <f>IFERROR(VLOOKUP(B103,'👥 بيانات الموظفين'!B:Q,16,0)-SUMIFS(H$5:H103,B$5:B103,B103,F$5:F103,"معتمدة"),"")</f>
        <v/>
      </c>
      <c r="J103" s="53"/>
      <c r="K103" s="53"/>
      <c r="L103" s="98"/>
    </row>
    <row r="104" spans="1:12" ht="22.15" customHeight="1" x14ac:dyDescent="0.2">
      <c r="A104" s="57" t="str">
        <f>IF(B104&lt;&gt;"",100,"")</f>
        <v/>
      </c>
      <c r="B104" s="57"/>
      <c r="C104" s="57" t="str">
        <f>IFERROR(VLOOKUP(B104,'👥 بيانات الموظفين'!B:C,2,0),"")</f>
        <v/>
      </c>
      <c r="D104" s="57"/>
      <c r="E104" s="59"/>
      <c r="F104" s="59"/>
      <c r="G104" s="69" t="str">
        <f t="shared" si="2"/>
        <v/>
      </c>
      <c r="H104" s="69" t="str">
        <f t="shared" si="3"/>
        <v/>
      </c>
      <c r="I104" s="57" t="str">
        <f>IFERROR(VLOOKUP(B104,'👥 بيانات الموظفين'!B:Q,16,0)-SUMIFS(H$5:H104,B$5:B104,B104,F$5:F104,"معتمدة"),"")</f>
        <v/>
      </c>
      <c r="J104" s="57"/>
      <c r="K104" s="57"/>
      <c r="L104" s="99"/>
    </row>
    <row r="105" spans="1:12" ht="22.15" customHeight="1" x14ac:dyDescent="0.2">
      <c r="A105" s="53" t="str">
        <f>IF(B105&lt;&gt;"",101,"")</f>
        <v/>
      </c>
      <c r="B105" s="53"/>
      <c r="C105" s="53" t="str">
        <f>IFERROR(VLOOKUP(B105,'👥 بيانات الموظفين'!B:C,2,0),"")</f>
        <v/>
      </c>
      <c r="D105" s="53"/>
      <c r="E105" s="55"/>
      <c r="F105" s="55"/>
      <c r="G105" s="68" t="str">
        <f t="shared" si="2"/>
        <v/>
      </c>
      <c r="H105" s="68" t="str">
        <f t="shared" si="3"/>
        <v/>
      </c>
      <c r="I105" s="53" t="str">
        <f>IFERROR(VLOOKUP(B105,'👥 بيانات الموظفين'!B:Q,16,0)-SUMIFS(H$5:H105,B$5:B105,B105,F$5:F105,"معتمدة"),"")</f>
        <v/>
      </c>
      <c r="J105" s="53"/>
      <c r="K105" s="53"/>
      <c r="L105" s="98"/>
    </row>
    <row r="106" spans="1:12" ht="22.15" customHeight="1" x14ac:dyDescent="0.2">
      <c r="A106" s="57" t="str">
        <f>IF(B106&lt;&gt;"",102,"")</f>
        <v/>
      </c>
      <c r="B106" s="57"/>
      <c r="C106" s="57" t="str">
        <f>IFERROR(VLOOKUP(B106,'👥 بيانات الموظفين'!B:C,2,0),"")</f>
        <v/>
      </c>
      <c r="D106" s="57"/>
      <c r="E106" s="59"/>
      <c r="F106" s="59"/>
      <c r="G106" s="69" t="str">
        <f t="shared" si="2"/>
        <v/>
      </c>
      <c r="H106" s="69" t="str">
        <f t="shared" si="3"/>
        <v/>
      </c>
      <c r="I106" s="57" t="str">
        <f>IFERROR(VLOOKUP(B106,'👥 بيانات الموظفين'!B:Q,16,0)-SUMIFS(H$5:H106,B$5:B106,B106,F$5:F106,"معتمدة"),"")</f>
        <v/>
      </c>
      <c r="J106" s="57"/>
      <c r="K106" s="57"/>
      <c r="L106" s="99"/>
    </row>
    <row r="107" spans="1:12" ht="22.15" customHeight="1" x14ac:dyDescent="0.2">
      <c r="A107" s="53" t="str">
        <f>IF(B107&lt;&gt;"",103,"")</f>
        <v/>
      </c>
      <c r="B107" s="53"/>
      <c r="C107" s="53" t="str">
        <f>IFERROR(VLOOKUP(B107,'👥 بيانات الموظفين'!B:C,2,0),"")</f>
        <v/>
      </c>
      <c r="D107" s="53"/>
      <c r="E107" s="55"/>
      <c r="F107" s="55"/>
      <c r="G107" s="68" t="str">
        <f t="shared" si="2"/>
        <v/>
      </c>
      <c r="H107" s="68" t="str">
        <f t="shared" si="3"/>
        <v/>
      </c>
      <c r="I107" s="53" t="str">
        <f>IFERROR(VLOOKUP(B107,'👥 بيانات الموظفين'!B:Q,16,0)-SUMIFS(H$5:H107,B$5:B107,B107,F$5:F107,"معتمدة"),"")</f>
        <v/>
      </c>
      <c r="J107" s="53"/>
      <c r="K107" s="53"/>
      <c r="L107" s="98"/>
    </row>
    <row r="108" spans="1:12" ht="22.15" customHeight="1" x14ac:dyDescent="0.2">
      <c r="A108" s="57" t="str">
        <f>IF(B108&lt;&gt;"",104,"")</f>
        <v/>
      </c>
      <c r="B108" s="57"/>
      <c r="C108" s="57" t="str">
        <f>IFERROR(VLOOKUP(B108,'👥 بيانات الموظفين'!B:C,2,0),"")</f>
        <v/>
      </c>
      <c r="D108" s="57"/>
      <c r="E108" s="59"/>
      <c r="F108" s="59"/>
      <c r="G108" s="69" t="str">
        <f t="shared" si="2"/>
        <v/>
      </c>
      <c r="H108" s="69" t="str">
        <f t="shared" si="3"/>
        <v/>
      </c>
      <c r="I108" s="57" t="str">
        <f>IFERROR(VLOOKUP(B108,'👥 بيانات الموظفين'!B:Q,16,0)-SUMIFS(H$5:H108,B$5:B108,B108,F$5:F108,"معتمدة"),"")</f>
        <v/>
      </c>
      <c r="J108" s="57"/>
      <c r="K108" s="57"/>
      <c r="L108" s="99"/>
    </row>
    <row r="109" spans="1:12" ht="22.15" customHeight="1" x14ac:dyDescent="0.2">
      <c r="A109" s="53" t="str">
        <f>IF(B109&lt;&gt;"",105,"")</f>
        <v/>
      </c>
      <c r="B109" s="53"/>
      <c r="C109" s="53" t="str">
        <f>IFERROR(VLOOKUP(B109,'👥 بيانات الموظفين'!B:C,2,0),"")</f>
        <v/>
      </c>
      <c r="D109" s="53"/>
      <c r="E109" s="55"/>
      <c r="F109" s="55"/>
      <c r="G109" s="68" t="str">
        <f t="shared" si="2"/>
        <v/>
      </c>
      <c r="H109" s="68" t="str">
        <f t="shared" si="3"/>
        <v/>
      </c>
      <c r="I109" s="53" t="str">
        <f>IFERROR(VLOOKUP(B109,'👥 بيانات الموظفين'!B:Q,16,0)-SUMIFS(H$5:H109,B$5:B109,B109,F$5:F109,"معتمدة"),"")</f>
        <v/>
      </c>
      <c r="J109" s="53"/>
      <c r="K109" s="53"/>
      <c r="L109" s="98"/>
    </row>
    <row r="110" spans="1:12" ht="22.15" customHeight="1" x14ac:dyDescent="0.2">
      <c r="A110" s="57" t="str">
        <f>IF(B110&lt;&gt;"",106,"")</f>
        <v/>
      </c>
      <c r="B110" s="57"/>
      <c r="C110" s="57" t="str">
        <f>IFERROR(VLOOKUP(B110,'👥 بيانات الموظفين'!B:C,2,0),"")</f>
        <v/>
      </c>
      <c r="D110" s="57"/>
      <c r="E110" s="59"/>
      <c r="F110" s="59"/>
      <c r="G110" s="69" t="str">
        <f t="shared" si="2"/>
        <v/>
      </c>
      <c r="H110" s="69" t="str">
        <f t="shared" si="3"/>
        <v/>
      </c>
      <c r="I110" s="57" t="str">
        <f>IFERROR(VLOOKUP(B110,'👥 بيانات الموظفين'!B:Q,16,0)-SUMIFS(H$5:H110,B$5:B110,B110,F$5:F110,"معتمدة"),"")</f>
        <v/>
      </c>
      <c r="J110" s="57"/>
      <c r="K110" s="57"/>
      <c r="L110" s="99"/>
    </row>
    <row r="111" spans="1:12" ht="22.15" customHeight="1" x14ac:dyDescent="0.2">
      <c r="A111" s="53" t="str">
        <f>IF(B111&lt;&gt;"",107,"")</f>
        <v/>
      </c>
      <c r="B111" s="53"/>
      <c r="C111" s="53" t="str">
        <f>IFERROR(VLOOKUP(B111,'👥 بيانات الموظفين'!B:C,2,0),"")</f>
        <v/>
      </c>
      <c r="D111" s="53"/>
      <c r="E111" s="55"/>
      <c r="F111" s="55"/>
      <c r="G111" s="68" t="str">
        <f t="shared" si="2"/>
        <v/>
      </c>
      <c r="H111" s="68" t="str">
        <f t="shared" si="3"/>
        <v/>
      </c>
      <c r="I111" s="53" t="str">
        <f>IFERROR(VLOOKUP(B111,'👥 بيانات الموظفين'!B:Q,16,0)-SUMIFS(H$5:H111,B$5:B111,B111,F$5:F111,"معتمدة"),"")</f>
        <v/>
      </c>
      <c r="J111" s="53"/>
      <c r="K111" s="53"/>
      <c r="L111" s="98"/>
    </row>
    <row r="112" spans="1:12" ht="22.15" customHeight="1" x14ac:dyDescent="0.2">
      <c r="A112" s="57" t="str">
        <f>IF(B112&lt;&gt;"",108,"")</f>
        <v/>
      </c>
      <c r="B112" s="57"/>
      <c r="C112" s="57" t="str">
        <f>IFERROR(VLOOKUP(B112,'👥 بيانات الموظفين'!B:C,2,0),"")</f>
        <v/>
      </c>
      <c r="D112" s="57"/>
      <c r="E112" s="59"/>
      <c r="F112" s="59"/>
      <c r="G112" s="69" t="str">
        <f t="shared" si="2"/>
        <v/>
      </c>
      <c r="H112" s="69" t="str">
        <f t="shared" si="3"/>
        <v/>
      </c>
      <c r="I112" s="57" t="str">
        <f>IFERROR(VLOOKUP(B112,'👥 بيانات الموظفين'!B:Q,16,0)-SUMIFS(H$5:H112,B$5:B112,B112,F$5:F112,"معتمدة"),"")</f>
        <v/>
      </c>
      <c r="J112" s="57"/>
      <c r="K112" s="57"/>
      <c r="L112" s="99"/>
    </row>
    <row r="113" spans="1:12" ht="22.15" customHeight="1" x14ac:dyDescent="0.2">
      <c r="A113" s="53" t="str">
        <f>IF(B113&lt;&gt;"",109,"")</f>
        <v/>
      </c>
      <c r="B113" s="53"/>
      <c r="C113" s="53" t="str">
        <f>IFERROR(VLOOKUP(B113,'👥 بيانات الموظفين'!B:C,2,0),"")</f>
        <v/>
      </c>
      <c r="D113" s="53"/>
      <c r="E113" s="55"/>
      <c r="F113" s="55"/>
      <c r="G113" s="68" t="str">
        <f t="shared" si="2"/>
        <v/>
      </c>
      <c r="H113" s="68" t="str">
        <f t="shared" si="3"/>
        <v/>
      </c>
      <c r="I113" s="53" t="str">
        <f>IFERROR(VLOOKUP(B113,'👥 بيانات الموظفين'!B:Q,16,0)-SUMIFS(H$5:H113,B$5:B113,B113,F$5:F113,"معتمدة"),"")</f>
        <v/>
      </c>
      <c r="J113" s="53"/>
      <c r="K113" s="53"/>
      <c r="L113" s="98"/>
    </row>
    <row r="114" spans="1:12" ht="22.15" customHeight="1" x14ac:dyDescent="0.2">
      <c r="A114" s="57" t="str">
        <f>IF(B114&lt;&gt;"",110,"")</f>
        <v/>
      </c>
      <c r="B114" s="57"/>
      <c r="C114" s="57" t="str">
        <f>IFERROR(VLOOKUP(B114,'👥 بيانات الموظفين'!B:C,2,0),"")</f>
        <v/>
      </c>
      <c r="D114" s="57"/>
      <c r="E114" s="59"/>
      <c r="F114" s="59"/>
      <c r="G114" s="69" t="str">
        <f t="shared" si="2"/>
        <v/>
      </c>
      <c r="H114" s="69" t="str">
        <f t="shared" si="3"/>
        <v/>
      </c>
      <c r="I114" s="57" t="str">
        <f>IFERROR(VLOOKUP(B114,'👥 بيانات الموظفين'!B:Q,16,0)-SUMIFS(H$5:H114,B$5:B114,B114,F$5:F114,"معتمدة"),"")</f>
        <v/>
      </c>
      <c r="J114" s="57"/>
      <c r="K114" s="57"/>
      <c r="L114" s="99"/>
    </row>
    <row r="115" spans="1:12" ht="22.15" customHeight="1" x14ac:dyDescent="0.2">
      <c r="A115" s="53" t="str">
        <f>IF(B115&lt;&gt;"",111,"")</f>
        <v/>
      </c>
      <c r="B115" s="53"/>
      <c r="C115" s="53" t="str">
        <f>IFERROR(VLOOKUP(B115,'👥 بيانات الموظفين'!B:C,2,0),"")</f>
        <v/>
      </c>
      <c r="D115" s="53"/>
      <c r="E115" s="55"/>
      <c r="F115" s="55"/>
      <c r="G115" s="68" t="str">
        <f t="shared" si="2"/>
        <v/>
      </c>
      <c r="H115" s="68" t="str">
        <f t="shared" si="3"/>
        <v/>
      </c>
      <c r="I115" s="53" t="str">
        <f>IFERROR(VLOOKUP(B115,'👥 بيانات الموظفين'!B:Q,16,0)-SUMIFS(H$5:H115,B$5:B115,B115,F$5:F115,"معتمدة"),"")</f>
        <v/>
      </c>
      <c r="J115" s="53"/>
      <c r="K115" s="53"/>
      <c r="L115" s="98"/>
    </row>
    <row r="116" spans="1:12" ht="22.15" customHeight="1" x14ac:dyDescent="0.2">
      <c r="A116" s="57" t="str">
        <f>IF(B116&lt;&gt;"",112,"")</f>
        <v/>
      </c>
      <c r="B116" s="57"/>
      <c r="C116" s="57" t="str">
        <f>IFERROR(VLOOKUP(B116,'👥 بيانات الموظفين'!B:C,2,0),"")</f>
        <v/>
      </c>
      <c r="D116" s="57"/>
      <c r="E116" s="59"/>
      <c r="F116" s="59"/>
      <c r="G116" s="69" t="str">
        <f t="shared" si="2"/>
        <v/>
      </c>
      <c r="H116" s="69" t="str">
        <f t="shared" si="3"/>
        <v/>
      </c>
      <c r="I116" s="57" t="str">
        <f>IFERROR(VLOOKUP(B116,'👥 بيانات الموظفين'!B:Q,16,0)-SUMIFS(H$5:H116,B$5:B116,B116,F$5:F116,"معتمدة"),"")</f>
        <v/>
      </c>
      <c r="J116" s="57"/>
      <c r="K116" s="57"/>
      <c r="L116" s="99"/>
    </row>
    <row r="117" spans="1:12" ht="22.15" customHeight="1" x14ac:dyDescent="0.2">
      <c r="A117" s="53" t="str">
        <f>IF(B117&lt;&gt;"",113,"")</f>
        <v/>
      </c>
      <c r="B117" s="53"/>
      <c r="C117" s="53" t="str">
        <f>IFERROR(VLOOKUP(B117,'👥 بيانات الموظفين'!B:C,2,0),"")</f>
        <v/>
      </c>
      <c r="D117" s="53"/>
      <c r="E117" s="55"/>
      <c r="F117" s="55"/>
      <c r="G117" s="68" t="str">
        <f t="shared" si="2"/>
        <v/>
      </c>
      <c r="H117" s="68" t="str">
        <f t="shared" si="3"/>
        <v/>
      </c>
      <c r="I117" s="53" t="str">
        <f>IFERROR(VLOOKUP(B117,'👥 بيانات الموظفين'!B:Q,16,0)-SUMIFS(H$5:H117,B$5:B117,B117,F$5:F117,"معتمدة"),"")</f>
        <v/>
      </c>
      <c r="J117" s="53"/>
      <c r="K117" s="53"/>
      <c r="L117" s="98"/>
    </row>
    <row r="118" spans="1:12" ht="22.15" customHeight="1" x14ac:dyDescent="0.2">
      <c r="A118" s="57" t="str">
        <f>IF(B118&lt;&gt;"",114,"")</f>
        <v/>
      </c>
      <c r="B118" s="57"/>
      <c r="C118" s="57" t="str">
        <f>IFERROR(VLOOKUP(B118,'👥 بيانات الموظفين'!B:C,2,0),"")</f>
        <v/>
      </c>
      <c r="D118" s="57"/>
      <c r="E118" s="59"/>
      <c r="F118" s="59"/>
      <c r="G118" s="69" t="str">
        <f t="shared" si="2"/>
        <v/>
      </c>
      <c r="H118" s="69" t="str">
        <f t="shared" si="3"/>
        <v/>
      </c>
      <c r="I118" s="57" t="str">
        <f>IFERROR(VLOOKUP(B118,'👥 بيانات الموظفين'!B:Q,16,0)-SUMIFS(H$5:H118,B$5:B118,B118,F$5:F118,"معتمدة"),"")</f>
        <v/>
      </c>
      <c r="J118" s="57"/>
      <c r="K118" s="57"/>
      <c r="L118" s="99"/>
    </row>
    <row r="119" spans="1:12" ht="22.15" customHeight="1" x14ac:dyDescent="0.2">
      <c r="A119" s="53" t="str">
        <f>IF(B119&lt;&gt;"",115,"")</f>
        <v/>
      </c>
      <c r="B119" s="53"/>
      <c r="C119" s="53" t="str">
        <f>IFERROR(VLOOKUP(B119,'👥 بيانات الموظفين'!B:C,2,0),"")</f>
        <v/>
      </c>
      <c r="D119" s="53"/>
      <c r="E119" s="55"/>
      <c r="F119" s="55"/>
      <c r="G119" s="68" t="str">
        <f t="shared" si="2"/>
        <v/>
      </c>
      <c r="H119" s="68" t="str">
        <f t="shared" si="3"/>
        <v/>
      </c>
      <c r="I119" s="53" t="str">
        <f>IFERROR(VLOOKUP(B119,'👥 بيانات الموظفين'!B:Q,16,0)-SUMIFS(H$5:H119,B$5:B119,B119,F$5:F119,"معتمدة"),"")</f>
        <v/>
      </c>
      <c r="J119" s="53"/>
      <c r="K119" s="53"/>
      <c r="L119" s="98"/>
    </row>
    <row r="120" spans="1:12" ht="22.15" customHeight="1" x14ac:dyDescent="0.2">
      <c r="A120" s="57" t="str">
        <f>IF(B120&lt;&gt;"",116,"")</f>
        <v/>
      </c>
      <c r="B120" s="57"/>
      <c r="C120" s="57" t="str">
        <f>IFERROR(VLOOKUP(B120,'👥 بيانات الموظفين'!B:C,2,0),"")</f>
        <v/>
      </c>
      <c r="D120" s="57"/>
      <c r="E120" s="59"/>
      <c r="F120" s="59"/>
      <c r="G120" s="69" t="str">
        <f t="shared" si="2"/>
        <v/>
      </c>
      <c r="H120" s="69" t="str">
        <f t="shared" si="3"/>
        <v/>
      </c>
      <c r="I120" s="57" t="str">
        <f>IFERROR(VLOOKUP(B120,'👥 بيانات الموظفين'!B:Q,16,0)-SUMIFS(H$5:H120,B$5:B120,B120,F$5:F120,"معتمدة"),"")</f>
        <v/>
      </c>
      <c r="J120" s="57"/>
      <c r="K120" s="57"/>
      <c r="L120" s="99"/>
    </row>
    <row r="121" spans="1:12" ht="22.15" customHeight="1" x14ac:dyDescent="0.2">
      <c r="A121" s="53" t="str">
        <f>IF(B121&lt;&gt;"",117,"")</f>
        <v/>
      </c>
      <c r="B121" s="53"/>
      <c r="C121" s="53" t="str">
        <f>IFERROR(VLOOKUP(B121,'👥 بيانات الموظفين'!B:C,2,0),"")</f>
        <v/>
      </c>
      <c r="D121" s="53"/>
      <c r="E121" s="55"/>
      <c r="F121" s="55"/>
      <c r="G121" s="68" t="str">
        <f t="shared" si="2"/>
        <v/>
      </c>
      <c r="H121" s="68" t="str">
        <f t="shared" si="3"/>
        <v/>
      </c>
      <c r="I121" s="53" t="str">
        <f>IFERROR(VLOOKUP(B121,'👥 بيانات الموظفين'!B:Q,16,0)-SUMIFS(H$5:H121,B$5:B121,B121,F$5:F121,"معتمدة"),"")</f>
        <v/>
      </c>
      <c r="J121" s="53"/>
      <c r="K121" s="53"/>
      <c r="L121" s="98"/>
    </row>
    <row r="122" spans="1:12" ht="22.15" customHeight="1" x14ac:dyDescent="0.2">
      <c r="A122" s="57" t="str">
        <f>IF(B122&lt;&gt;"",118,"")</f>
        <v/>
      </c>
      <c r="B122" s="57"/>
      <c r="C122" s="57" t="str">
        <f>IFERROR(VLOOKUP(B122,'👥 بيانات الموظفين'!B:C,2,0),"")</f>
        <v/>
      </c>
      <c r="D122" s="57"/>
      <c r="E122" s="59"/>
      <c r="F122" s="59"/>
      <c r="G122" s="69" t="str">
        <f t="shared" si="2"/>
        <v/>
      </c>
      <c r="H122" s="69" t="str">
        <f t="shared" si="3"/>
        <v/>
      </c>
      <c r="I122" s="57" t="str">
        <f>IFERROR(VLOOKUP(B122,'👥 بيانات الموظفين'!B:Q,16,0)-SUMIFS(H$5:H122,B$5:B122,B122,F$5:F122,"معتمدة"),"")</f>
        <v/>
      </c>
      <c r="J122" s="57"/>
      <c r="K122" s="57"/>
      <c r="L122" s="99"/>
    </row>
    <row r="123" spans="1:12" ht="22.15" customHeight="1" x14ac:dyDescent="0.2">
      <c r="A123" s="53" t="str">
        <f>IF(B123&lt;&gt;"",119,"")</f>
        <v/>
      </c>
      <c r="B123" s="53"/>
      <c r="C123" s="53" t="str">
        <f>IFERROR(VLOOKUP(B123,'👥 بيانات الموظفين'!B:C,2,0),"")</f>
        <v/>
      </c>
      <c r="D123" s="53"/>
      <c r="E123" s="55"/>
      <c r="F123" s="55"/>
      <c r="G123" s="68" t="str">
        <f t="shared" si="2"/>
        <v/>
      </c>
      <c r="H123" s="68" t="str">
        <f t="shared" si="3"/>
        <v/>
      </c>
      <c r="I123" s="53" t="str">
        <f>IFERROR(VLOOKUP(B123,'👥 بيانات الموظفين'!B:Q,16,0)-SUMIFS(H$5:H123,B$5:B123,B123,F$5:F123,"معتمدة"),"")</f>
        <v/>
      </c>
      <c r="J123" s="53"/>
      <c r="K123" s="53"/>
      <c r="L123" s="98"/>
    </row>
    <row r="124" spans="1:12" ht="22.15" customHeight="1" x14ac:dyDescent="0.2">
      <c r="A124" s="57" t="str">
        <f>IF(B124&lt;&gt;"",120,"")</f>
        <v/>
      </c>
      <c r="B124" s="57"/>
      <c r="C124" s="57" t="str">
        <f>IFERROR(VLOOKUP(B124,'👥 بيانات الموظفين'!B:C,2,0),"")</f>
        <v/>
      </c>
      <c r="D124" s="57"/>
      <c r="E124" s="59"/>
      <c r="F124" s="59"/>
      <c r="G124" s="69" t="str">
        <f t="shared" si="2"/>
        <v/>
      </c>
      <c r="H124" s="69" t="str">
        <f t="shared" si="3"/>
        <v/>
      </c>
      <c r="I124" s="57" t="str">
        <f>IFERROR(VLOOKUP(B124,'👥 بيانات الموظفين'!B:Q,16,0)-SUMIFS(H$5:H124,B$5:B124,B124,F$5:F124,"معتمدة"),"")</f>
        <v/>
      </c>
      <c r="J124" s="57"/>
      <c r="K124" s="57"/>
      <c r="L124" s="99"/>
    </row>
    <row r="125" spans="1:12" ht="22.15" customHeight="1" x14ac:dyDescent="0.2">
      <c r="A125" s="53" t="str">
        <f>IF(B125&lt;&gt;"",121,"")</f>
        <v/>
      </c>
      <c r="B125" s="53"/>
      <c r="C125" s="53" t="str">
        <f>IFERROR(VLOOKUP(B125,'👥 بيانات الموظفين'!B:C,2,0),"")</f>
        <v/>
      </c>
      <c r="D125" s="53"/>
      <c r="E125" s="55"/>
      <c r="F125" s="55"/>
      <c r="G125" s="68" t="str">
        <f t="shared" si="2"/>
        <v/>
      </c>
      <c r="H125" s="68" t="str">
        <f t="shared" si="3"/>
        <v/>
      </c>
      <c r="I125" s="53" t="str">
        <f>IFERROR(VLOOKUP(B125,'👥 بيانات الموظفين'!B:Q,16,0)-SUMIFS(H$5:H125,B$5:B125,B125,F$5:F125,"معتمدة"),"")</f>
        <v/>
      </c>
      <c r="J125" s="53"/>
      <c r="K125" s="53"/>
      <c r="L125" s="98"/>
    </row>
    <row r="126" spans="1:12" ht="22.15" customHeight="1" x14ac:dyDescent="0.2">
      <c r="A126" s="57" t="str">
        <f>IF(B126&lt;&gt;"",122,"")</f>
        <v/>
      </c>
      <c r="B126" s="57"/>
      <c r="C126" s="57" t="str">
        <f>IFERROR(VLOOKUP(B126,'👥 بيانات الموظفين'!B:C,2,0),"")</f>
        <v/>
      </c>
      <c r="D126" s="57"/>
      <c r="E126" s="59"/>
      <c r="F126" s="59"/>
      <c r="G126" s="69" t="str">
        <f t="shared" si="2"/>
        <v/>
      </c>
      <c r="H126" s="69" t="str">
        <f t="shared" si="3"/>
        <v/>
      </c>
      <c r="I126" s="57" t="str">
        <f>IFERROR(VLOOKUP(B126,'👥 بيانات الموظفين'!B:Q,16,0)-SUMIFS(H$5:H126,B$5:B126,B126,F$5:F126,"معتمدة"),"")</f>
        <v/>
      </c>
      <c r="J126" s="57"/>
      <c r="K126" s="57"/>
      <c r="L126" s="99"/>
    </row>
    <row r="127" spans="1:12" ht="22.15" customHeight="1" x14ac:dyDescent="0.2">
      <c r="A127" s="53" t="str">
        <f>IF(B127&lt;&gt;"",123,"")</f>
        <v/>
      </c>
      <c r="B127" s="53"/>
      <c r="C127" s="53" t="str">
        <f>IFERROR(VLOOKUP(B127,'👥 بيانات الموظفين'!B:C,2,0),"")</f>
        <v/>
      </c>
      <c r="D127" s="53"/>
      <c r="E127" s="55"/>
      <c r="F127" s="55"/>
      <c r="G127" s="68" t="str">
        <f t="shared" si="2"/>
        <v/>
      </c>
      <c r="H127" s="68" t="str">
        <f t="shared" si="3"/>
        <v/>
      </c>
      <c r="I127" s="53" t="str">
        <f>IFERROR(VLOOKUP(B127,'👥 بيانات الموظفين'!B:Q,16,0)-SUMIFS(H$5:H127,B$5:B127,B127,F$5:F127,"معتمدة"),"")</f>
        <v/>
      </c>
      <c r="J127" s="53"/>
      <c r="K127" s="53"/>
      <c r="L127" s="98"/>
    </row>
    <row r="128" spans="1:12" ht="22.15" customHeight="1" x14ac:dyDescent="0.2">
      <c r="A128" s="57" t="str">
        <f>IF(B128&lt;&gt;"",124,"")</f>
        <v/>
      </c>
      <c r="B128" s="57"/>
      <c r="C128" s="57" t="str">
        <f>IFERROR(VLOOKUP(B128,'👥 بيانات الموظفين'!B:C,2,0),"")</f>
        <v/>
      </c>
      <c r="D128" s="57"/>
      <c r="E128" s="59"/>
      <c r="F128" s="59"/>
      <c r="G128" s="69" t="str">
        <f t="shared" si="2"/>
        <v/>
      </c>
      <c r="H128" s="69" t="str">
        <f t="shared" si="3"/>
        <v/>
      </c>
      <c r="I128" s="57" t="str">
        <f>IFERROR(VLOOKUP(B128,'👥 بيانات الموظفين'!B:Q,16,0)-SUMIFS(H$5:H128,B$5:B128,B128,F$5:F128,"معتمدة"),"")</f>
        <v/>
      </c>
      <c r="J128" s="57"/>
      <c r="K128" s="57"/>
      <c r="L128" s="99"/>
    </row>
    <row r="129" spans="1:12" ht="22.15" customHeight="1" x14ac:dyDescent="0.2">
      <c r="A129" s="53" t="str">
        <f>IF(B129&lt;&gt;"",125,"")</f>
        <v/>
      </c>
      <c r="B129" s="53"/>
      <c r="C129" s="53" t="str">
        <f>IFERROR(VLOOKUP(B129,'👥 بيانات الموظفين'!B:C,2,0),"")</f>
        <v/>
      </c>
      <c r="D129" s="53"/>
      <c r="E129" s="55"/>
      <c r="F129" s="55"/>
      <c r="G129" s="68" t="str">
        <f t="shared" si="2"/>
        <v/>
      </c>
      <c r="H129" s="68" t="str">
        <f t="shared" si="3"/>
        <v/>
      </c>
      <c r="I129" s="53" t="str">
        <f>IFERROR(VLOOKUP(B129,'👥 بيانات الموظفين'!B:Q,16,0)-SUMIFS(H$5:H129,B$5:B129,B129,F$5:F129,"معتمدة"),"")</f>
        <v/>
      </c>
      <c r="J129" s="53"/>
      <c r="K129" s="53"/>
      <c r="L129" s="98"/>
    </row>
    <row r="130" spans="1:12" ht="22.15" customHeight="1" x14ac:dyDescent="0.2">
      <c r="A130" s="57" t="str">
        <f>IF(B130&lt;&gt;"",126,"")</f>
        <v/>
      </c>
      <c r="B130" s="57"/>
      <c r="C130" s="57" t="str">
        <f>IFERROR(VLOOKUP(B130,'👥 بيانات الموظفين'!B:C,2,0),"")</f>
        <v/>
      </c>
      <c r="D130" s="57"/>
      <c r="E130" s="59"/>
      <c r="F130" s="59"/>
      <c r="G130" s="69" t="str">
        <f t="shared" si="2"/>
        <v/>
      </c>
      <c r="H130" s="69" t="str">
        <f t="shared" si="3"/>
        <v/>
      </c>
      <c r="I130" s="57" t="str">
        <f>IFERROR(VLOOKUP(B130,'👥 بيانات الموظفين'!B:Q,16,0)-SUMIFS(H$5:H130,B$5:B130,B130,F$5:F130,"معتمدة"),"")</f>
        <v/>
      </c>
      <c r="J130" s="57"/>
      <c r="K130" s="57"/>
      <c r="L130" s="99"/>
    </row>
    <row r="131" spans="1:12" ht="22.15" customHeight="1" x14ac:dyDescent="0.2">
      <c r="A131" s="53" t="str">
        <f>IF(B131&lt;&gt;"",127,"")</f>
        <v/>
      </c>
      <c r="B131" s="53"/>
      <c r="C131" s="53" t="str">
        <f>IFERROR(VLOOKUP(B131,'👥 بيانات الموظفين'!B:C,2,0),"")</f>
        <v/>
      </c>
      <c r="D131" s="53"/>
      <c r="E131" s="55"/>
      <c r="F131" s="55"/>
      <c r="G131" s="68" t="str">
        <f t="shared" si="2"/>
        <v/>
      </c>
      <c r="H131" s="68" t="str">
        <f t="shared" si="3"/>
        <v/>
      </c>
      <c r="I131" s="53" t="str">
        <f>IFERROR(VLOOKUP(B131,'👥 بيانات الموظفين'!B:Q,16,0)-SUMIFS(H$5:H131,B$5:B131,B131,F$5:F131,"معتمدة"),"")</f>
        <v/>
      </c>
      <c r="J131" s="53"/>
      <c r="K131" s="53"/>
      <c r="L131" s="98"/>
    </row>
    <row r="132" spans="1:12" ht="22.15" customHeight="1" x14ac:dyDescent="0.2">
      <c r="A132" s="57" t="str">
        <f>IF(B132&lt;&gt;"",128,"")</f>
        <v/>
      </c>
      <c r="B132" s="57"/>
      <c r="C132" s="57" t="str">
        <f>IFERROR(VLOOKUP(B132,'👥 بيانات الموظفين'!B:C,2,0),"")</f>
        <v/>
      </c>
      <c r="D132" s="57"/>
      <c r="E132" s="59"/>
      <c r="F132" s="59"/>
      <c r="G132" s="69" t="str">
        <f t="shared" si="2"/>
        <v/>
      </c>
      <c r="H132" s="69" t="str">
        <f t="shared" si="3"/>
        <v/>
      </c>
      <c r="I132" s="57" t="str">
        <f>IFERROR(VLOOKUP(B132,'👥 بيانات الموظفين'!B:Q,16,0)-SUMIFS(H$5:H132,B$5:B132,B132,F$5:F132,"معتمدة"),"")</f>
        <v/>
      </c>
      <c r="J132" s="57"/>
      <c r="K132" s="57"/>
      <c r="L132" s="99"/>
    </row>
    <row r="133" spans="1:12" ht="22.15" customHeight="1" x14ac:dyDescent="0.2">
      <c r="A133" s="53" t="str">
        <f>IF(B133&lt;&gt;"",129,"")</f>
        <v/>
      </c>
      <c r="B133" s="53"/>
      <c r="C133" s="53" t="str">
        <f>IFERROR(VLOOKUP(B133,'👥 بيانات الموظفين'!B:C,2,0),"")</f>
        <v/>
      </c>
      <c r="D133" s="53"/>
      <c r="E133" s="55"/>
      <c r="F133" s="55"/>
      <c r="G133" s="68" t="str">
        <f t="shared" ref="G133:G196" si="4">IFERROR(IF(AND(E133&lt;&gt;"",F133&lt;&gt;""),F133-E133+1,""),"")</f>
        <v/>
      </c>
      <c r="H133" s="68" t="str">
        <f t="shared" ref="H133:H196" si="5">IF(AND(E133&lt;&gt;"",G133&lt;&gt;""),NETWORKDAYS(E133,G133),"")</f>
        <v/>
      </c>
      <c r="I133" s="53" t="str">
        <f>IFERROR(VLOOKUP(B133,'👥 بيانات الموظفين'!B:Q,16,0)-SUMIFS(H$5:H133,B$5:B133,B133,F$5:F133,"معتمدة"),"")</f>
        <v/>
      </c>
      <c r="J133" s="53"/>
      <c r="K133" s="53"/>
      <c r="L133" s="98"/>
    </row>
    <row r="134" spans="1:12" ht="22.15" customHeight="1" x14ac:dyDescent="0.2">
      <c r="A134" s="57" t="str">
        <f>IF(B134&lt;&gt;"",130,"")</f>
        <v/>
      </c>
      <c r="B134" s="57"/>
      <c r="C134" s="57" t="str">
        <f>IFERROR(VLOOKUP(B134,'👥 بيانات الموظفين'!B:C,2,0),"")</f>
        <v/>
      </c>
      <c r="D134" s="57"/>
      <c r="E134" s="59"/>
      <c r="F134" s="59"/>
      <c r="G134" s="69" t="str">
        <f t="shared" si="4"/>
        <v/>
      </c>
      <c r="H134" s="69" t="str">
        <f t="shared" si="5"/>
        <v/>
      </c>
      <c r="I134" s="57" t="str">
        <f>IFERROR(VLOOKUP(B134,'👥 بيانات الموظفين'!B:Q,16,0)-SUMIFS(H$5:H134,B$5:B134,B134,F$5:F134,"معتمدة"),"")</f>
        <v/>
      </c>
      <c r="J134" s="57"/>
      <c r="K134" s="57"/>
      <c r="L134" s="99"/>
    </row>
    <row r="135" spans="1:12" ht="22.15" customHeight="1" x14ac:dyDescent="0.2">
      <c r="A135" s="53" t="str">
        <f>IF(B135&lt;&gt;"",131,"")</f>
        <v/>
      </c>
      <c r="B135" s="53"/>
      <c r="C135" s="53" t="str">
        <f>IFERROR(VLOOKUP(B135,'👥 بيانات الموظفين'!B:C,2,0),"")</f>
        <v/>
      </c>
      <c r="D135" s="53"/>
      <c r="E135" s="55"/>
      <c r="F135" s="55"/>
      <c r="G135" s="68" t="str">
        <f t="shared" si="4"/>
        <v/>
      </c>
      <c r="H135" s="68" t="str">
        <f t="shared" si="5"/>
        <v/>
      </c>
      <c r="I135" s="53" t="str">
        <f>IFERROR(VLOOKUP(B135,'👥 بيانات الموظفين'!B:Q,16,0)-SUMIFS(H$5:H135,B$5:B135,B135,F$5:F135,"معتمدة"),"")</f>
        <v/>
      </c>
      <c r="J135" s="53"/>
      <c r="K135" s="53"/>
      <c r="L135" s="98"/>
    </row>
    <row r="136" spans="1:12" ht="22.15" customHeight="1" x14ac:dyDescent="0.2">
      <c r="A136" s="57" t="str">
        <f>IF(B136&lt;&gt;"",132,"")</f>
        <v/>
      </c>
      <c r="B136" s="57"/>
      <c r="C136" s="57" t="str">
        <f>IFERROR(VLOOKUP(B136,'👥 بيانات الموظفين'!B:C,2,0),"")</f>
        <v/>
      </c>
      <c r="D136" s="57"/>
      <c r="E136" s="59"/>
      <c r="F136" s="59"/>
      <c r="G136" s="69" t="str">
        <f t="shared" si="4"/>
        <v/>
      </c>
      <c r="H136" s="69" t="str">
        <f t="shared" si="5"/>
        <v/>
      </c>
      <c r="I136" s="57" t="str">
        <f>IFERROR(VLOOKUP(B136,'👥 بيانات الموظفين'!B:Q,16,0)-SUMIFS(H$5:H136,B$5:B136,B136,F$5:F136,"معتمدة"),"")</f>
        <v/>
      </c>
      <c r="J136" s="57"/>
      <c r="K136" s="57"/>
      <c r="L136" s="99"/>
    </row>
    <row r="137" spans="1:12" ht="22.15" customHeight="1" x14ac:dyDescent="0.2">
      <c r="A137" s="53" t="str">
        <f>IF(B137&lt;&gt;"",133,"")</f>
        <v/>
      </c>
      <c r="B137" s="53"/>
      <c r="C137" s="53" t="str">
        <f>IFERROR(VLOOKUP(B137,'👥 بيانات الموظفين'!B:C,2,0),"")</f>
        <v/>
      </c>
      <c r="D137" s="53"/>
      <c r="E137" s="55"/>
      <c r="F137" s="55"/>
      <c r="G137" s="68" t="str">
        <f t="shared" si="4"/>
        <v/>
      </c>
      <c r="H137" s="68" t="str">
        <f t="shared" si="5"/>
        <v/>
      </c>
      <c r="I137" s="53" t="str">
        <f>IFERROR(VLOOKUP(B137,'👥 بيانات الموظفين'!B:Q,16,0)-SUMIFS(H$5:H137,B$5:B137,B137,F$5:F137,"معتمدة"),"")</f>
        <v/>
      </c>
      <c r="J137" s="53"/>
      <c r="K137" s="53"/>
      <c r="L137" s="98"/>
    </row>
    <row r="138" spans="1:12" ht="22.15" customHeight="1" x14ac:dyDescent="0.2">
      <c r="A138" s="57" t="str">
        <f>IF(B138&lt;&gt;"",134,"")</f>
        <v/>
      </c>
      <c r="B138" s="57"/>
      <c r="C138" s="57" t="str">
        <f>IFERROR(VLOOKUP(B138,'👥 بيانات الموظفين'!B:C,2,0),"")</f>
        <v/>
      </c>
      <c r="D138" s="57"/>
      <c r="E138" s="59"/>
      <c r="F138" s="59"/>
      <c r="G138" s="69" t="str">
        <f t="shared" si="4"/>
        <v/>
      </c>
      <c r="H138" s="69" t="str">
        <f t="shared" si="5"/>
        <v/>
      </c>
      <c r="I138" s="57" t="str">
        <f>IFERROR(VLOOKUP(B138,'👥 بيانات الموظفين'!B:Q,16,0)-SUMIFS(H$5:H138,B$5:B138,B138,F$5:F138,"معتمدة"),"")</f>
        <v/>
      </c>
      <c r="J138" s="57"/>
      <c r="K138" s="57"/>
      <c r="L138" s="99"/>
    </row>
    <row r="139" spans="1:12" ht="22.15" customHeight="1" x14ac:dyDescent="0.2">
      <c r="A139" s="53" t="str">
        <f>IF(B139&lt;&gt;"",135,"")</f>
        <v/>
      </c>
      <c r="B139" s="53"/>
      <c r="C139" s="53" t="str">
        <f>IFERROR(VLOOKUP(B139,'👥 بيانات الموظفين'!B:C,2,0),"")</f>
        <v/>
      </c>
      <c r="D139" s="53"/>
      <c r="E139" s="55"/>
      <c r="F139" s="55"/>
      <c r="G139" s="68" t="str">
        <f t="shared" si="4"/>
        <v/>
      </c>
      <c r="H139" s="68" t="str">
        <f t="shared" si="5"/>
        <v/>
      </c>
      <c r="I139" s="53" t="str">
        <f>IFERROR(VLOOKUP(B139,'👥 بيانات الموظفين'!B:Q,16,0)-SUMIFS(H$5:H139,B$5:B139,B139,F$5:F139,"معتمدة"),"")</f>
        <v/>
      </c>
      <c r="J139" s="53"/>
      <c r="K139" s="53"/>
      <c r="L139" s="98"/>
    </row>
    <row r="140" spans="1:12" ht="22.15" customHeight="1" x14ac:dyDescent="0.2">
      <c r="A140" s="57" t="str">
        <f>IF(B140&lt;&gt;"",136,"")</f>
        <v/>
      </c>
      <c r="B140" s="57"/>
      <c r="C140" s="57" t="str">
        <f>IFERROR(VLOOKUP(B140,'👥 بيانات الموظفين'!B:C,2,0),"")</f>
        <v/>
      </c>
      <c r="D140" s="57"/>
      <c r="E140" s="59"/>
      <c r="F140" s="59"/>
      <c r="G140" s="69" t="str">
        <f t="shared" si="4"/>
        <v/>
      </c>
      <c r="H140" s="69" t="str">
        <f t="shared" si="5"/>
        <v/>
      </c>
      <c r="I140" s="57" t="str">
        <f>IFERROR(VLOOKUP(B140,'👥 بيانات الموظفين'!B:Q,16,0)-SUMIFS(H$5:H140,B$5:B140,B140,F$5:F140,"معتمدة"),"")</f>
        <v/>
      </c>
      <c r="J140" s="57"/>
      <c r="K140" s="57"/>
      <c r="L140" s="99"/>
    </row>
    <row r="141" spans="1:12" ht="22.15" customHeight="1" x14ac:dyDescent="0.2">
      <c r="A141" s="53" t="str">
        <f>IF(B141&lt;&gt;"",137,"")</f>
        <v/>
      </c>
      <c r="B141" s="53"/>
      <c r="C141" s="53" t="str">
        <f>IFERROR(VLOOKUP(B141,'👥 بيانات الموظفين'!B:C,2,0),"")</f>
        <v/>
      </c>
      <c r="D141" s="53"/>
      <c r="E141" s="55"/>
      <c r="F141" s="55"/>
      <c r="G141" s="68" t="str">
        <f t="shared" si="4"/>
        <v/>
      </c>
      <c r="H141" s="68" t="str">
        <f t="shared" si="5"/>
        <v/>
      </c>
      <c r="I141" s="53" t="str">
        <f>IFERROR(VLOOKUP(B141,'👥 بيانات الموظفين'!B:Q,16,0)-SUMIFS(H$5:H141,B$5:B141,B141,F$5:F141,"معتمدة"),"")</f>
        <v/>
      </c>
      <c r="J141" s="53"/>
      <c r="K141" s="53"/>
      <c r="L141" s="98"/>
    </row>
    <row r="142" spans="1:12" ht="22.15" customHeight="1" x14ac:dyDescent="0.2">
      <c r="A142" s="57" t="str">
        <f>IF(B142&lt;&gt;"",138,"")</f>
        <v/>
      </c>
      <c r="B142" s="57"/>
      <c r="C142" s="57" t="str">
        <f>IFERROR(VLOOKUP(B142,'👥 بيانات الموظفين'!B:C,2,0),"")</f>
        <v/>
      </c>
      <c r="D142" s="57"/>
      <c r="E142" s="59"/>
      <c r="F142" s="59"/>
      <c r="G142" s="69" t="str">
        <f t="shared" si="4"/>
        <v/>
      </c>
      <c r="H142" s="69" t="str">
        <f t="shared" si="5"/>
        <v/>
      </c>
      <c r="I142" s="57" t="str">
        <f>IFERROR(VLOOKUP(B142,'👥 بيانات الموظفين'!B:Q,16,0)-SUMIFS(H$5:H142,B$5:B142,B142,F$5:F142,"معتمدة"),"")</f>
        <v/>
      </c>
      <c r="J142" s="57"/>
      <c r="K142" s="57"/>
      <c r="L142" s="99"/>
    </row>
    <row r="143" spans="1:12" ht="22.15" customHeight="1" x14ac:dyDescent="0.2">
      <c r="A143" s="53" t="str">
        <f>IF(B143&lt;&gt;"",139,"")</f>
        <v/>
      </c>
      <c r="B143" s="53"/>
      <c r="C143" s="53" t="str">
        <f>IFERROR(VLOOKUP(B143,'👥 بيانات الموظفين'!B:C,2,0),"")</f>
        <v/>
      </c>
      <c r="D143" s="53"/>
      <c r="E143" s="55"/>
      <c r="F143" s="55"/>
      <c r="G143" s="68" t="str">
        <f t="shared" si="4"/>
        <v/>
      </c>
      <c r="H143" s="68" t="str">
        <f t="shared" si="5"/>
        <v/>
      </c>
      <c r="I143" s="53" t="str">
        <f>IFERROR(VLOOKUP(B143,'👥 بيانات الموظفين'!B:Q,16,0)-SUMIFS(H$5:H143,B$5:B143,B143,F$5:F143,"معتمدة"),"")</f>
        <v/>
      </c>
      <c r="J143" s="53"/>
      <c r="K143" s="53"/>
      <c r="L143" s="98"/>
    </row>
    <row r="144" spans="1:12" ht="22.15" customHeight="1" x14ac:dyDescent="0.2">
      <c r="A144" s="57" t="str">
        <f>IF(B144&lt;&gt;"",140,"")</f>
        <v/>
      </c>
      <c r="B144" s="57"/>
      <c r="C144" s="57" t="str">
        <f>IFERROR(VLOOKUP(B144,'👥 بيانات الموظفين'!B:C,2,0),"")</f>
        <v/>
      </c>
      <c r="D144" s="57"/>
      <c r="E144" s="59"/>
      <c r="F144" s="59"/>
      <c r="G144" s="69" t="str">
        <f t="shared" si="4"/>
        <v/>
      </c>
      <c r="H144" s="69" t="str">
        <f t="shared" si="5"/>
        <v/>
      </c>
      <c r="I144" s="57" t="str">
        <f>IFERROR(VLOOKUP(B144,'👥 بيانات الموظفين'!B:Q,16,0)-SUMIFS(H$5:H144,B$5:B144,B144,F$5:F144,"معتمدة"),"")</f>
        <v/>
      </c>
      <c r="J144" s="57"/>
      <c r="K144" s="57"/>
      <c r="L144" s="99"/>
    </row>
    <row r="145" spans="1:12" ht="22.15" customHeight="1" x14ac:dyDescent="0.2">
      <c r="A145" s="53" t="str">
        <f>IF(B145&lt;&gt;"",141,"")</f>
        <v/>
      </c>
      <c r="B145" s="53"/>
      <c r="C145" s="53" t="str">
        <f>IFERROR(VLOOKUP(B145,'👥 بيانات الموظفين'!B:C,2,0),"")</f>
        <v/>
      </c>
      <c r="D145" s="53"/>
      <c r="E145" s="55"/>
      <c r="F145" s="55"/>
      <c r="G145" s="68" t="str">
        <f t="shared" si="4"/>
        <v/>
      </c>
      <c r="H145" s="68" t="str">
        <f t="shared" si="5"/>
        <v/>
      </c>
      <c r="I145" s="53" t="str">
        <f>IFERROR(VLOOKUP(B145,'👥 بيانات الموظفين'!B:Q,16,0)-SUMIFS(H$5:H145,B$5:B145,B145,F$5:F145,"معتمدة"),"")</f>
        <v/>
      </c>
      <c r="J145" s="53"/>
      <c r="K145" s="53"/>
      <c r="L145" s="98"/>
    </row>
    <row r="146" spans="1:12" ht="22.15" customHeight="1" x14ac:dyDescent="0.2">
      <c r="A146" s="57" t="str">
        <f>IF(B146&lt;&gt;"",142,"")</f>
        <v/>
      </c>
      <c r="B146" s="57"/>
      <c r="C146" s="57" t="str">
        <f>IFERROR(VLOOKUP(B146,'👥 بيانات الموظفين'!B:C,2,0),"")</f>
        <v/>
      </c>
      <c r="D146" s="57"/>
      <c r="E146" s="59"/>
      <c r="F146" s="59"/>
      <c r="G146" s="69" t="str">
        <f t="shared" si="4"/>
        <v/>
      </c>
      <c r="H146" s="69" t="str">
        <f t="shared" si="5"/>
        <v/>
      </c>
      <c r="I146" s="57" t="str">
        <f>IFERROR(VLOOKUP(B146,'👥 بيانات الموظفين'!B:Q,16,0)-SUMIFS(H$5:H146,B$5:B146,B146,F$5:F146,"معتمدة"),"")</f>
        <v/>
      </c>
      <c r="J146" s="57"/>
      <c r="K146" s="57"/>
      <c r="L146" s="99"/>
    </row>
    <row r="147" spans="1:12" ht="22.15" customHeight="1" x14ac:dyDescent="0.2">
      <c r="A147" s="53" t="str">
        <f>IF(B147&lt;&gt;"",143,"")</f>
        <v/>
      </c>
      <c r="B147" s="53"/>
      <c r="C147" s="53" t="str">
        <f>IFERROR(VLOOKUP(B147,'👥 بيانات الموظفين'!B:C,2,0),"")</f>
        <v/>
      </c>
      <c r="D147" s="53"/>
      <c r="E147" s="55"/>
      <c r="F147" s="55"/>
      <c r="G147" s="68" t="str">
        <f t="shared" si="4"/>
        <v/>
      </c>
      <c r="H147" s="68" t="str">
        <f t="shared" si="5"/>
        <v/>
      </c>
      <c r="I147" s="53" t="str">
        <f>IFERROR(VLOOKUP(B147,'👥 بيانات الموظفين'!B:Q,16,0)-SUMIFS(H$5:H147,B$5:B147,B147,F$5:F147,"معتمدة"),"")</f>
        <v/>
      </c>
      <c r="J147" s="53"/>
      <c r="K147" s="53"/>
      <c r="L147" s="98"/>
    </row>
    <row r="148" spans="1:12" ht="22.15" customHeight="1" x14ac:dyDescent="0.2">
      <c r="A148" s="57" t="str">
        <f>IF(B148&lt;&gt;"",144,"")</f>
        <v/>
      </c>
      <c r="B148" s="57"/>
      <c r="C148" s="57" t="str">
        <f>IFERROR(VLOOKUP(B148,'👥 بيانات الموظفين'!B:C,2,0),"")</f>
        <v/>
      </c>
      <c r="D148" s="57"/>
      <c r="E148" s="59"/>
      <c r="F148" s="59"/>
      <c r="G148" s="69" t="str">
        <f t="shared" si="4"/>
        <v/>
      </c>
      <c r="H148" s="69" t="str">
        <f t="shared" si="5"/>
        <v/>
      </c>
      <c r="I148" s="57" t="str">
        <f>IFERROR(VLOOKUP(B148,'👥 بيانات الموظفين'!B:Q,16,0)-SUMIFS(H$5:H148,B$5:B148,B148,F$5:F148,"معتمدة"),"")</f>
        <v/>
      </c>
      <c r="J148" s="57"/>
      <c r="K148" s="57"/>
      <c r="L148" s="99"/>
    </row>
    <row r="149" spans="1:12" ht="22.15" customHeight="1" x14ac:dyDescent="0.2">
      <c r="A149" s="53" t="str">
        <f>IF(B149&lt;&gt;"",145,"")</f>
        <v/>
      </c>
      <c r="B149" s="53"/>
      <c r="C149" s="53" t="str">
        <f>IFERROR(VLOOKUP(B149,'👥 بيانات الموظفين'!B:C,2,0),"")</f>
        <v/>
      </c>
      <c r="D149" s="53"/>
      <c r="E149" s="55"/>
      <c r="F149" s="55"/>
      <c r="G149" s="68" t="str">
        <f t="shared" si="4"/>
        <v/>
      </c>
      <c r="H149" s="68" t="str">
        <f t="shared" si="5"/>
        <v/>
      </c>
      <c r="I149" s="53" t="str">
        <f>IFERROR(VLOOKUP(B149,'👥 بيانات الموظفين'!B:Q,16,0)-SUMIFS(H$5:H149,B$5:B149,B149,F$5:F149,"معتمدة"),"")</f>
        <v/>
      </c>
      <c r="J149" s="53"/>
      <c r="K149" s="53"/>
      <c r="L149" s="98"/>
    </row>
    <row r="150" spans="1:12" ht="22.15" customHeight="1" x14ac:dyDescent="0.2">
      <c r="A150" s="57" t="str">
        <f>IF(B150&lt;&gt;"",146,"")</f>
        <v/>
      </c>
      <c r="B150" s="57"/>
      <c r="C150" s="57" t="str">
        <f>IFERROR(VLOOKUP(B150,'👥 بيانات الموظفين'!B:C,2,0),"")</f>
        <v/>
      </c>
      <c r="D150" s="57"/>
      <c r="E150" s="59"/>
      <c r="F150" s="59"/>
      <c r="G150" s="69" t="str">
        <f t="shared" si="4"/>
        <v/>
      </c>
      <c r="H150" s="69" t="str">
        <f t="shared" si="5"/>
        <v/>
      </c>
      <c r="I150" s="57" t="str">
        <f>IFERROR(VLOOKUP(B150,'👥 بيانات الموظفين'!B:Q,16,0)-SUMIFS(H$5:H150,B$5:B150,B150,F$5:F150,"معتمدة"),"")</f>
        <v/>
      </c>
      <c r="J150" s="57"/>
      <c r="K150" s="57"/>
      <c r="L150" s="99"/>
    </row>
    <row r="151" spans="1:12" ht="22.15" customHeight="1" x14ac:dyDescent="0.2">
      <c r="A151" s="53" t="str">
        <f>IF(B151&lt;&gt;"",147,"")</f>
        <v/>
      </c>
      <c r="B151" s="53"/>
      <c r="C151" s="53" t="str">
        <f>IFERROR(VLOOKUP(B151,'👥 بيانات الموظفين'!B:C,2,0),"")</f>
        <v/>
      </c>
      <c r="D151" s="53"/>
      <c r="E151" s="55"/>
      <c r="F151" s="55"/>
      <c r="G151" s="68" t="str">
        <f t="shared" si="4"/>
        <v/>
      </c>
      <c r="H151" s="68" t="str">
        <f t="shared" si="5"/>
        <v/>
      </c>
      <c r="I151" s="53" t="str">
        <f>IFERROR(VLOOKUP(B151,'👥 بيانات الموظفين'!B:Q,16,0)-SUMIFS(H$5:H151,B$5:B151,B151,F$5:F151,"معتمدة"),"")</f>
        <v/>
      </c>
      <c r="J151" s="53"/>
      <c r="K151" s="53"/>
      <c r="L151" s="98"/>
    </row>
    <row r="152" spans="1:12" ht="22.15" customHeight="1" x14ac:dyDescent="0.2">
      <c r="A152" s="57" t="str">
        <f>IF(B152&lt;&gt;"",148,"")</f>
        <v/>
      </c>
      <c r="B152" s="57"/>
      <c r="C152" s="57" t="str">
        <f>IFERROR(VLOOKUP(B152,'👥 بيانات الموظفين'!B:C,2,0),"")</f>
        <v/>
      </c>
      <c r="D152" s="57"/>
      <c r="E152" s="59"/>
      <c r="F152" s="59"/>
      <c r="G152" s="69" t="str">
        <f t="shared" si="4"/>
        <v/>
      </c>
      <c r="H152" s="69" t="str">
        <f t="shared" si="5"/>
        <v/>
      </c>
      <c r="I152" s="57" t="str">
        <f>IFERROR(VLOOKUP(B152,'👥 بيانات الموظفين'!B:Q,16,0)-SUMIFS(H$5:H152,B$5:B152,B152,F$5:F152,"معتمدة"),"")</f>
        <v/>
      </c>
      <c r="J152" s="57"/>
      <c r="K152" s="57"/>
      <c r="L152" s="99"/>
    </row>
    <row r="153" spans="1:12" ht="22.15" customHeight="1" x14ac:dyDescent="0.2">
      <c r="A153" s="53" t="str">
        <f>IF(B153&lt;&gt;"",149,"")</f>
        <v/>
      </c>
      <c r="B153" s="53"/>
      <c r="C153" s="53" t="str">
        <f>IFERROR(VLOOKUP(B153,'👥 بيانات الموظفين'!B:C,2,0),"")</f>
        <v/>
      </c>
      <c r="D153" s="53"/>
      <c r="E153" s="55"/>
      <c r="F153" s="55"/>
      <c r="G153" s="68" t="str">
        <f t="shared" si="4"/>
        <v/>
      </c>
      <c r="H153" s="68" t="str">
        <f t="shared" si="5"/>
        <v/>
      </c>
      <c r="I153" s="53" t="str">
        <f>IFERROR(VLOOKUP(B153,'👥 بيانات الموظفين'!B:Q,16,0)-SUMIFS(H$5:H153,B$5:B153,B153,F$5:F153,"معتمدة"),"")</f>
        <v/>
      </c>
      <c r="J153" s="53"/>
      <c r="K153" s="53"/>
      <c r="L153" s="98"/>
    </row>
    <row r="154" spans="1:12" ht="22.15" customHeight="1" x14ac:dyDescent="0.2">
      <c r="A154" s="57" t="str">
        <f>IF(B154&lt;&gt;"",150,"")</f>
        <v/>
      </c>
      <c r="B154" s="57"/>
      <c r="C154" s="57" t="str">
        <f>IFERROR(VLOOKUP(B154,'👥 بيانات الموظفين'!B:C,2,0),"")</f>
        <v/>
      </c>
      <c r="D154" s="57"/>
      <c r="E154" s="59"/>
      <c r="F154" s="59"/>
      <c r="G154" s="69" t="str">
        <f t="shared" si="4"/>
        <v/>
      </c>
      <c r="H154" s="69" t="str">
        <f t="shared" si="5"/>
        <v/>
      </c>
      <c r="I154" s="57" t="str">
        <f>IFERROR(VLOOKUP(B154,'👥 بيانات الموظفين'!B:Q,16,0)-SUMIFS(H$5:H154,B$5:B154,B154,F$5:F154,"معتمدة"),"")</f>
        <v/>
      </c>
      <c r="J154" s="57"/>
      <c r="K154" s="57"/>
      <c r="L154" s="99"/>
    </row>
    <row r="155" spans="1:12" ht="22.15" customHeight="1" x14ac:dyDescent="0.2">
      <c r="A155" s="53" t="str">
        <f>IF(B155&lt;&gt;"",151,"")</f>
        <v/>
      </c>
      <c r="B155" s="53"/>
      <c r="C155" s="53" t="str">
        <f>IFERROR(VLOOKUP(B155,'👥 بيانات الموظفين'!B:C,2,0),"")</f>
        <v/>
      </c>
      <c r="D155" s="53"/>
      <c r="E155" s="55"/>
      <c r="F155" s="55"/>
      <c r="G155" s="68" t="str">
        <f t="shared" si="4"/>
        <v/>
      </c>
      <c r="H155" s="68" t="str">
        <f t="shared" si="5"/>
        <v/>
      </c>
      <c r="I155" s="53" t="str">
        <f>IFERROR(VLOOKUP(B155,'👥 بيانات الموظفين'!B:Q,16,0)-SUMIFS(H$5:H155,B$5:B155,B155,F$5:F155,"معتمدة"),"")</f>
        <v/>
      </c>
      <c r="J155" s="53"/>
      <c r="K155" s="53"/>
      <c r="L155" s="98"/>
    </row>
    <row r="156" spans="1:12" ht="22.15" customHeight="1" x14ac:dyDescent="0.2">
      <c r="A156" s="57" t="str">
        <f>IF(B156&lt;&gt;"",152,"")</f>
        <v/>
      </c>
      <c r="B156" s="57"/>
      <c r="C156" s="57" t="str">
        <f>IFERROR(VLOOKUP(B156,'👥 بيانات الموظفين'!B:C,2,0),"")</f>
        <v/>
      </c>
      <c r="D156" s="57"/>
      <c r="E156" s="59"/>
      <c r="F156" s="59"/>
      <c r="G156" s="69" t="str">
        <f t="shared" si="4"/>
        <v/>
      </c>
      <c r="H156" s="69" t="str">
        <f t="shared" si="5"/>
        <v/>
      </c>
      <c r="I156" s="57" t="str">
        <f>IFERROR(VLOOKUP(B156,'👥 بيانات الموظفين'!B:Q,16,0)-SUMIFS(H$5:H156,B$5:B156,B156,F$5:F156,"معتمدة"),"")</f>
        <v/>
      </c>
      <c r="J156" s="57"/>
      <c r="K156" s="57"/>
      <c r="L156" s="99"/>
    </row>
    <row r="157" spans="1:12" ht="22.15" customHeight="1" x14ac:dyDescent="0.2">
      <c r="A157" s="53" t="str">
        <f>IF(B157&lt;&gt;"",153,"")</f>
        <v/>
      </c>
      <c r="B157" s="53"/>
      <c r="C157" s="53" t="str">
        <f>IFERROR(VLOOKUP(B157,'👥 بيانات الموظفين'!B:C,2,0),"")</f>
        <v/>
      </c>
      <c r="D157" s="53"/>
      <c r="E157" s="55"/>
      <c r="F157" s="55"/>
      <c r="G157" s="68" t="str">
        <f t="shared" si="4"/>
        <v/>
      </c>
      <c r="H157" s="68" t="str">
        <f t="shared" si="5"/>
        <v/>
      </c>
      <c r="I157" s="53" t="str">
        <f>IFERROR(VLOOKUP(B157,'👥 بيانات الموظفين'!B:Q,16,0)-SUMIFS(H$5:H157,B$5:B157,B157,F$5:F157,"معتمدة"),"")</f>
        <v/>
      </c>
      <c r="J157" s="53"/>
      <c r="K157" s="53"/>
      <c r="L157" s="98"/>
    </row>
    <row r="158" spans="1:12" ht="22.15" customHeight="1" x14ac:dyDescent="0.2">
      <c r="A158" s="57" t="str">
        <f>IF(B158&lt;&gt;"",154,"")</f>
        <v/>
      </c>
      <c r="B158" s="57"/>
      <c r="C158" s="57" t="str">
        <f>IFERROR(VLOOKUP(B158,'👥 بيانات الموظفين'!B:C,2,0),"")</f>
        <v/>
      </c>
      <c r="D158" s="57"/>
      <c r="E158" s="59"/>
      <c r="F158" s="59"/>
      <c r="G158" s="69" t="str">
        <f t="shared" si="4"/>
        <v/>
      </c>
      <c r="H158" s="69" t="str">
        <f t="shared" si="5"/>
        <v/>
      </c>
      <c r="I158" s="57" t="str">
        <f>IFERROR(VLOOKUP(B158,'👥 بيانات الموظفين'!B:Q,16,0)-SUMIFS(H$5:H158,B$5:B158,B158,F$5:F158,"معتمدة"),"")</f>
        <v/>
      </c>
      <c r="J158" s="57"/>
      <c r="K158" s="57"/>
      <c r="L158" s="99"/>
    </row>
    <row r="159" spans="1:12" ht="22.15" customHeight="1" x14ac:dyDescent="0.2">
      <c r="A159" s="53" t="str">
        <f>IF(B159&lt;&gt;"",155,"")</f>
        <v/>
      </c>
      <c r="B159" s="53"/>
      <c r="C159" s="53" t="str">
        <f>IFERROR(VLOOKUP(B159,'👥 بيانات الموظفين'!B:C,2,0),"")</f>
        <v/>
      </c>
      <c r="D159" s="53"/>
      <c r="E159" s="55"/>
      <c r="F159" s="55"/>
      <c r="G159" s="68" t="str">
        <f t="shared" si="4"/>
        <v/>
      </c>
      <c r="H159" s="68" t="str">
        <f t="shared" si="5"/>
        <v/>
      </c>
      <c r="I159" s="53" t="str">
        <f>IFERROR(VLOOKUP(B159,'👥 بيانات الموظفين'!B:Q,16,0)-SUMIFS(H$5:H159,B$5:B159,B159,F$5:F159,"معتمدة"),"")</f>
        <v/>
      </c>
      <c r="J159" s="53"/>
      <c r="K159" s="53"/>
      <c r="L159" s="98"/>
    </row>
    <row r="160" spans="1:12" ht="22.15" customHeight="1" x14ac:dyDescent="0.2">
      <c r="A160" s="57" t="str">
        <f>IF(B160&lt;&gt;"",156,"")</f>
        <v/>
      </c>
      <c r="B160" s="57"/>
      <c r="C160" s="57" t="str">
        <f>IFERROR(VLOOKUP(B160,'👥 بيانات الموظفين'!B:C,2,0),"")</f>
        <v/>
      </c>
      <c r="D160" s="57"/>
      <c r="E160" s="59"/>
      <c r="F160" s="59"/>
      <c r="G160" s="69" t="str">
        <f t="shared" si="4"/>
        <v/>
      </c>
      <c r="H160" s="69" t="str">
        <f t="shared" si="5"/>
        <v/>
      </c>
      <c r="I160" s="57" t="str">
        <f>IFERROR(VLOOKUP(B160,'👥 بيانات الموظفين'!B:Q,16,0)-SUMIFS(H$5:H160,B$5:B160,B160,F$5:F160,"معتمدة"),"")</f>
        <v/>
      </c>
      <c r="J160" s="57"/>
      <c r="K160" s="57"/>
      <c r="L160" s="99"/>
    </row>
    <row r="161" spans="1:12" ht="22.15" customHeight="1" x14ac:dyDescent="0.2">
      <c r="A161" s="53" t="str">
        <f>IF(B161&lt;&gt;"",157,"")</f>
        <v/>
      </c>
      <c r="B161" s="53"/>
      <c r="C161" s="53" t="str">
        <f>IFERROR(VLOOKUP(B161,'👥 بيانات الموظفين'!B:C,2,0),"")</f>
        <v/>
      </c>
      <c r="D161" s="53"/>
      <c r="E161" s="55"/>
      <c r="F161" s="55"/>
      <c r="G161" s="68" t="str">
        <f t="shared" si="4"/>
        <v/>
      </c>
      <c r="H161" s="68" t="str">
        <f t="shared" si="5"/>
        <v/>
      </c>
      <c r="I161" s="53" t="str">
        <f>IFERROR(VLOOKUP(B161,'👥 بيانات الموظفين'!B:Q,16,0)-SUMIFS(H$5:H161,B$5:B161,B161,F$5:F161,"معتمدة"),"")</f>
        <v/>
      </c>
      <c r="J161" s="53"/>
      <c r="K161" s="53"/>
      <c r="L161" s="98"/>
    </row>
    <row r="162" spans="1:12" ht="22.15" customHeight="1" x14ac:dyDescent="0.2">
      <c r="A162" s="57" t="str">
        <f>IF(B162&lt;&gt;"",158,"")</f>
        <v/>
      </c>
      <c r="B162" s="57"/>
      <c r="C162" s="57" t="str">
        <f>IFERROR(VLOOKUP(B162,'👥 بيانات الموظفين'!B:C,2,0),"")</f>
        <v/>
      </c>
      <c r="D162" s="57"/>
      <c r="E162" s="59"/>
      <c r="F162" s="59"/>
      <c r="G162" s="69" t="str">
        <f t="shared" si="4"/>
        <v/>
      </c>
      <c r="H162" s="69" t="str">
        <f t="shared" si="5"/>
        <v/>
      </c>
      <c r="I162" s="57" t="str">
        <f>IFERROR(VLOOKUP(B162,'👥 بيانات الموظفين'!B:Q,16,0)-SUMIFS(H$5:H162,B$5:B162,B162,F$5:F162,"معتمدة"),"")</f>
        <v/>
      </c>
      <c r="J162" s="57"/>
      <c r="K162" s="57"/>
      <c r="L162" s="99"/>
    </row>
    <row r="163" spans="1:12" ht="22.15" customHeight="1" x14ac:dyDescent="0.2">
      <c r="A163" s="53" t="str">
        <f>IF(B163&lt;&gt;"",159,"")</f>
        <v/>
      </c>
      <c r="B163" s="53"/>
      <c r="C163" s="53" t="str">
        <f>IFERROR(VLOOKUP(B163,'👥 بيانات الموظفين'!B:C,2,0),"")</f>
        <v/>
      </c>
      <c r="D163" s="53"/>
      <c r="E163" s="55"/>
      <c r="F163" s="55"/>
      <c r="G163" s="68" t="str">
        <f t="shared" si="4"/>
        <v/>
      </c>
      <c r="H163" s="68" t="str">
        <f t="shared" si="5"/>
        <v/>
      </c>
      <c r="I163" s="53" t="str">
        <f>IFERROR(VLOOKUP(B163,'👥 بيانات الموظفين'!B:Q,16,0)-SUMIFS(H$5:H163,B$5:B163,B163,F$5:F163,"معتمدة"),"")</f>
        <v/>
      </c>
      <c r="J163" s="53"/>
      <c r="K163" s="53"/>
      <c r="L163" s="98"/>
    </row>
    <row r="164" spans="1:12" ht="22.15" customHeight="1" x14ac:dyDescent="0.2">
      <c r="A164" s="57" t="str">
        <f>IF(B164&lt;&gt;"",160,"")</f>
        <v/>
      </c>
      <c r="B164" s="57"/>
      <c r="C164" s="57" t="str">
        <f>IFERROR(VLOOKUP(B164,'👥 بيانات الموظفين'!B:C,2,0),"")</f>
        <v/>
      </c>
      <c r="D164" s="57"/>
      <c r="E164" s="59"/>
      <c r="F164" s="59"/>
      <c r="G164" s="69" t="str">
        <f t="shared" si="4"/>
        <v/>
      </c>
      <c r="H164" s="69" t="str">
        <f t="shared" si="5"/>
        <v/>
      </c>
      <c r="I164" s="57" t="str">
        <f>IFERROR(VLOOKUP(B164,'👥 بيانات الموظفين'!B:Q,16,0)-SUMIFS(H$5:H164,B$5:B164,B164,F$5:F164,"معتمدة"),"")</f>
        <v/>
      </c>
      <c r="J164" s="57"/>
      <c r="K164" s="57"/>
      <c r="L164" s="99"/>
    </row>
    <row r="165" spans="1:12" ht="22.15" customHeight="1" x14ac:dyDescent="0.2">
      <c r="A165" s="53" t="str">
        <f>IF(B165&lt;&gt;"",161,"")</f>
        <v/>
      </c>
      <c r="B165" s="53"/>
      <c r="C165" s="53" t="str">
        <f>IFERROR(VLOOKUP(B165,'👥 بيانات الموظفين'!B:C,2,0),"")</f>
        <v/>
      </c>
      <c r="D165" s="53"/>
      <c r="E165" s="55"/>
      <c r="F165" s="55"/>
      <c r="G165" s="68" t="str">
        <f t="shared" si="4"/>
        <v/>
      </c>
      <c r="H165" s="68" t="str">
        <f t="shared" si="5"/>
        <v/>
      </c>
      <c r="I165" s="53" t="str">
        <f>IFERROR(VLOOKUP(B165,'👥 بيانات الموظفين'!B:Q,16,0)-SUMIFS(H$5:H165,B$5:B165,B165,F$5:F165,"معتمدة"),"")</f>
        <v/>
      </c>
      <c r="J165" s="53"/>
      <c r="K165" s="53"/>
      <c r="L165" s="98"/>
    </row>
    <row r="166" spans="1:12" ht="22.15" customHeight="1" x14ac:dyDescent="0.2">
      <c r="A166" s="57" t="str">
        <f>IF(B166&lt;&gt;"",162,"")</f>
        <v/>
      </c>
      <c r="B166" s="57"/>
      <c r="C166" s="57" t="str">
        <f>IFERROR(VLOOKUP(B166,'👥 بيانات الموظفين'!B:C,2,0),"")</f>
        <v/>
      </c>
      <c r="D166" s="57"/>
      <c r="E166" s="59"/>
      <c r="F166" s="59"/>
      <c r="G166" s="69" t="str">
        <f t="shared" si="4"/>
        <v/>
      </c>
      <c r="H166" s="69" t="str">
        <f t="shared" si="5"/>
        <v/>
      </c>
      <c r="I166" s="57" t="str">
        <f>IFERROR(VLOOKUP(B166,'👥 بيانات الموظفين'!B:Q,16,0)-SUMIFS(H$5:H166,B$5:B166,B166,F$5:F166,"معتمدة"),"")</f>
        <v/>
      </c>
      <c r="J166" s="57"/>
      <c r="K166" s="57"/>
      <c r="L166" s="99"/>
    </row>
    <row r="167" spans="1:12" ht="22.15" customHeight="1" x14ac:dyDescent="0.2">
      <c r="A167" s="53" t="str">
        <f>IF(B167&lt;&gt;"",163,"")</f>
        <v/>
      </c>
      <c r="B167" s="53"/>
      <c r="C167" s="53" t="str">
        <f>IFERROR(VLOOKUP(B167,'👥 بيانات الموظفين'!B:C,2,0),"")</f>
        <v/>
      </c>
      <c r="D167" s="53"/>
      <c r="E167" s="55"/>
      <c r="F167" s="55"/>
      <c r="G167" s="68" t="str">
        <f t="shared" si="4"/>
        <v/>
      </c>
      <c r="H167" s="68" t="str">
        <f t="shared" si="5"/>
        <v/>
      </c>
      <c r="I167" s="53" t="str">
        <f>IFERROR(VLOOKUP(B167,'👥 بيانات الموظفين'!B:Q,16,0)-SUMIFS(H$5:H167,B$5:B167,B167,F$5:F167,"معتمدة"),"")</f>
        <v/>
      </c>
      <c r="J167" s="53"/>
      <c r="K167" s="53"/>
      <c r="L167" s="98"/>
    </row>
    <row r="168" spans="1:12" ht="22.15" customHeight="1" x14ac:dyDescent="0.2">
      <c r="A168" s="57" t="str">
        <f>IF(B168&lt;&gt;"",164,"")</f>
        <v/>
      </c>
      <c r="B168" s="57"/>
      <c r="C168" s="57" t="str">
        <f>IFERROR(VLOOKUP(B168,'👥 بيانات الموظفين'!B:C,2,0),"")</f>
        <v/>
      </c>
      <c r="D168" s="57"/>
      <c r="E168" s="59"/>
      <c r="F168" s="59"/>
      <c r="G168" s="69" t="str">
        <f t="shared" si="4"/>
        <v/>
      </c>
      <c r="H168" s="69" t="str">
        <f t="shared" si="5"/>
        <v/>
      </c>
      <c r="I168" s="57" t="str">
        <f>IFERROR(VLOOKUP(B168,'👥 بيانات الموظفين'!B:Q,16,0)-SUMIFS(H$5:H168,B$5:B168,B168,F$5:F168,"معتمدة"),"")</f>
        <v/>
      </c>
      <c r="J168" s="57"/>
      <c r="K168" s="57"/>
      <c r="L168" s="99"/>
    </row>
    <row r="169" spans="1:12" ht="22.15" customHeight="1" x14ac:dyDescent="0.2">
      <c r="A169" s="53" t="str">
        <f>IF(B169&lt;&gt;"",165,"")</f>
        <v/>
      </c>
      <c r="B169" s="53"/>
      <c r="C169" s="53" t="str">
        <f>IFERROR(VLOOKUP(B169,'👥 بيانات الموظفين'!B:C,2,0),"")</f>
        <v/>
      </c>
      <c r="D169" s="53"/>
      <c r="E169" s="55"/>
      <c r="F169" s="55"/>
      <c r="G169" s="68" t="str">
        <f t="shared" si="4"/>
        <v/>
      </c>
      <c r="H169" s="68" t="str">
        <f t="shared" si="5"/>
        <v/>
      </c>
      <c r="I169" s="53" t="str">
        <f>IFERROR(VLOOKUP(B169,'👥 بيانات الموظفين'!B:Q,16,0)-SUMIFS(H$5:H169,B$5:B169,B169,F$5:F169,"معتمدة"),"")</f>
        <v/>
      </c>
      <c r="J169" s="53"/>
      <c r="K169" s="53"/>
      <c r="L169" s="98"/>
    </row>
    <row r="170" spans="1:12" ht="22.15" customHeight="1" x14ac:dyDescent="0.2">
      <c r="A170" s="57" t="str">
        <f>IF(B170&lt;&gt;"",166,"")</f>
        <v/>
      </c>
      <c r="B170" s="57"/>
      <c r="C170" s="57" t="str">
        <f>IFERROR(VLOOKUP(B170,'👥 بيانات الموظفين'!B:C,2,0),"")</f>
        <v/>
      </c>
      <c r="D170" s="57"/>
      <c r="E170" s="59"/>
      <c r="F170" s="59"/>
      <c r="G170" s="69" t="str">
        <f t="shared" si="4"/>
        <v/>
      </c>
      <c r="H170" s="69" t="str">
        <f t="shared" si="5"/>
        <v/>
      </c>
      <c r="I170" s="57" t="str">
        <f>IFERROR(VLOOKUP(B170,'👥 بيانات الموظفين'!B:Q,16,0)-SUMIFS(H$5:H170,B$5:B170,B170,F$5:F170,"معتمدة"),"")</f>
        <v/>
      </c>
      <c r="J170" s="57"/>
      <c r="K170" s="57"/>
      <c r="L170" s="99"/>
    </row>
    <row r="171" spans="1:12" ht="22.15" customHeight="1" x14ac:dyDescent="0.2">
      <c r="A171" s="53" t="str">
        <f>IF(B171&lt;&gt;"",167,"")</f>
        <v/>
      </c>
      <c r="B171" s="53"/>
      <c r="C171" s="53" t="str">
        <f>IFERROR(VLOOKUP(B171,'👥 بيانات الموظفين'!B:C,2,0),"")</f>
        <v/>
      </c>
      <c r="D171" s="53"/>
      <c r="E171" s="55"/>
      <c r="F171" s="55"/>
      <c r="G171" s="68" t="str">
        <f t="shared" si="4"/>
        <v/>
      </c>
      <c r="H171" s="68" t="str">
        <f t="shared" si="5"/>
        <v/>
      </c>
      <c r="I171" s="53" t="str">
        <f>IFERROR(VLOOKUP(B171,'👥 بيانات الموظفين'!B:Q,16,0)-SUMIFS(H$5:H171,B$5:B171,B171,F$5:F171,"معتمدة"),"")</f>
        <v/>
      </c>
      <c r="J171" s="53"/>
      <c r="K171" s="53"/>
      <c r="L171" s="98"/>
    </row>
    <row r="172" spans="1:12" ht="22.15" customHeight="1" x14ac:dyDescent="0.2">
      <c r="A172" s="57" t="str">
        <f>IF(B172&lt;&gt;"",168,"")</f>
        <v/>
      </c>
      <c r="B172" s="57"/>
      <c r="C172" s="57" t="str">
        <f>IFERROR(VLOOKUP(B172,'👥 بيانات الموظفين'!B:C,2,0),"")</f>
        <v/>
      </c>
      <c r="D172" s="57"/>
      <c r="E172" s="59"/>
      <c r="F172" s="59"/>
      <c r="G172" s="69" t="str">
        <f t="shared" si="4"/>
        <v/>
      </c>
      <c r="H172" s="69" t="str">
        <f t="shared" si="5"/>
        <v/>
      </c>
      <c r="I172" s="57" t="str">
        <f>IFERROR(VLOOKUP(B172,'👥 بيانات الموظفين'!B:Q,16,0)-SUMIFS(H$5:H172,B$5:B172,B172,F$5:F172,"معتمدة"),"")</f>
        <v/>
      </c>
      <c r="J172" s="57"/>
      <c r="K172" s="57"/>
      <c r="L172" s="99"/>
    </row>
    <row r="173" spans="1:12" ht="22.15" customHeight="1" x14ac:dyDescent="0.2">
      <c r="A173" s="53" t="str">
        <f>IF(B173&lt;&gt;"",169,"")</f>
        <v/>
      </c>
      <c r="B173" s="53"/>
      <c r="C173" s="53" t="str">
        <f>IFERROR(VLOOKUP(B173,'👥 بيانات الموظفين'!B:C,2,0),"")</f>
        <v/>
      </c>
      <c r="D173" s="53"/>
      <c r="E173" s="55"/>
      <c r="F173" s="55"/>
      <c r="G173" s="68" t="str">
        <f t="shared" si="4"/>
        <v/>
      </c>
      <c r="H173" s="68" t="str">
        <f t="shared" si="5"/>
        <v/>
      </c>
      <c r="I173" s="53" t="str">
        <f>IFERROR(VLOOKUP(B173,'👥 بيانات الموظفين'!B:Q,16,0)-SUMIFS(H$5:H173,B$5:B173,B173,F$5:F173,"معتمدة"),"")</f>
        <v/>
      </c>
      <c r="J173" s="53"/>
      <c r="K173" s="53"/>
      <c r="L173" s="98"/>
    </row>
    <row r="174" spans="1:12" ht="22.15" customHeight="1" x14ac:dyDescent="0.2">
      <c r="A174" s="57" t="str">
        <f>IF(B174&lt;&gt;"",170,"")</f>
        <v/>
      </c>
      <c r="B174" s="57"/>
      <c r="C174" s="57" t="str">
        <f>IFERROR(VLOOKUP(B174,'👥 بيانات الموظفين'!B:C,2,0),"")</f>
        <v/>
      </c>
      <c r="D174" s="57"/>
      <c r="E174" s="59"/>
      <c r="F174" s="59"/>
      <c r="G174" s="69" t="str">
        <f t="shared" si="4"/>
        <v/>
      </c>
      <c r="H174" s="69" t="str">
        <f t="shared" si="5"/>
        <v/>
      </c>
      <c r="I174" s="57" t="str">
        <f>IFERROR(VLOOKUP(B174,'👥 بيانات الموظفين'!B:Q,16,0)-SUMIFS(H$5:H174,B$5:B174,B174,F$5:F174,"معتمدة"),"")</f>
        <v/>
      </c>
      <c r="J174" s="57"/>
      <c r="K174" s="57"/>
      <c r="L174" s="99"/>
    </row>
    <row r="175" spans="1:12" ht="22.15" customHeight="1" x14ac:dyDescent="0.2">
      <c r="A175" s="53" t="str">
        <f>IF(B175&lt;&gt;"",171,"")</f>
        <v/>
      </c>
      <c r="B175" s="53"/>
      <c r="C175" s="53" t="str">
        <f>IFERROR(VLOOKUP(B175,'👥 بيانات الموظفين'!B:C,2,0),"")</f>
        <v/>
      </c>
      <c r="D175" s="53"/>
      <c r="E175" s="55"/>
      <c r="F175" s="55"/>
      <c r="G175" s="68" t="str">
        <f t="shared" si="4"/>
        <v/>
      </c>
      <c r="H175" s="68" t="str">
        <f t="shared" si="5"/>
        <v/>
      </c>
      <c r="I175" s="53" t="str">
        <f>IFERROR(VLOOKUP(B175,'👥 بيانات الموظفين'!B:Q,16,0)-SUMIFS(H$5:H175,B$5:B175,B175,F$5:F175,"معتمدة"),"")</f>
        <v/>
      </c>
      <c r="J175" s="53"/>
      <c r="K175" s="53"/>
      <c r="L175" s="98"/>
    </row>
    <row r="176" spans="1:12" ht="22.15" customHeight="1" x14ac:dyDescent="0.2">
      <c r="A176" s="57" t="str">
        <f>IF(B176&lt;&gt;"",172,"")</f>
        <v/>
      </c>
      <c r="B176" s="57"/>
      <c r="C176" s="57" t="str">
        <f>IFERROR(VLOOKUP(B176,'👥 بيانات الموظفين'!B:C,2,0),"")</f>
        <v/>
      </c>
      <c r="D176" s="57"/>
      <c r="E176" s="59"/>
      <c r="F176" s="59"/>
      <c r="G176" s="69" t="str">
        <f t="shared" si="4"/>
        <v/>
      </c>
      <c r="H176" s="69" t="str">
        <f t="shared" si="5"/>
        <v/>
      </c>
      <c r="I176" s="57" t="str">
        <f>IFERROR(VLOOKUP(B176,'👥 بيانات الموظفين'!B:Q,16,0)-SUMIFS(H$5:H176,B$5:B176,B176,F$5:F176,"معتمدة"),"")</f>
        <v/>
      </c>
      <c r="J176" s="57"/>
      <c r="K176" s="57"/>
      <c r="L176" s="99"/>
    </row>
    <row r="177" spans="1:12" ht="22.15" customHeight="1" x14ac:dyDescent="0.2">
      <c r="A177" s="53" t="str">
        <f>IF(B177&lt;&gt;"",173,"")</f>
        <v/>
      </c>
      <c r="B177" s="53"/>
      <c r="C177" s="53" t="str">
        <f>IFERROR(VLOOKUP(B177,'👥 بيانات الموظفين'!B:C,2,0),"")</f>
        <v/>
      </c>
      <c r="D177" s="53"/>
      <c r="E177" s="55"/>
      <c r="F177" s="55"/>
      <c r="G177" s="68" t="str">
        <f t="shared" si="4"/>
        <v/>
      </c>
      <c r="H177" s="68" t="str">
        <f t="shared" si="5"/>
        <v/>
      </c>
      <c r="I177" s="53" t="str">
        <f>IFERROR(VLOOKUP(B177,'👥 بيانات الموظفين'!B:Q,16,0)-SUMIFS(H$5:H177,B$5:B177,B177,F$5:F177,"معتمدة"),"")</f>
        <v/>
      </c>
      <c r="J177" s="53"/>
      <c r="K177" s="53"/>
      <c r="L177" s="98"/>
    </row>
    <row r="178" spans="1:12" ht="22.15" customHeight="1" x14ac:dyDescent="0.2">
      <c r="A178" s="57" t="str">
        <f>IF(B178&lt;&gt;"",174,"")</f>
        <v/>
      </c>
      <c r="B178" s="57"/>
      <c r="C178" s="57" t="str">
        <f>IFERROR(VLOOKUP(B178,'👥 بيانات الموظفين'!B:C,2,0),"")</f>
        <v/>
      </c>
      <c r="D178" s="57"/>
      <c r="E178" s="59"/>
      <c r="F178" s="59"/>
      <c r="G178" s="69" t="str">
        <f t="shared" si="4"/>
        <v/>
      </c>
      <c r="H178" s="69" t="str">
        <f t="shared" si="5"/>
        <v/>
      </c>
      <c r="I178" s="57" t="str">
        <f>IFERROR(VLOOKUP(B178,'👥 بيانات الموظفين'!B:Q,16,0)-SUMIFS(H$5:H178,B$5:B178,B178,F$5:F178,"معتمدة"),"")</f>
        <v/>
      </c>
      <c r="J178" s="57"/>
      <c r="K178" s="57"/>
      <c r="L178" s="99"/>
    </row>
    <row r="179" spans="1:12" ht="22.15" customHeight="1" x14ac:dyDescent="0.2">
      <c r="A179" s="53" t="str">
        <f>IF(B179&lt;&gt;"",175,"")</f>
        <v/>
      </c>
      <c r="B179" s="53"/>
      <c r="C179" s="53" t="str">
        <f>IFERROR(VLOOKUP(B179,'👥 بيانات الموظفين'!B:C,2,0),"")</f>
        <v/>
      </c>
      <c r="D179" s="53"/>
      <c r="E179" s="55"/>
      <c r="F179" s="55"/>
      <c r="G179" s="68" t="str">
        <f t="shared" si="4"/>
        <v/>
      </c>
      <c r="H179" s="68" t="str">
        <f t="shared" si="5"/>
        <v/>
      </c>
      <c r="I179" s="53" t="str">
        <f>IFERROR(VLOOKUP(B179,'👥 بيانات الموظفين'!B:Q,16,0)-SUMIFS(H$5:H179,B$5:B179,B179,F$5:F179,"معتمدة"),"")</f>
        <v/>
      </c>
      <c r="J179" s="53"/>
      <c r="K179" s="53"/>
      <c r="L179" s="98"/>
    </row>
    <row r="180" spans="1:12" ht="22.15" customHeight="1" x14ac:dyDescent="0.2">
      <c r="A180" s="57" t="str">
        <f>IF(B180&lt;&gt;"",176,"")</f>
        <v/>
      </c>
      <c r="B180" s="57"/>
      <c r="C180" s="57" t="str">
        <f>IFERROR(VLOOKUP(B180,'👥 بيانات الموظفين'!B:C,2,0),"")</f>
        <v/>
      </c>
      <c r="D180" s="57"/>
      <c r="E180" s="59"/>
      <c r="F180" s="59"/>
      <c r="G180" s="69" t="str">
        <f t="shared" si="4"/>
        <v/>
      </c>
      <c r="H180" s="69" t="str">
        <f t="shared" si="5"/>
        <v/>
      </c>
      <c r="I180" s="57" t="str">
        <f>IFERROR(VLOOKUP(B180,'👥 بيانات الموظفين'!B:Q,16,0)-SUMIFS(H$5:H180,B$5:B180,B180,F$5:F180,"معتمدة"),"")</f>
        <v/>
      </c>
      <c r="J180" s="57"/>
      <c r="K180" s="57"/>
      <c r="L180" s="99"/>
    </row>
    <row r="181" spans="1:12" ht="22.15" customHeight="1" x14ac:dyDescent="0.2">
      <c r="A181" s="53" t="str">
        <f>IF(B181&lt;&gt;"",177,"")</f>
        <v/>
      </c>
      <c r="B181" s="53"/>
      <c r="C181" s="53" t="str">
        <f>IFERROR(VLOOKUP(B181,'👥 بيانات الموظفين'!B:C,2,0),"")</f>
        <v/>
      </c>
      <c r="D181" s="53"/>
      <c r="E181" s="55"/>
      <c r="F181" s="55"/>
      <c r="G181" s="68" t="str">
        <f t="shared" si="4"/>
        <v/>
      </c>
      <c r="H181" s="68" t="str">
        <f t="shared" si="5"/>
        <v/>
      </c>
      <c r="I181" s="53" t="str">
        <f>IFERROR(VLOOKUP(B181,'👥 بيانات الموظفين'!B:Q,16,0)-SUMIFS(H$5:H181,B$5:B181,B181,F$5:F181,"معتمدة"),"")</f>
        <v/>
      </c>
      <c r="J181" s="53"/>
      <c r="K181" s="53"/>
      <c r="L181" s="98"/>
    </row>
    <row r="182" spans="1:12" ht="22.15" customHeight="1" x14ac:dyDescent="0.2">
      <c r="A182" s="57" t="str">
        <f>IF(B182&lt;&gt;"",178,"")</f>
        <v/>
      </c>
      <c r="B182" s="57"/>
      <c r="C182" s="57" t="str">
        <f>IFERROR(VLOOKUP(B182,'👥 بيانات الموظفين'!B:C,2,0),"")</f>
        <v/>
      </c>
      <c r="D182" s="57"/>
      <c r="E182" s="59"/>
      <c r="F182" s="59"/>
      <c r="G182" s="69" t="str">
        <f t="shared" si="4"/>
        <v/>
      </c>
      <c r="H182" s="69" t="str">
        <f t="shared" si="5"/>
        <v/>
      </c>
      <c r="I182" s="57" t="str">
        <f>IFERROR(VLOOKUP(B182,'👥 بيانات الموظفين'!B:Q,16,0)-SUMIFS(H$5:H182,B$5:B182,B182,F$5:F182,"معتمدة"),"")</f>
        <v/>
      </c>
      <c r="J182" s="57"/>
      <c r="K182" s="57"/>
      <c r="L182" s="99"/>
    </row>
    <row r="183" spans="1:12" ht="22.15" customHeight="1" x14ac:dyDescent="0.2">
      <c r="A183" s="53" t="str">
        <f>IF(B183&lt;&gt;"",179,"")</f>
        <v/>
      </c>
      <c r="B183" s="53"/>
      <c r="C183" s="53" t="str">
        <f>IFERROR(VLOOKUP(B183,'👥 بيانات الموظفين'!B:C,2,0),"")</f>
        <v/>
      </c>
      <c r="D183" s="53"/>
      <c r="E183" s="55"/>
      <c r="F183" s="55"/>
      <c r="G183" s="68" t="str">
        <f t="shared" si="4"/>
        <v/>
      </c>
      <c r="H183" s="68" t="str">
        <f t="shared" si="5"/>
        <v/>
      </c>
      <c r="I183" s="53" t="str">
        <f>IFERROR(VLOOKUP(B183,'👥 بيانات الموظفين'!B:Q,16,0)-SUMIFS(H$5:H183,B$5:B183,B183,F$5:F183,"معتمدة"),"")</f>
        <v/>
      </c>
      <c r="J183" s="53"/>
      <c r="K183" s="53"/>
      <c r="L183" s="98"/>
    </row>
    <row r="184" spans="1:12" ht="22.15" customHeight="1" x14ac:dyDescent="0.2">
      <c r="A184" s="57" t="str">
        <f>IF(B184&lt;&gt;"",180,"")</f>
        <v/>
      </c>
      <c r="B184" s="57"/>
      <c r="C184" s="57" t="str">
        <f>IFERROR(VLOOKUP(B184,'👥 بيانات الموظفين'!B:C,2,0),"")</f>
        <v/>
      </c>
      <c r="D184" s="57"/>
      <c r="E184" s="59"/>
      <c r="F184" s="59"/>
      <c r="G184" s="69" t="str">
        <f t="shared" si="4"/>
        <v/>
      </c>
      <c r="H184" s="69" t="str">
        <f t="shared" si="5"/>
        <v/>
      </c>
      <c r="I184" s="57" t="str">
        <f>IFERROR(VLOOKUP(B184,'👥 بيانات الموظفين'!B:Q,16,0)-SUMIFS(H$5:H184,B$5:B184,B184,F$5:F184,"معتمدة"),"")</f>
        <v/>
      </c>
      <c r="J184" s="57"/>
      <c r="K184" s="57"/>
      <c r="L184" s="99"/>
    </row>
    <row r="185" spans="1:12" ht="22.15" customHeight="1" x14ac:dyDescent="0.2">
      <c r="A185" s="53" t="str">
        <f>IF(B185&lt;&gt;"",181,"")</f>
        <v/>
      </c>
      <c r="B185" s="53"/>
      <c r="C185" s="53" t="str">
        <f>IFERROR(VLOOKUP(B185,'👥 بيانات الموظفين'!B:C,2,0),"")</f>
        <v/>
      </c>
      <c r="D185" s="53"/>
      <c r="E185" s="55"/>
      <c r="F185" s="55"/>
      <c r="G185" s="68" t="str">
        <f t="shared" si="4"/>
        <v/>
      </c>
      <c r="H185" s="68" t="str">
        <f t="shared" si="5"/>
        <v/>
      </c>
      <c r="I185" s="53" t="str">
        <f>IFERROR(VLOOKUP(B185,'👥 بيانات الموظفين'!B:Q,16,0)-SUMIFS(H$5:H185,B$5:B185,B185,F$5:F185,"معتمدة"),"")</f>
        <v/>
      </c>
      <c r="J185" s="53"/>
      <c r="K185" s="53"/>
      <c r="L185" s="98"/>
    </row>
    <row r="186" spans="1:12" ht="22.15" customHeight="1" x14ac:dyDescent="0.2">
      <c r="A186" s="57" t="str">
        <f>IF(B186&lt;&gt;"",182,"")</f>
        <v/>
      </c>
      <c r="B186" s="57"/>
      <c r="C186" s="57" t="str">
        <f>IFERROR(VLOOKUP(B186,'👥 بيانات الموظفين'!B:C,2,0),"")</f>
        <v/>
      </c>
      <c r="D186" s="57"/>
      <c r="E186" s="59"/>
      <c r="F186" s="59"/>
      <c r="G186" s="69" t="str">
        <f t="shared" si="4"/>
        <v/>
      </c>
      <c r="H186" s="69" t="str">
        <f t="shared" si="5"/>
        <v/>
      </c>
      <c r="I186" s="57" t="str">
        <f>IFERROR(VLOOKUP(B186,'👥 بيانات الموظفين'!B:Q,16,0)-SUMIFS(H$5:H186,B$5:B186,B186,F$5:F186,"معتمدة"),"")</f>
        <v/>
      </c>
      <c r="J186" s="57"/>
      <c r="K186" s="57"/>
      <c r="L186" s="99"/>
    </row>
    <row r="187" spans="1:12" ht="22.15" customHeight="1" x14ac:dyDescent="0.2">
      <c r="A187" s="53" t="str">
        <f>IF(B187&lt;&gt;"",183,"")</f>
        <v/>
      </c>
      <c r="B187" s="53"/>
      <c r="C187" s="53" t="str">
        <f>IFERROR(VLOOKUP(B187,'👥 بيانات الموظفين'!B:C,2,0),"")</f>
        <v/>
      </c>
      <c r="D187" s="53"/>
      <c r="E187" s="55"/>
      <c r="F187" s="55"/>
      <c r="G187" s="68" t="str">
        <f t="shared" si="4"/>
        <v/>
      </c>
      <c r="H187" s="68" t="str">
        <f t="shared" si="5"/>
        <v/>
      </c>
      <c r="I187" s="53" t="str">
        <f>IFERROR(VLOOKUP(B187,'👥 بيانات الموظفين'!B:Q,16,0)-SUMIFS(H$5:H187,B$5:B187,B187,F$5:F187,"معتمدة"),"")</f>
        <v/>
      </c>
      <c r="J187" s="53"/>
      <c r="K187" s="53"/>
      <c r="L187" s="98"/>
    </row>
    <row r="188" spans="1:12" ht="22.15" customHeight="1" x14ac:dyDescent="0.2">
      <c r="A188" s="57" t="str">
        <f>IF(B188&lt;&gt;"",184,"")</f>
        <v/>
      </c>
      <c r="B188" s="57"/>
      <c r="C188" s="57" t="str">
        <f>IFERROR(VLOOKUP(B188,'👥 بيانات الموظفين'!B:C,2,0),"")</f>
        <v/>
      </c>
      <c r="D188" s="57"/>
      <c r="E188" s="59"/>
      <c r="F188" s="59"/>
      <c r="G188" s="69" t="str">
        <f t="shared" si="4"/>
        <v/>
      </c>
      <c r="H188" s="69" t="str">
        <f t="shared" si="5"/>
        <v/>
      </c>
      <c r="I188" s="57" t="str">
        <f>IFERROR(VLOOKUP(B188,'👥 بيانات الموظفين'!B:Q,16,0)-SUMIFS(H$5:H188,B$5:B188,B188,F$5:F188,"معتمدة"),"")</f>
        <v/>
      </c>
      <c r="J188" s="57"/>
      <c r="K188" s="57"/>
      <c r="L188" s="99"/>
    </row>
    <row r="189" spans="1:12" ht="22.15" customHeight="1" x14ac:dyDescent="0.2">
      <c r="A189" s="53" t="str">
        <f>IF(B189&lt;&gt;"",185,"")</f>
        <v/>
      </c>
      <c r="B189" s="53"/>
      <c r="C189" s="53" t="str">
        <f>IFERROR(VLOOKUP(B189,'👥 بيانات الموظفين'!B:C,2,0),"")</f>
        <v/>
      </c>
      <c r="D189" s="53"/>
      <c r="E189" s="55"/>
      <c r="F189" s="55"/>
      <c r="G189" s="68" t="str">
        <f t="shared" si="4"/>
        <v/>
      </c>
      <c r="H189" s="68" t="str">
        <f t="shared" si="5"/>
        <v/>
      </c>
      <c r="I189" s="53" t="str">
        <f>IFERROR(VLOOKUP(B189,'👥 بيانات الموظفين'!B:Q,16,0)-SUMIFS(H$5:H189,B$5:B189,B189,F$5:F189,"معتمدة"),"")</f>
        <v/>
      </c>
      <c r="J189" s="53"/>
      <c r="K189" s="53"/>
      <c r="L189" s="98"/>
    </row>
    <row r="190" spans="1:12" ht="22.15" customHeight="1" x14ac:dyDescent="0.2">
      <c r="A190" s="57" t="str">
        <f>IF(B190&lt;&gt;"",186,"")</f>
        <v/>
      </c>
      <c r="B190" s="57"/>
      <c r="C190" s="57" t="str">
        <f>IFERROR(VLOOKUP(B190,'👥 بيانات الموظفين'!B:C,2,0),"")</f>
        <v/>
      </c>
      <c r="D190" s="57"/>
      <c r="E190" s="59"/>
      <c r="F190" s="59"/>
      <c r="G190" s="69" t="str">
        <f t="shared" si="4"/>
        <v/>
      </c>
      <c r="H190" s="69" t="str">
        <f t="shared" si="5"/>
        <v/>
      </c>
      <c r="I190" s="57" t="str">
        <f>IFERROR(VLOOKUP(B190,'👥 بيانات الموظفين'!B:Q,16,0)-SUMIFS(H$5:H190,B$5:B190,B190,F$5:F190,"معتمدة"),"")</f>
        <v/>
      </c>
      <c r="J190" s="57"/>
      <c r="K190" s="57"/>
      <c r="L190" s="99"/>
    </row>
    <row r="191" spans="1:12" ht="22.15" customHeight="1" x14ac:dyDescent="0.2">
      <c r="A191" s="53" t="str">
        <f>IF(B191&lt;&gt;"",187,"")</f>
        <v/>
      </c>
      <c r="B191" s="53"/>
      <c r="C191" s="53" t="str">
        <f>IFERROR(VLOOKUP(B191,'👥 بيانات الموظفين'!B:C,2,0),"")</f>
        <v/>
      </c>
      <c r="D191" s="53"/>
      <c r="E191" s="55"/>
      <c r="F191" s="55"/>
      <c r="G191" s="68" t="str">
        <f t="shared" si="4"/>
        <v/>
      </c>
      <c r="H191" s="68" t="str">
        <f t="shared" si="5"/>
        <v/>
      </c>
      <c r="I191" s="53" t="str">
        <f>IFERROR(VLOOKUP(B191,'👥 بيانات الموظفين'!B:Q,16,0)-SUMIFS(H$5:H191,B$5:B191,B191,F$5:F191,"معتمدة"),"")</f>
        <v/>
      </c>
      <c r="J191" s="53"/>
      <c r="K191" s="53"/>
      <c r="L191" s="98"/>
    </row>
    <row r="192" spans="1:12" ht="22.15" customHeight="1" x14ac:dyDescent="0.2">
      <c r="A192" s="57" t="str">
        <f>IF(B192&lt;&gt;"",188,"")</f>
        <v/>
      </c>
      <c r="B192" s="57"/>
      <c r="C192" s="57" t="str">
        <f>IFERROR(VLOOKUP(B192,'👥 بيانات الموظفين'!B:C,2,0),"")</f>
        <v/>
      </c>
      <c r="D192" s="57"/>
      <c r="E192" s="59"/>
      <c r="F192" s="59"/>
      <c r="G192" s="69" t="str">
        <f t="shared" si="4"/>
        <v/>
      </c>
      <c r="H192" s="69" t="str">
        <f t="shared" si="5"/>
        <v/>
      </c>
      <c r="I192" s="57" t="str">
        <f>IFERROR(VLOOKUP(B192,'👥 بيانات الموظفين'!B:Q,16,0)-SUMIFS(H$5:H192,B$5:B192,B192,F$5:F192,"معتمدة"),"")</f>
        <v/>
      </c>
      <c r="J192" s="57"/>
      <c r="K192" s="57"/>
      <c r="L192" s="99"/>
    </row>
    <row r="193" spans="1:12" ht="22.15" customHeight="1" x14ac:dyDescent="0.2">
      <c r="A193" s="53" t="str">
        <f>IF(B193&lt;&gt;"",189,"")</f>
        <v/>
      </c>
      <c r="B193" s="53"/>
      <c r="C193" s="53" t="str">
        <f>IFERROR(VLOOKUP(B193,'👥 بيانات الموظفين'!B:C,2,0),"")</f>
        <v/>
      </c>
      <c r="D193" s="53"/>
      <c r="E193" s="55"/>
      <c r="F193" s="55"/>
      <c r="G193" s="68" t="str">
        <f t="shared" si="4"/>
        <v/>
      </c>
      <c r="H193" s="68" t="str">
        <f t="shared" si="5"/>
        <v/>
      </c>
      <c r="I193" s="53" t="str">
        <f>IFERROR(VLOOKUP(B193,'👥 بيانات الموظفين'!B:Q,16,0)-SUMIFS(H$5:H193,B$5:B193,B193,F$5:F193,"معتمدة"),"")</f>
        <v/>
      </c>
      <c r="J193" s="53"/>
      <c r="K193" s="53"/>
      <c r="L193" s="98"/>
    </row>
    <row r="194" spans="1:12" ht="22.15" customHeight="1" x14ac:dyDescent="0.2">
      <c r="A194" s="57" t="str">
        <f>IF(B194&lt;&gt;"",190,"")</f>
        <v/>
      </c>
      <c r="B194" s="57"/>
      <c r="C194" s="57" t="str">
        <f>IFERROR(VLOOKUP(B194,'👥 بيانات الموظفين'!B:C,2,0),"")</f>
        <v/>
      </c>
      <c r="D194" s="57"/>
      <c r="E194" s="59"/>
      <c r="F194" s="59"/>
      <c r="G194" s="69" t="str">
        <f t="shared" si="4"/>
        <v/>
      </c>
      <c r="H194" s="69" t="str">
        <f t="shared" si="5"/>
        <v/>
      </c>
      <c r="I194" s="57" t="str">
        <f>IFERROR(VLOOKUP(B194,'👥 بيانات الموظفين'!B:Q,16,0)-SUMIFS(H$5:H194,B$5:B194,B194,F$5:F194,"معتمدة"),"")</f>
        <v/>
      </c>
      <c r="J194" s="57"/>
      <c r="K194" s="57"/>
      <c r="L194" s="99"/>
    </row>
    <row r="195" spans="1:12" ht="22.15" customHeight="1" x14ac:dyDescent="0.2">
      <c r="A195" s="53" t="str">
        <f>IF(B195&lt;&gt;"",191,"")</f>
        <v/>
      </c>
      <c r="B195" s="53"/>
      <c r="C195" s="53" t="str">
        <f>IFERROR(VLOOKUP(B195,'👥 بيانات الموظفين'!B:C,2,0),"")</f>
        <v/>
      </c>
      <c r="D195" s="53"/>
      <c r="E195" s="55"/>
      <c r="F195" s="55"/>
      <c r="G195" s="68" t="str">
        <f t="shared" si="4"/>
        <v/>
      </c>
      <c r="H195" s="68" t="str">
        <f t="shared" si="5"/>
        <v/>
      </c>
      <c r="I195" s="53" t="str">
        <f>IFERROR(VLOOKUP(B195,'👥 بيانات الموظفين'!B:Q,16,0)-SUMIFS(H$5:H195,B$5:B195,B195,F$5:F195,"معتمدة"),"")</f>
        <v/>
      </c>
      <c r="J195" s="53"/>
      <c r="K195" s="53"/>
      <c r="L195" s="98"/>
    </row>
    <row r="196" spans="1:12" ht="22.15" customHeight="1" x14ac:dyDescent="0.2">
      <c r="A196" s="57" t="str">
        <f>IF(B196&lt;&gt;"",192,"")</f>
        <v/>
      </c>
      <c r="B196" s="57"/>
      <c r="C196" s="57" t="str">
        <f>IFERROR(VLOOKUP(B196,'👥 بيانات الموظفين'!B:C,2,0),"")</f>
        <v/>
      </c>
      <c r="D196" s="57"/>
      <c r="E196" s="59"/>
      <c r="F196" s="59"/>
      <c r="G196" s="69" t="str">
        <f t="shared" si="4"/>
        <v/>
      </c>
      <c r="H196" s="69" t="str">
        <f t="shared" si="5"/>
        <v/>
      </c>
      <c r="I196" s="57" t="str">
        <f>IFERROR(VLOOKUP(B196,'👥 بيانات الموظفين'!B:Q,16,0)-SUMIFS(H$5:H196,B$5:B196,B196,F$5:F196,"معتمدة"),"")</f>
        <v/>
      </c>
      <c r="J196" s="57"/>
      <c r="K196" s="57"/>
      <c r="L196" s="99"/>
    </row>
    <row r="197" spans="1:12" ht="22.15" customHeight="1" x14ac:dyDescent="0.2">
      <c r="A197" s="53" t="str">
        <f>IF(B197&lt;&gt;"",193,"")</f>
        <v/>
      </c>
      <c r="B197" s="53"/>
      <c r="C197" s="53" t="str">
        <f>IFERROR(VLOOKUP(B197,'👥 بيانات الموظفين'!B:C,2,0),"")</f>
        <v/>
      </c>
      <c r="D197" s="53"/>
      <c r="E197" s="55"/>
      <c r="F197" s="55"/>
      <c r="G197" s="68" t="str">
        <f t="shared" ref="G197:G260" si="6">IFERROR(IF(AND(E197&lt;&gt;"",F197&lt;&gt;""),F197-E197+1,""),"")</f>
        <v/>
      </c>
      <c r="H197" s="68" t="str">
        <f t="shared" ref="H197:H260" si="7">IF(AND(E197&lt;&gt;"",G197&lt;&gt;""),NETWORKDAYS(E197,G197),"")</f>
        <v/>
      </c>
      <c r="I197" s="53" t="str">
        <f>IFERROR(VLOOKUP(B197,'👥 بيانات الموظفين'!B:Q,16,0)-SUMIFS(H$5:H197,B$5:B197,B197,F$5:F197,"معتمدة"),"")</f>
        <v/>
      </c>
      <c r="J197" s="53"/>
      <c r="K197" s="53"/>
      <c r="L197" s="98"/>
    </row>
    <row r="198" spans="1:12" ht="22.15" customHeight="1" x14ac:dyDescent="0.2">
      <c r="A198" s="57" t="str">
        <f>IF(B198&lt;&gt;"",194,"")</f>
        <v/>
      </c>
      <c r="B198" s="57"/>
      <c r="C198" s="57" t="str">
        <f>IFERROR(VLOOKUP(B198,'👥 بيانات الموظفين'!B:C,2,0),"")</f>
        <v/>
      </c>
      <c r="D198" s="57"/>
      <c r="E198" s="59"/>
      <c r="F198" s="59"/>
      <c r="G198" s="69" t="str">
        <f t="shared" si="6"/>
        <v/>
      </c>
      <c r="H198" s="69" t="str">
        <f t="shared" si="7"/>
        <v/>
      </c>
      <c r="I198" s="57" t="str">
        <f>IFERROR(VLOOKUP(B198,'👥 بيانات الموظفين'!B:Q,16,0)-SUMIFS(H$5:H198,B$5:B198,B198,F$5:F198,"معتمدة"),"")</f>
        <v/>
      </c>
      <c r="J198" s="57"/>
      <c r="K198" s="57"/>
      <c r="L198" s="99"/>
    </row>
    <row r="199" spans="1:12" ht="22.15" customHeight="1" x14ac:dyDescent="0.2">
      <c r="A199" s="53" t="str">
        <f>IF(B199&lt;&gt;"",195,"")</f>
        <v/>
      </c>
      <c r="B199" s="53"/>
      <c r="C199" s="53" t="str">
        <f>IFERROR(VLOOKUP(B199,'👥 بيانات الموظفين'!B:C,2,0),"")</f>
        <v/>
      </c>
      <c r="D199" s="53"/>
      <c r="E199" s="55"/>
      <c r="F199" s="55"/>
      <c r="G199" s="68" t="str">
        <f t="shared" si="6"/>
        <v/>
      </c>
      <c r="H199" s="68" t="str">
        <f t="shared" si="7"/>
        <v/>
      </c>
      <c r="I199" s="53" t="str">
        <f>IFERROR(VLOOKUP(B199,'👥 بيانات الموظفين'!B:Q,16,0)-SUMIFS(H$5:H199,B$5:B199,B199,F$5:F199,"معتمدة"),"")</f>
        <v/>
      </c>
      <c r="J199" s="53"/>
      <c r="K199" s="53"/>
      <c r="L199" s="98"/>
    </row>
    <row r="200" spans="1:12" ht="22.15" customHeight="1" x14ac:dyDescent="0.2">
      <c r="A200" s="57" t="str">
        <f>IF(B200&lt;&gt;"",196,"")</f>
        <v/>
      </c>
      <c r="B200" s="57"/>
      <c r="C200" s="57" t="str">
        <f>IFERROR(VLOOKUP(B200,'👥 بيانات الموظفين'!B:C,2,0),"")</f>
        <v/>
      </c>
      <c r="D200" s="57"/>
      <c r="E200" s="59"/>
      <c r="F200" s="59"/>
      <c r="G200" s="69" t="str">
        <f t="shared" si="6"/>
        <v/>
      </c>
      <c r="H200" s="69" t="str">
        <f t="shared" si="7"/>
        <v/>
      </c>
      <c r="I200" s="57" t="str">
        <f>IFERROR(VLOOKUP(B200,'👥 بيانات الموظفين'!B:Q,16,0)-SUMIFS(H$5:H200,B$5:B200,B200,F$5:F200,"معتمدة"),"")</f>
        <v/>
      </c>
      <c r="J200" s="57"/>
      <c r="K200" s="57"/>
      <c r="L200" s="99"/>
    </row>
    <row r="201" spans="1:12" ht="22.15" customHeight="1" x14ac:dyDescent="0.2">
      <c r="A201" s="53" t="str">
        <f>IF(B201&lt;&gt;"",197,"")</f>
        <v/>
      </c>
      <c r="B201" s="53"/>
      <c r="C201" s="53" t="str">
        <f>IFERROR(VLOOKUP(B201,'👥 بيانات الموظفين'!B:C,2,0),"")</f>
        <v/>
      </c>
      <c r="D201" s="53"/>
      <c r="E201" s="55"/>
      <c r="F201" s="55"/>
      <c r="G201" s="68" t="str">
        <f t="shared" si="6"/>
        <v/>
      </c>
      <c r="H201" s="68" t="str">
        <f t="shared" si="7"/>
        <v/>
      </c>
      <c r="I201" s="53" t="str">
        <f>IFERROR(VLOOKUP(B201,'👥 بيانات الموظفين'!B:Q,16,0)-SUMIFS(H$5:H201,B$5:B201,B201,F$5:F201,"معتمدة"),"")</f>
        <v/>
      </c>
      <c r="J201" s="53"/>
      <c r="K201" s="53"/>
      <c r="L201" s="98"/>
    </row>
    <row r="202" spans="1:12" ht="22.15" customHeight="1" x14ac:dyDescent="0.2">
      <c r="A202" s="57" t="str">
        <f>IF(B202&lt;&gt;"",198,"")</f>
        <v/>
      </c>
      <c r="B202" s="57"/>
      <c r="C202" s="57" t="str">
        <f>IFERROR(VLOOKUP(B202,'👥 بيانات الموظفين'!B:C,2,0),"")</f>
        <v/>
      </c>
      <c r="D202" s="57"/>
      <c r="E202" s="59"/>
      <c r="F202" s="59"/>
      <c r="G202" s="69" t="str">
        <f t="shared" si="6"/>
        <v/>
      </c>
      <c r="H202" s="69" t="str">
        <f t="shared" si="7"/>
        <v/>
      </c>
      <c r="I202" s="57" t="str">
        <f>IFERROR(VLOOKUP(B202,'👥 بيانات الموظفين'!B:Q,16,0)-SUMIFS(H$5:H202,B$5:B202,B202,F$5:F202,"معتمدة"),"")</f>
        <v/>
      </c>
      <c r="J202" s="57"/>
      <c r="K202" s="57"/>
      <c r="L202" s="99"/>
    </row>
    <row r="203" spans="1:12" ht="22.15" customHeight="1" x14ac:dyDescent="0.2">
      <c r="A203" s="53" t="str">
        <f>IF(B203&lt;&gt;"",199,"")</f>
        <v/>
      </c>
      <c r="B203" s="53"/>
      <c r="C203" s="53" t="str">
        <f>IFERROR(VLOOKUP(B203,'👥 بيانات الموظفين'!B:C,2,0),"")</f>
        <v/>
      </c>
      <c r="D203" s="53"/>
      <c r="E203" s="55"/>
      <c r="F203" s="55"/>
      <c r="G203" s="68" t="str">
        <f t="shared" si="6"/>
        <v/>
      </c>
      <c r="H203" s="68" t="str">
        <f t="shared" si="7"/>
        <v/>
      </c>
      <c r="I203" s="53" t="str">
        <f>IFERROR(VLOOKUP(B203,'👥 بيانات الموظفين'!B:Q,16,0)-SUMIFS(H$5:H203,B$5:B203,B203,F$5:F203,"معتمدة"),"")</f>
        <v/>
      </c>
      <c r="J203" s="53"/>
      <c r="K203" s="53"/>
      <c r="L203" s="98"/>
    </row>
    <row r="204" spans="1:12" ht="22.15" customHeight="1" x14ac:dyDescent="0.2">
      <c r="A204" s="57" t="str">
        <f>IF(B204&lt;&gt;"",200,"")</f>
        <v/>
      </c>
      <c r="B204" s="57"/>
      <c r="C204" s="57" t="str">
        <f>IFERROR(VLOOKUP(B204,'👥 بيانات الموظفين'!B:C,2,0),"")</f>
        <v/>
      </c>
      <c r="D204" s="57"/>
      <c r="E204" s="59"/>
      <c r="F204" s="59"/>
      <c r="G204" s="69" t="str">
        <f t="shared" si="6"/>
        <v/>
      </c>
      <c r="H204" s="69" t="str">
        <f t="shared" si="7"/>
        <v/>
      </c>
      <c r="I204" s="57" t="str">
        <f>IFERROR(VLOOKUP(B204,'👥 بيانات الموظفين'!B:Q,16,0)-SUMIFS(H$5:H204,B$5:B204,B204,F$5:F204,"معتمدة"),"")</f>
        <v/>
      </c>
      <c r="J204" s="57"/>
      <c r="K204" s="57"/>
      <c r="L204" s="99"/>
    </row>
    <row r="205" spans="1:12" ht="22.15" customHeight="1" x14ac:dyDescent="0.2">
      <c r="A205" s="53" t="str">
        <f>IF(B205&lt;&gt;"",201,"")</f>
        <v/>
      </c>
      <c r="B205" s="53"/>
      <c r="C205" s="53" t="str">
        <f>IFERROR(VLOOKUP(B205,'👥 بيانات الموظفين'!B:C,2,0),"")</f>
        <v/>
      </c>
      <c r="D205" s="53"/>
      <c r="E205" s="55"/>
      <c r="F205" s="55"/>
      <c r="G205" s="68" t="str">
        <f t="shared" si="6"/>
        <v/>
      </c>
      <c r="H205" s="68" t="str">
        <f t="shared" si="7"/>
        <v/>
      </c>
      <c r="I205" s="53" t="str">
        <f>IFERROR(VLOOKUP(B205,'👥 بيانات الموظفين'!B:Q,16,0)-SUMIFS(H$5:H205,B$5:B205,B205,F$5:F205,"معتمدة"),"")</f>
        <v/>
      </c>
      <c r="J205" s="53"/>
      <c r="K205" s="53"/>
      <c r="L205" s="98"/>
    </row>
    <row r="206" spans="1:12" ht="22.15" customHeight="1" x14ac:dyDescent="0.2">
      <c r="A206" s="57" t="str">
        <f>IF(B206&lt;&gt;"",202,"")</f>
        <v/>
      </c>
      <c r="B206" s="57"/>
      <c r="C206" s="57" t="str">
        <f>IFERROR(VLOOKUP(B206,'👥 بيانات الموظفين'!B:C,2,0),"")</f>
        <v/>
      </c>
      <c r="D206" s="57"/>
      <c r="E206" s="59"/>
      <c r="F206" s="59"/>
      <c r="G206" s="69" t="str">
        <f t="shared" si="6"/>
        <v/>
      </c>
      <c r="H206" s="69" t="str">
        <f t="shared" si="7"/>
        <v/>
      </c>
      <c r="I206" s="57" t="str">
        <f>IFERROR(VLOOKUP(B206,'👥 بيانات الموظفين'!B:Q,16,0)-SUMIFS(H$5:H206,B$5:B206,B206,F$5:F206,"معتمدة"),"")</f>
        <v/>
      </c>
      <c r="J206" s="57"/>
      <c r="K206" s="57"/>
      <c r="L206" s="99"/>
    </row>
    <row r="207" spans="1:12" ht="22.15" customHeight="1" x14ac:dyDescent="0.2">
      <c r="A207" s="53" t="str">
        <f>IF(B207&lt;&gt;"",203,"")</f>
        <v/>
      </c>
      <c r="B207" s="53"/>
      <c r="C207" s="53" t="str">
        <f>IFERROR(VLOOKUP(B207,'👥 بيانات الموظفين'!B:C,2,0),"")</f>
        <v/>
      </c>
      <c r="D207" s="53"/>
      <c r="E207" s="55"/>
      <c r="F207" s="55"/>
      <c r="G207" s="68" t="str">
        <f t="shared" si="6"/>
        <v/>
      </c>
      <c r="H207" s="68" t="str">
        <f t="shared" si="7"/>
        <v/>
      </c>
      <c r="I207" s="53" t="str">
        <f>IFERROR(VLOOKUP(B207,'👥 بيانات الموظفين'!B:Q,16,0)-SUMIFS(H$5:H207,B$5:B207,B207,F$5:F207,"معتمدة"),"")</f>
        <v/>
      </c>
      <c r="J207" s="53"/>
      <c r="K207" s="53"/>
      <c r="L207" s="98"/>
    </row>
    <row r="208" spans="1:12" ht="22.15" customHeight="1" x14ac:dyDescent="0.2">
      <c r="A208" s="57" t="str">
        <f>IF(B208&lt;&gt;"",204,"")</f>
        <v/>
      </c>
      <c r="B208" s="57"/>
      <c r="C208" s="57" t="str">
        <f>IFERROR(VLOOKUP(B208,'👥 بيانات الموظفين'!B:C,2,0),"")</f>
        <v/>
      </c>
      <c r="D208" s="57"/>
      <c r="E208" s="59"/>
      <c r="F208" s="59"/>
      <c r="G208" s="69" t="str">
        <f t="shared" si="6"/>
        <v/>
      </c>
      <c r="H208" s="69" t="str">
        <f t="shared" si="7"/>
        <v/>
      </c>
      <c r="I208" s="57" t="str">
        <f>IFERROR(VLOOKUP(B208,'👥 بيانات الموظفين'!B:Q,16,0)-SUMIFS(H$5:H208,B$5:B208,B208,F$5:F208,"معتمدة"),"")</f>
        <v/>
      </c>
      <c r="J208" s="57"/>
      <c r="K208" s="57"/>
      <c r="L208" s="99"/>
    </row>
    <row r="209" spans="1:12" ht="22.15" customHeight="1" x14ac:dyDescent="0.2">
      <c r="A209" s="53" t="str">
        <f>IF(B209&lt;&gt;"",205,"")</f>
        <v/>
      </c>
      <c r="B209" s="53"/>
      <c r="C209" s="53" t="str">
        <f>IFERROR(VLOOKUP(B209,'👥 بيانات الموظفين'!B:C,2,0),"")</f>
        <v/>
      </c>
      <c r="D209" s="53"/>
      <c r="E209" s="55"/>
      <c r="F209" s="55"/>
      <c r="G209" s="68" t="str">
        <f t="shared" si="6"/>
        <v/>
      </c>
      <c r="H209" s="68" t="str">
        <f t="shared" si="7"/>
        <v/>
      </c>
      <c r="I209" s="53" t="str">
        <f>IFERROR(VLOOKUP(B209,'👥 بيانات الموظفين'!B:Q,16,0)-SUMIFS(H$5:H209,B$5:B209,B209,F$5:F209,"معتمدة"),"")</f>
        <v/>
      </c>
      <c r="J209" s="53"/>
      <c r="K209" s="53"/>
      <c r="L209" s="98"/>
    </row>
    <row r="210" spans="1:12" ht="22.15" customHeight="1" x14ac:dyDescent="0.2">
      <c r="A210" s="57" t="str">
        <f>IF(B210&lt;&gt;"",206,"")</f>
        <v/>
      </c>
      <c r="B210" s="57"/>
      <c r="C210" s="57" t="str">
        <f>IFERROR(VLOOKUP(B210,'👥 بيانات الموظفين'!B:C,2,0),"")</f>
        <v/>
      </c>
      <c r="D210" s="57"/>
      <c r="E210" s="59"/>
      <c r="F210" s="59"/>
      <c r="G210" s="69" t="str">
        <f t="shared" si="6"/>
        <v/>
      </c>
      <c r="H210" s="69" t="str">
        <f t="shared" si="7"/>
        <v/>
      </c>
      <c r="I210" s="57" t="str">
        <f>IFERROR(VLOOKUP(B210,'👥 بيانات الموظفين'!B:Q,16,0)-SUMIFS(H$5:H210,B$5:B210,B210,F$5:F210,"معتمدة"),"")</f>
        <v/>
      </c>
      <c r="J210" s="57"/>
      <c r="K210" s="57"/>
      <c r="L210" s="99"/>
    </row>
    <row r="211" spans="1:12" ht="22.15" customHeight="1" x14ac:dyDescent="0.2">
      <c r="A211" s="53" t="str">
        <f>IF(B211&lt;&gt;"",207,"")</f>
        <v/>
      </c>
      <c r="B211" s="53"/>
      <c r="C211" s="53" t="str">
        <f>IFERROR(VLOOKUP(B211,'👥 بيانات الموظفين'!B:C,2,0),"")</f>
        <v/>
      </c>
      <c r="D211" s="53"/>
      <c r="E211" s="55"/>
      <c r="F211" s="55"/>
      <c r="G211" s="68" t="str">
        <f t="shared" si="6"/>
        <v/>
      </c>
      <c r="H211" s="68" t="str">
        <f t="shared" si="7"/>
        <v/>
      </c>
      <c r="I211" s="53" t="str">
        <f>IFERROR(VLOOKUP(B211,'👥 بيانات الموظفين'!B:Q,16,0)-SUMIFS(H$5:H211,B$5:B211,B211,F$5:F211,"معتمدة"),"")</f>
        <v/>
      </c>
      <c r="J211" s="53"/>
      <c r="K211" s="53"/>
      <c r="L211" s="98"/>
    </row>
    <row r="212" spans="1:12" ht="22.15" customHeight="1" x14ac:dyDescent="0.2">
      <c r="A212" s="57" t="str">
        <f>IF(B212&lt;&gt;"",208,"")</f>
        <v/>
      </c>
      <c r="B212" s="57"/>
      <c r="C212" s="57" t="str">
        <f>IFERROR(VLOOKUP(B212,'👥 بيانات الموظفين'!B:C,2,0),"")</f>
        <v/>
      </c>
      <c r="D212" s="57"/>
      <c r="E212" s="59"/>
      <c r="F212" s="59"/>
      <c r="G212" s="69" t="str">
        <f t="shared" si="6"/>
        <v/>
      </c>
      <c r="H212" s="69" t="str">
        <f t="shared" si="7"/>
        <v/>
      </c>
      <c r="I212" s="57" t="str">
        <f>IFERROR(VLOOKUP(B212,'👥 بيانات الموظفين'!B:Q,16,0)-SUMIFS(H$5:H212,B$5:B212,B212,F$5:F212,"معتمدة"),"")</f>
        <v/>
      </c>
      <c r="J212" s="57"/>
      <c r="K212" s="57"/>
      <c r="L212" s="99"/>
    </row>
    <row r="213" spans="1:12" ht="22.15" customHeight="1" x14ac:dyDescent="0.2">
      <c r="A213" s="53" t="str">
        <f>IF(B213&lt;&gt;"",209,"")</f>
        <v/>
      </c>
      <c r="B213" s="53"/>
      <c r="C213" s="53" t="str">
        <f>IFERROR(VLOOKUP(B213,'👥 بيانات الموظفين'!B:C,2,0),"")</f>
        <v/>
      </c>
      <c r="D213" s="53"/>
      <c r="E213" s="55"/>
      <c r="F213" s="55"/>
      <c r="G213" s="68" t="str">
        <f t="shared" si="6"/>
        <v/>
      </c>
      <c r="H213" s="68" t="str">
        <f t="shared" si="7"/>
        <v/>
      </c>
      <c r="I213" s="53" t="str">
        <f>IFERROR(VLOOKUP(B213,'👥 بيانات الموظفين'!B:Q,16,0)-SUMIFS(H$5:H213,B$5:B213,B213,F$5:F213,"معتمدة"),"")</f>
        <v/>
      </c>
      <c r="J213" s="53"/>
      <c r="K213" s="53"/>
      <c r="L213" s="98"/>
    </row>
    <row r="214" spans="1:12" ht="22.15" customHeight="1" x14ac:dyDescent="0.2">
      <c r="A214" s="57" t="str">
        <f>IF(B214&lt;&gt;"",210,"")</f>
        <v/>
      </c>
      <c r="B214" s="57"/>
      <c r="C214" s="57" t="str">
        <f>IFERROR(VLOOKUP(B214,'👥 بيانات الموظفين'!B:C,2,0),"")</f>
        <v/>
      </c>
      <c r="D214" s="57"/>
      <c r="E214" s="59"/>
      <c r="F214" s="59"/>
      <c r="G214" s="69" t="str">
        <f t="shared" si="6"/>
        <v/>
      </c>
      <c r="H214" s="69" t="str">
        <f t="shared" si="7"/>
        <v/>
      </c>
      <c r="I214" s="57" t="str">
        <f>IFERROR(VLOOKUP(B214,'👥 بيانات الموظفين'!B:Q,16,0)-SUMIFS(H$5:H214,B$5:B214,B214,F$5:F214,"معتمدة"),"")</f>
        <v/>
      </c>
      <c r="J214" s="57"/>
      <c r="K214" s="57"/>
      <c r="L214" s="99"/>
    </row>
    <row r="215" spans="1:12" ht="22.15" customHeight="1" x14ac:dyDescent="0.2">
      <c r="A215" s="53" t="str">
        <f>IF(B215&lt;&gt;"",211,"")</f>
        <v/>
      </c>
      <c r="B215" s="53"/>
      <c r="C215" s="53" t="str">
        <f>IFERROR(VLOOKUP(B215,'👥 بيانات الموظفين'!B:C,2,0),"")</f>
        <v/>
      </c>
      <c r="D215" s="53"/>
      <c r="E215" s="55"/>
      <c r="F215" s="55"/>
      <c r="G215" s="68" t="str">
        <f t="shared" si="6"/>
        <v/>
      </c>
      <c r="H215" s="68" t="str">
        <f t="shared" si="7"/>
        <v/>
      </c>
      <c r="I215" s="53" t="str">
        <f>IFERROR(VLOOKUP(B215,'👥 بيانات الموظفين'!B:Q,16,0)-SUMIFS(H$5:H215,B$5:B215,B215,F$5:F215,"معتمدة"),"")</f>
        <v/>
      </c>
      <c r="J215" s="53"/>
      <c r="K215" s="53"/>
      <c r="L215" s="98"/>
    </row>
    <row r="216" spans="1:12" ht="22.15" customHeight="1" x14ac:dyDescent="0.2">
      <c r="A216" s="57" t="str">
        <f>IF(B216&lt;&gt;"",212,"")</f>
        <v/>
      </c>
      <c r="B216" s="57"/>
      <c r="C216" s="57" t="str">
        <f>IFERROR(VLOOKUP(B216,'👥 بيانات الموظفين'!B:C,2,0),"")</f>
        <v/>
      </c>
      <c r="D216" s="57"/>
      <c r="E216" s="59"/>
      <c r="F216" s="59"/>
      <c r="G216" s="69" t="str">
        <f t="shared" si="6"/>
        <v/>
      </c>
      <c r="H216" s="69" t="str">
        <f t="shared" si="7"/>
        <v/>
      </c>
      <c r="I216" s="57" t="str">
        <f>IFERROR(VLOOKUP(B216,'👥 بيانات الموظفين'!B:Q,16,0)-SUMIFS(H$5:H216,B$5:B216,B216,F$5:F216,"معتمدة"),"")</f>
        <v/>
      </c>
      <c r="J216" s="57"/>
      <c r="K216" s="57"/>
      <c r="L216" s="99"/>
    </row>
    <row r="217" spans="1:12" ht="22.15" customHeight="1" x14ac:dyDescent="0.2">
      <c r="A217" s="53" t="str">
        <f>IF(B217&lt;&gt;"",213,"")</f>
        <v/>
      </c>
      <c r="B217" s="53"/>
      <c r="C217" s="53" t="str">
        <f>IFERROR(VLOOKUP(B217,'👥 بيانات الموظفين'!B:C,2,0),"")</f>
        <v/>
      </c>
      <c r="D217" s="53"/>
      <c r="E217" s="55"/>
      <c r="F217" s="55"/>
      <c r="G217" s="68" t="str">
        <f t="shared" si="6"/>
        <v/>
      </c>
      <c r="H217" s="68" t="str">
        <f t="shared" si="7"/>
        <v/>
      </c>
      <c r="I217" s="53" t="str">
        <f>IFERROR(VLOOKUP(B217,'👥 بيانات الموظفين'!B:Q,16,0)-SUMIFS(H$5:H217,B$5:B217,B217,F$5:F217,"معتمدة"),"")</f>
        <v/>
      </c>
      <c r="J217" s="53"/>
      <c r="K217" s="53"/>
      <c r="L217" s="98"/>
    </row>
    <row r="218" spans="1:12" ht="22.15" customHeight="1" x14ac:dyDescent="0.2">
      <c r="A218" s="57" t="str">
        <f>IF(B218&lt;&gt;"",214,"")</f>
        <v/>
      </c>
      <c r="B218" s="57"/>
      <c r="C218" s="57" t="str">
        <f>IFERROR(VLOOKUP(B218,'👥 بيانات الموظفين'!B:C,2,0),"")</f>
        <v/>
      </c>
      <c r="D218" s="57"/>
      <c r="E218" s="59"/>
      <c r="F218" s="59"/>
      <c r="G218" s="69" t="str">
        <f t="shared" si="6"/>
        <v/>
      </c>
      <c r="H218" s="69" t="str">
        <f t="shared" si="7"/>
        <v/>
      </c>
      <c r="I218" s="57" t="str">
        <f>IFERROR(VLOOKUP(B218,'👥 بيانات الموظفين'!B:Q,16,0)-SUMIFS(H$5:H218,B$5:B218,B218,F$5:F218,"معتمدة"),"")</f>
        <v/>
      </c>
      <c r="J218" s="57"/>
      <c r="K218" s="57"/>
      <c r="L218" s="99"/>
    </row>
    <row r="219" spans="1:12" ht="22.15" customHeight="1" x14ac:dyDescent="0.2">
      <c r="A219" s="53" t="str">
        <f>IF(B219&lt;&gt;"",215,"")</f>
        <v/>
      </c>
      <c r="B219" s="53"/>
      <c r="C219" s="53" t="str">
        <f>IFERROR(VLOOKUP(B219,'👥 بيانات الموظفين'!B:C,2,0),"")</f>
        <v/>
      </c>
      <c r="D219" s="53"/>
      <c r="E219" s="55"/>
      <c r="F219" s="55"/>
      <c r="G219" s="68" t="str">
        <f t="shared" si="6"/>
        <v/>
      </c>
      <c r="H219" s="68" t="str">
        <f t="shared" si="7"/>
        <v/>
      </c>
      <c r="I219" s="53" t="str">
        <f>IFERROR(VLOOKUP(B219,'👥 بيانات الموظفين'!B:Q,16,0)-SUMIFS(H$5:H219,B$5:B219,B219,F$5:F219,"معتمدة"),"")</f>
        <v/>
      </c>
      <c r="J219" s="53"/>
      <c r="K219" s="53"/>
      <c r="L219" s="98"/>
    </row>
    <row r="220" spans="1:12" ht="22.15" customHeight="1" x14ac:dyDescent="0.2">
      <c r="A220" s="57" t="str">
        <f>IF(B220&lt;&gt;"",216,"")</f>
        <v/>
      </c>
      <c r="B220" s="57"/>
      <c r="C220" s="57" t="str">
        <f>IFERROR(VLOOKUP(B220,'👥 بيانات الموظفين'!B:C,2,0),"")</f>
        <v/>
      </c>
      <c r="D220" s="57"/>
      <c r="E220" s="59"/>
      <c r="F220" s="59"/>
      <c r="G220" s="69" t="str">
        <f t="shared" si="6"/>
        <v/>
      </c>
      <c r="H220" s="69" t="str">
        <f t="shared" si="7"/>
        <v/>
      </c>
      <c r="I220" s="57" t="str">
        <f>IFERROR(VLOOKUP(B220,'👥 بيانات الموظفين'!B:Q,16,0)-SUMIFS(H$5:H220,B$5:B220,B220,F$5:F220,"معتمدة"),"")</f>
        <v/>
      </c>
      <c r="J220" s="57"/>
      <c r="K220" s="57"/>
      <c r="L220" s="99"/>
    </row>
    <row r="221" spans="1:12" ht="22.15" customHeight="1" x14ac:dyDescent="0.2">
      <c r="A221" s="53" t="str">
        <f>IF(B221&lt;&gt;"",217,"")</f>
        <v/>
      </c>
      <c r="B221" s="53"/>
      <c r="C221" s="53" t="str">
        <f>IFERROR(VLOOKUP(B221,'👥 بيانات الموظفين'!B:C,2,0),"")</f>
        <v/>
      </c>
      <c r="D221" s="53"/>
      <c r="E221" s="55"/>
      <c r="F221" s="55"/>
      <c r="G221" s="68" t="str">
        <f t="shared" si="6"/>
        <v/>
      </c>
      <c r="H221" s="68" t="str">
        <f t="shared" si="7"/>
        <v/>
      </c>
      <c r="I221" s="53" t="str">
        <f>IFERROR(VLOOKUP(B221,'👥 بيانات الموظفين'!B:Q,16,0)-SUMIFS(H$5:H221,B$5:B221,B221,F$5:F221,"معتمدة"),"")</f>
        <v/>
      </c>
      <c r="J221" s="53"/>
      <c r="K221" s="53"/>
      <c r="L221" s="98"/>
    </row>
    <row r="222" spans="1:12" ht="22.15" customHeight="1" x14ac:dyDescent="0.2">
      <c r="A222" s="57" t="str">
        <f>IF(B222&lt;&gt;"",218,"")</f>
        <v/>
      </c>
      <c r="B222" s="57"/>
      <c r="C222" s="57" t="str">
        <f>IFERROR(VLOOKUP(B222,'👥 بيانات الموظفين'!B:C,2,0),"")</f>
        <v/>
      </c>
      <c r="D222" s="57"/>
      <c r="E222" s="59"/>
      <c r="F222" s="59"/>
      <c r="G222" s="69" t="str">
        <f t="shared" si="6"/>
        <v/>
      </c>
      <c r="H222" s="69" t="str">
        <f t="shared" si="7"/>
        <v/>
      </c>
      <c r="I222" s="57" t="str">
        <f>IFERROR(VLOOKUP(B222,'👥 بيانات الموظفين'!B:Q,16,0)-SUMIFS(H$5:H222,B$5:B222,B222,F$5:F222,"معتمدة"),"")</f>
        <v/>
      </c>
      <c r="J222" s="57"/>
      <c r="K222" s="57"/>
      <c r="L222" s="99"/>
    </row>
    <row r="223" spans="1:12" ht="22.15" customHeight="1" x14ac:dyDescent="0.2">
      <c r="A223" s="53" t="str">
        <f>IF(B223&lt;&gt;"",219,"")</f>
        <v/>
      </c>
      <c r="B223" s="53"/>
      <c r="C223" s="53" t="str">
        <f>IFERROR(VLOOKUP(B223,'👥 بيانات الموظفين'!B:C,2,0),"")</f>
        <v/>
      </c>
      <c r="D223" s="53"/>
      <c r="E223" s="55"/>
      <c r="F223" s="55"/>
      <c r="G223" s="68" t="str">
        <f t="shared" si="6"/>
        <v/>
      </c>
      <c r="H223" s="68" t="str">
        <f t="shared" si="7"/>
        <v/>
      </c>
      <c r="I223" s="53" t="str">
        <f>IFERROR(VLOOKUP(B223,'👥 بيانات الموظفين'!B:Q,16,0)-SUMIFS(H$5:H223,B$5:B223,B223,F$5:F223,"معتمدة"),"")</f>
        <v/>
      </c>
      <c r="J223" s="53"/>
      <c r="K223" s="53"/>
      <c r="L223" s="98"/>
    </row>
    <row r="224" spans="1:12" ht="22.15" customHeight="1" x14ac:dyDescent="0.2">
      <c r="A224" s="57" t="str">
        <f>IF(B224&lt;&gt;"",220,"")</f>
        <v/>
      </c>
      <c r="B224" s="57"/>
      <c r="C224" s="57" t="str">
        <f>IFERROR(VLOOKUP(B224,'👥 بيانات الموظفين'!B:C,2,0),"")</f>
        <v/>
      </c>
      <c r="D224" s="57"/>
      <c r="E224" s="59"/>
      <c r="F224" s="59"/>
      <c r="G224" s="69" t="str">
        <f t="shared" si="6"/>
        <v/>
      </c>
      <c r="H224" s="69" t="str">
        <f t="shared" si="7"/>
        <v/>
      </c>
      <c r="I224" s="57" t="str">
        <f>IFERROR(VLOOKUP(B224,'👥 بيانات الموظفين'!B:Q,16,0)-SUMIFS(H$5:H224,B$5:B224,B224,F$5:F224,"معتمدة"),"")</f>
        <v/>
      </c>
      <c r="J224" s="57"/>
      <c r="K224" s="57"/>
      <c r="L224" s="99"/>
    </row>
    <row r="225" spans="1:12" ht="22.15" customHeight="1" x14ac:dyDescent="0.2">
      <c r="A225" s="53" t="str">
        <f>IF(B225&lt;&gt;"",221,"")</f>
        <v/>
      </c>
      <c r="B225" s="53"/>
      <c r="C225" s="53" t="str">
        <f>IFERROR(VLOOKUP(B225,'👥 بيانات الموظفين'!B:C,2,0),"")</f>
        <v/>
      </c>
      <c r="D225" s="53"/>
      <c r="E225" s="55"/>
      <c r="F225" s="55"/>
      <c r="G225" s="68" t="str">
        <f t="shared" si="6"/>
        <v/>
      </c>
      <c r="H225" s="68" t="str">
        <f t="shared" si="7"/>
        <v/>
      </c>
      <c r="I225" s="53" t="str">
        <f>IFERROR(VLOOKUP(B225,'👥 بيانات الموظفين'!B:Q,16,0)-SUMIFS(H$5:H225,B$5:B225,B225,F$5:F225,"معتمدة"),"")</f>
        <v/>
      </c>
      <c r="J225" s="53"/>
      <c r="K225" s="53"/>
      <c r="L225" s="98"/>
    </row>
    <row r="226" spans="1:12" ht="22.15" customHeight="1" x14ac:dyDescent="0.2">
      <c r="A226" s="57" t="str">
        <f>IF(B226&lt;&gt;"",222,"")</f>
        <v/>
      </c>
      <c r="B226" s="57"/>
      <c r="C226" s="57" t="str">
        <f>IFERROR(VLOOKUP(B226,'👥 بيانات الموظفين'!B:C,2,0),"")</f>
        <v/>
      </c>
      <c r="D226" s="57"/>
      <c r="E226" s="59"/>
      <c r="F226" s="59"/>
      <c r="G226" s="69" t="str">
        <f t="shared" si="6"/>
        <v/>
      </c>
      <c r="H226" s="69" t="str">
        <f t="shared" si="7"/>
        <v/>
      </c>
      <c r="I226" s="57" t="str">
        <f>IFERROR(VLOOKUP(B226,'👥 بيانات الموظفين'!B:Q,16,0)-SUMIFS(H$5:H226,B$5:B226,B226,F$5:F226,"معتمدة"),"")</f>
        <v/>
      </c>
      <c r="J226" s="57"/>
      <c r="K226" s="57"/>
      <c r="L226" s="99"/>
    </row>
    <row r="227" spans="1:12" ht="22.15" customHeight="1" x14ac:dyDescent="0.2">
      <c r="A227" s="53" t="str">
        <f>IF(B227&lt;&gt;"",223,"")</f>
        <v/>
      </c>
      <c r="B227" s="53"/>
      <c r="C227" s="53" t="str">
        <f>IFERROR(VLOOKUP(B227,'👥 بيانات الموظفين'!B:C,2,0),"")</f>
        <v/>
      </c>
      <c r="D227" s="53"/>
      <c r="E227" s="55"/>
      <c r="F227" s="55"/>
      <c r="G227" s="68" t="str">
        <f t="shared" si="6"/>
        <v/>
      </c>
      <c r="H227" s="68" t="str">
        <f t="shared" si="7"/>
        <v/>
      </c>
      <c r="I227" s="53" t="str">
        <f>IFERROR(VLOOKUP(B227,'👥 بيانات الموظفين'!B:Q,16,0)-SUMIFS(H$5:H227,B$5:B227,B227,F$5:F227,"معتمدة"),"")</f>
        <v/>
      </c>
      <c r="J227" s="53"/>
      <c r="K227" s="53"/>
      <c r="L227" s="98"/>
    </row>
    <row r="228" spans="1:12" ht="22.15" customHeight="1" x14ac:dyDescent="0.2">
      <c r="A228" s="57" t="str">
        <f>IF(B228&lt;&gt;"",224,"")</f>
        <v/>
      </c>
      <c r="B228" s="57"/>
      <c r="C228" s="57" t="str">
        <f>IFERROR(VLOOKUP(B228,'👥 بيانات الموظفين'!B:C,2,0),"")</f>
        <v/>
      </c>
      <c r="D228" s="57"/>
      <c r="E228" s="59"/>
      <c r="F228" s="59"/>
      <c r="G228" s="69" t="str">
        <f t="shared" si="6"/>
        <v/>
      </c>
      <c r="H228" s="69" t="str">
        <f t="shared" si="7"/>
        <v/>
      </c>
      <c r="I228" s="57" t="str">
        <f>IFERROR(VLOOKUP(B228,'👥 بيانات الموظفين'!B:Q,16,0)-SUMIFS(H$5:H228,B$5:B228,B228,F$5:F228,"معتمدة"),"")</f>
        <v/>
      </c>
      <c r="J228" s="57"/>
      <c r="K228" s="57"/>
      <c r="L228" s="99"/>
    </row>
    <row r="229" spans="1:12" ht="22.15" customHeight="1" x14ac:dyDescent="0.2">
      <c r="A229" s="53" t="str">
        <f>IF(B229&lt;&gt;"",225,"")</f>
        <v/>
      </c>
      <c r="B229" s="53"/>
      <c r="C229" s="53" t="str">
        <f>IFERROR(VLOOKUP(B229,'👥 بيانات الموظفين'!B:C,2,0),"")</f>
        <v/>
      </c>
      <c r="D229" s="53"/>
      <c r="E229" s="55"/>
      <c r="F229" s="55"/>
      <c r="G229" s="68" t="str">
        <f t="shared" si="6"/>
        <v/>
      </c>
      <c r="H229" s="68" t="str">
        <f t="shared" si="7"/>
        <v/>
      </c>
      <c r="I229" s="53" t="str">
        <f>IFERROR(VLOOKUP(B229,'👥 بيانات الموظفين'!B:Q,16,0)-SUMIFS(H$5:H229,B$5:B229,B229,F$5:F229,"معتمدة"),"")</f>
        <v/>
      </c>
      <c r="J229" s="53"/>
      <c r="K229" s="53"/>
      <c r="L229" s="98"/>
    </row>
    <row r="230" spans="1:12" ht="22.15" customHeight="1" x14ac:dyDescent="0.2">
      <c r="A230" s="57" t="str">
        <f>IF(B230&lt;&gt;"",226,"")</f>
        <v/>
      </c>
      <c r="B230" s="57"/>
      <c r="C230" s="57" t="str">
        <f>IFERROR(VLOOKUP(B230,'👥 بيانات الموظفين'!B:C,2,0),"")</f>
        <v/>
      </c>
      <c r="D230" s="57"/>
      <c r="E230" s="59"/>
      <c r="F230" s="59"/>
      <c r="G230" s="69" t="str">
        <f t="shared" si="6"/>
        <v/>
      </c>
      <c r="H230" s="69" t="str">
        <f t="shared" si="7"/>
        <v/>
      </c>
      <c r="I230" s="57" t="str">
        <f>IFERROR(VLOOKUP(B230,'👥 بيانات الموظفين'!B:Q,16,0)-SUMIFS(H$5:H230,B$5:B230,B230,F$5:F230,"معتمدة"),"")</f>
        <v/>
      </c>
      <c r="J230" s="57"/>
      <c r="K230" s="57"/>
      <c r="L230" s="99"/>
    </row>
    <row r="231" spans="1:12" ht="22.15" customHeight="1" x14ac:dyDescent="0.2">
      <c r="A231" s="53" t="str">
        <f>IF(B231&lt;&gt;"",227,"")</f>
        <v/>
      </c>
      <c r="B231" s="53"/>
      <c r="C231" s="53" t="str">
        <f>IFERROR(VLOOKUP(B231,'👥 بيانات الموظفين'!B:C,2,0),"")</f>
        <v/>
      </c>
      <c r="D231" s="53"/>
      <c r="E231" s="55"/>
      <c r="F231" s="55"/>
      <c r="G231" s="68" t="str">
        <f t="shared" si="6"/>
        <v/>
      </c>
      <c r="H231" s="68" t="str">
        <f t="shared" si="7"/>
        <v/>
      </c>
      <c r="I231" s="53" t="str">
        <f>IFERROR(VLOOKUP(B231,'👥 بيانات الموظفين'!B:Q,16,0)-SUMIFS(H$5:H231,B$5:B231,B231,F$5:F231,"معتمدة"),"")</f>
        <v/>
      </c>
      <c r="J231" s="53"/>
      <c r="K231" s="53"/>
      <c r="L231" s="98"/>
    </row>
    <row r="232" spans="1:12" ht="22.15" customHeight="1" x14ac:dyDescent="0.2">
      <c r="A232" s="57" t="str">
        <f>IF(B232&lt;&gt;"",228,"")</f>
        <v/>
      </c>
      <c r="B232" s="57"/>
      <c r="C232" s="57" t="str">
        <f>IFERROR(VLOOKUP(B232,'👥 بيانات الموظفين'!B:C,2,0),"")</f>
        <v/>
      </c>
      <c r="D232" s="57"/>
      <c r="E232" s="59"/>
      <c r="F232" s="59"/>
      <c r="G232" s="69" t="str">
        <f t="shared" si="6"/>
        <v/>
      </c>
      <c r="H232" s="69" t="str">
        <f t="shared" si="7"/>
        <v/>
      </c>
      <c r="I232" s="57" t="str">
        <f>IFERROR(VLOOKUP(B232,'👥 بيانات الموظفين'!B:Q,16,0)-SUMIFS(H$5:H232,B$5:B232,B232,F$5:F232,"معتمدة"),"")</f>
        <v/>
      </c>
      <c r="J232" s="57"/>
      <c r="K232" s="57"/>
      <c r="L232" s="99"/>
    </row>
    <row r="233" spans="1:12" ht="22.15" customHeight="1" x14ac:dyDescent="0.2">
      <c r="A233" s="53" t="str">
        <f>IF(B233&lt;&gt;"",229,"")</f>
        <v/>
      </c>
      <c r="B233" s="53"/>
      <c r="C233" s="53" t="str">
        <f>IFERROR(VLOOKUP(B233,'👥 بيانات الموظفين'!B:C,2,0),"")</f>
        <v/>
      </c>
      <c r="D233" s="53"/>
      <c r="E233" s="55"/>
      <c r="F233" s="55"/>
      <c r="G233" s="68" t="str">
        <f t="shared" si="6"/>
        <v/>
      </c>
      <c r="H233" s="68" t="str">
        <f t="shared" si="7"/>
        <v/>
      </c>
      <c r="I233" s="53" t="str">
        <f>IFERROR(VLOOKUP(B233,'👥 بيانات الموظفين'!B:Q,16,0)-SUMIFS(H$5:H233,B$5:B233,B233,F$5:F233,"معتمدة"),"")</f>
        <v/>
      </c>
      <c r="J233" s="53"/>
      <c r="K233" s="53"/>
      <c r="L233" s="98"/>
    </row>
    <row r="234" spans="1:12" ht="22.15" customHeight="1" x14ac:dyDescent="0.2">
      <c r="A234" s="57" t="str">
        <f>IF(B234&lt;&gt;"",230,"")</f>
        <v/>
      </c>
      <c r="B234" s="57"/>
      <c r="C234" s="57" t="str">
        <f>IFERROR(VLOOKUP(B234,'👥 بيانات الموظفين'!B:C,2,0),"")</f>
        <v/>
      </c>
      <c r="D234" s="57"/>
      <c r="E234" s="59"/>
      <c r="F234" s="59"/>
      <c r="G234" s="69" t="str">
        <f t="shared" si="6"/>
        <v/>
      </c>
      <c r="H234" s="69" t="str">
        <f t="shared" si="7"/>
        <v/>
      </c>
      <c r="I234" s="57" t="str">
        <f>IFERROR(VLOOKUP(B234,'👥 بيانات الموظفين'!B:Q,16,0)-SUMIFS(H$5:H234,B$5:B234,B234,F$5:F234,"معتمدة"),"")</f>
        <v/>
      </c>
      <c r="J234" s="57"/>
      <c r="K234" s="57"/>
      <c r="L234" s="99"/>
    </row>
    <row r="235" spans="1:12" ht="22.15" customHeight="1" x14ac:dyDescent="0.2">
      <c r="A235" s="53" t="str">
        <f>IF(B235&lt;&gt;"",231,"")</f>
        <v/>
      </c>
      <c r="B235" s="53"/>
      <c r="C235" s="53" t="str">
        <f>IFERROR(VLOOKUP(B235,'👥 بيانات الموظفين'!B:C,2,0),"")</f>
        <v/>
      </c>
      <c r="D235" s="53"/>
      <c r="E235" s="55"/>
      <c r="F235" s="55"/>
      <c r="G235" s="68" t="str">
        <f t="shared" si="6"/>
        <v/>
      </c>
      <c r="H235" s="68" t="str">
        <f t="shared" si="7"/>
        <v/>
      </c>
      <c r="I235" s="53" t="str">
        <f>IFERROR(VLOOKUP(B235,'👥 بيانات الموظفين'!B:Q,16,0)-SUMIFS(H$5:H235,B$5:B235,B235,F$5:F235,"معتمدة"),"")</f>
        <v/>
      </c>
      <c r="J235" s="53"/>
      <c r="K235" s="53"/>
      <c r="L235" s="98"/>
    </row>
    <row r="236" spans="1:12" ht="22.15" customHeight="1" x14ac:dyDescent="0.2">
      <c r="A236" s="57" t="str">
        <f>IF(B236&lt;&gt;"",232,"")</f>
        <v/>
      </c>
      <c r="B236" s="57"/>
      <c r="C236" s="57" t="str">
        <f>IFERROR(VLOOKUP(B236,'👥 بيانات الموظفين'!B:C,2,0),"")</f>
        <v/>
      </c>
      <c r="D236" s="57"/>
      <c r="E236" s="59"/>
      <c r="F236" s="59"/>
      <c r="G236" s="69" t="str">
        <f t="shared" si="6"/>
        <v/>
      </c>
      <c r="H236" s="69" t="str">
        <f t="shared" si="7"/>
        <v/>
      </c>
      <c r="I236" s="57" t="str">
        <f>IFERROR(VLOOKUP(B236,'👥 بيانات الموظفين'!B:Q,16,0)-SUMIFS(H$5:H236,B$5:B236,B236,F$5:F236,"معتمدة"),"")</f>
        <v/>
      </c>
      <c r="J236" s="57"/>
      <c r="K236" s="57"/>
      <c r="L236" s="99"/>
    </row>
    <row r="237" spans="1:12" ht="22.15" customHeight="1" x14ac:dyDescent="0.2">
      <c r="A237" s="53" t="str">
        <f>IF(B237&lt;&gt;"",233,"")</f>
        <v/>
      </c>
      <c r="B237" s="53"/>
      <c r="C237" s="53" t="str">
        <f>IFERROR(VLOOKUP(B237,'👥 بيانات الموظفين'!B:C,2,0),"")</f>
        <v/>
      </c>
      <c r="D237" s="53"/>
      <c r="E237" s="55"/>
      <c r="F237" s="55"/>
      <c r="G237" s="68" t="str">
        <f t="shared" si="6"/>
        <v/>
      </c>
      <c r="H237" s="68" t="str">
        <f t="shared" si="7"/>
        <v/>
      </c>
      <c r="I237" s="53" t="str">
        <f>IFERROR(VLOOKUP(B237,'👥 بيانات الموظفين'!B:Q,16,0)-SUMIFS(H$5:H237,B$5:B237,B237,F$5:F237,"معتمدة"),"")</f>
        <v/>
      </c>
      <c r="J237" s="53"/>
      <c r="K237" s="53"/>
      <c r="L237" s="98"/>
    </row>
    <row r="238" spans="1:12" ht="22.15" customHeight="1" x14ac:dyDescent="0.2">
      <c r="A238" s="57" t="str">
        <f>IF(B238&lt;&gt;"",234,"")</f>
        <v/>
      </c>
      <c r="B238" s="57"/>
      <c r="C238" s="57" t="str">
        <f>IFERROR(VLOOKUP(B238,'👥 بيانات الموظفين'!B:C,2,0),"")</f>
        <v/>
      </c>
      <c r="D238" s="57"/>
      <c r="E238" s="59"/>
      <c r="F238" s="59"/>
      <c r="G238" s="69" t="str">
        <f t="shared" si="6"/>
        <v/>
      </c>
      <c r="H238" s="69" t="str">
        <f t="shared" si="7"/>
        <v/>
      </c>
      <c r="I238" s="57" t="str">
        <f>IFERROR(VLOOKUP(B238,'👥 بيانات الموظفين'!B:Q,16,0)-SUMIFS(H$5:H238,B$5:B238,B238,F$5:F238,"معتمدة"),"")</f>
        <v/>
      </c>
      <c r="J238" s="57"/>
      <c r="K238" s="57"/>
      <c r="L238" s="99"/>
    </row>
    <row r="239" spans="1:12" ht="22.15" customHeight="1" x14ac:dyDescent="0.2">
      <c r="A239" s="53" t="str">
        <f>IF(B239&lt;&gt;"",235,"")</f>
        <v/>
      </c>
      <c r="B239" s="53"/>
      <c r="C239" s="53" t="str">
        <f>IFERROR(VLOOKUP(B239,'👥 بيانات الموظفين'!B:C,2,0),"")</f>
        <v/>
      </c>
      <c r="D239" s="53"/>
      <c r="E239" s="55"/>
      <c r="F239" s="55"/>
      <c r="G239" s="68" t="str">
        <f t="shared" si="6"/>
        <v/>
      </c>
      <c r="H239" s="68" t="str">
        <f t="shared" si="7"/>
        <v/>
      </c>
      <c r="I239" s="53" t="str">
        <f>IFERROR(VLOOKUP(B239,'👥 بيانات الموظفين'!B:Q,16,0)-SUMIFS(H$5:H239,B$5:B239,B239,F$5:F239,"معتمدة"),"")</f>
        <v/>
      </c>
      <c r="J239" s="53"/>
      <c r="K239" s="53"/>
      <c r="L239" s="98"/>
    </row>
    <row r="240" spans="1:12" ht="22.15" customHeight="1" x14ac:dyDescent="0.2">
      <c r="A240" s="57" t="str">
        <f>IF(B240&lt;&gt;"",236,"")</f>
        <v/>
      </c>
      <c r="B240" s="57"/>
      <c r="C240" s="57" t="str">
        <f>IFERROR(VLOOKUP(B240,'👥 بيانات الموظفين'!B:C,2,0),"")</f>
        <v/>
      </c>
      <c r="D240" s="57"/>
      <c r="E240" s="59"/>
      <c r="F240" s="59"/>
      <c r="G240" s="69" t="str">
        <f t="shared" si="6"/>
        <v/>
      </c>
      <c r="H240" s="69" t="str">
        <f t="shared" si="7"/>
        <v/>
      </c>
      <c r="I240" s="57" t="str">
        <f>IFERROR(VLOOKUP(B240,'👥 بيانات الموظفين'!B:Q,16,0)-SUMIFS(H$5:H240,B$5:B240,B240,F$5:F240,"معتمدة"),"")</f>
        <v/>
      </c>
      <c r="J240" s="57"/>
      <c r="K240" s="57"/>
      <c r="L240" s="99"/>
    </row>
    <row r="241" spans="1:12" ht="22.15" customHeight="1" x14ac:dyDescent="0.2">
      <c r="A241" s="53" t="str">
        <f>IF(B241&lt;&gt;"",237,"")</f>
        <v/>
      </c>
      <c r="B241" s="53"/>
      <c r="C241" s="53" t="str">
        <f>IFERROR(VLOOKUP(B241,'👥 بيانات الموظفين'!B:C,2,0),"")</f>
        <v/>
      </c>
      <c r="D241" s="53"/>
      <c r="E241" s="55"/>
      <c r="F241" s="55"/>
      <c r="G241" s="68" t="str">
        <f t="shared" si="6"/>
        <v/>
      </c>
      <c r="H241" s="68" t="str">
        <f t="shared" si="7"/>
        <v/>
      </c>
      <c r="I241" s="53" t="str">
        <f>IFERROR(VLOOKUP(B241,'👥 بيانات الموظفين'!B:Q,16,0)-SUMIFS(H$5:H241,B$5:B241,B241,F$5:F241,"معتمدة"),"")</f>
        <v/>
      </c>
      <c r="J241" s="53"/>
      <c r="K241" s="53"/>
      <c r="L241" s="98"/>
    </row>
    <row r="242" spans="1:12" ht="22.15" customHeight="1" x14ac:dyDescent="0.2">
      <c r="A242" s="57" t="str">
        <f>IF(B242&lt;&gt;"",238,"")</f>
        <v/>
      </c>
      <c r="B242" s="57"/>
      <c r="C242" s="57" t="str">
        <f>IFERROR(VLOOKUP(B242,'👥 بيانات الموظفين'!B:C,2,0),"")</f>
        <v/>
      </c>
      <c r="D242" s="57"/>
      <c r="E242" s="59"/>
      <c r="F242" s="59"/>
      <c r="G242" s="69" t="str">
        <f t="shared" si="6"/>
        <v/>
      </c>
      <c r="H242" s="69" t="str">
        <f t="shared" si="7"/>
        <v/>
      </c>
      <c r="I242" s="57" t="str">
        <f>IFERROR(VLOOKUP(B242,'👥 بيانات الموظفين'!B:Q,16,0)-SUMIFS(H$5:H242,B$5:B242,B242,F$5:F242,"معتمدة"),"")</f>
        <v/>
      </c>
      <c r="J242" s="57"/>
      <c r="K242" s="57"/>
      <c r="L242" s="99"/>
    </row>
    <row r="243" spans="1:12" ht="22.15" customHeight="1" x14ac:dyDescent="0.2">
      <c r="A243" s="53" t="str">
        <f>IF(B243&lt;&gt;"",239,"")</f>
        <v/>
      </c>
      <c r="B243" s="53"/>
      <c r="C243" s="53" t="str">
        <f>IFERROR(VLOOKUP(B243,'👥 بيانات الموظفين'!B:C,2,0),"")</f>
        <v/>
      </c>
      <c r="D243" s="53"/>
      <c r="E243" s="55"/>
      <c r="F243" s="55"/>
      <c r="G243" s="68" t="str">
        <f t="shared" si="6"/>
        <v/>
      </c>
      <c r="H243" s="68" t="str">
        <f t="shared" si="7"/>
        <v/>
      </c>
      <c r="I243" s="53" t="str">
        <f>IFERROR(VLOOKUP(B243,'👥 بيانات الموظفين'!B:Q,16,0)-SUMIFS(H$5:H243,B$5:B243,B243,F$5:F243,"معتمدة"),"")</f>
        <v/>
      </c>
      <c r="J243" s="53"/>
      <c r="K243" s="53"/>
      <c r="L243" s="98"/>
    </row>
    <row r="244" spans="1:12" ht="22.15" customHeight="1" x14ac:dyDescent="0.2">
      <c r="A244" s="57" t="str">
        <f>IF(B244&lt;&gt;"",240,"")</f>
        <v/>
      </c>
      <c r="B244" s="57"/>
      <c r="C244" s="57" t="str">
        <f>IFERROR(VLOOKUP(B244,'👥 بيانات الموظفين'!B:C,2,0),"")</f>
        <v/>
      </c>
      <c r="D244" s="57"/>
      <c r="E244" s="59"/>
      <c r="F244" s="59"/>
      <c r="G244" s="69" t="str">
        <f t="shared" si="6"/>
        <v/>
      </c>
      <c r="H244" s="69" t="str">
        <f t="shared" si="7"/>
        <v/>
      </c>
      <c r="I244" s="57" t="str">
        <f>IFERROR(VLOOKUP(B244,'👥 بيانات الموظفين'!B:Q,16,0)-SUMIFS(H$5:H244,B$5:B244,B244,F$5:F244,"معتمدة"),"")</f>
        <v/>
      </c>
      <c r="J244" s="57"/>
      <c r="K244" s="57"/>
      <c r="L244" s="99"/>
    </row>
    <row r="245" spans="1:12" ht="22.15" customHeight="1" x14ac:dyDescent="0.2">
      <c r="A245" s="53" t="str">
        <f>IF(B245&lt;&gt;"",241,"")</f>
        <v/>
      </c>
      <c r="B245" s="53"/>
      <c r="C245" s="53" t="str">
        <f>IFERROR(VLOOKUP(B245,'👥 بيانات الموظفين'!B:C,2,0),"")</f>
        <v/>
      </c>
      <c r="D245" s="53"/>
      <c r="E245" s="55"/>
      <c r="F245" s="55"/>
      <c r="G245" s="68" t="str">
        <f t="shared" si="6"/>
        <v/>
      </c>
      <c r="H245" s="68" t="str">
        <f t="shared" si="7"/>
        <v/>
      </c>
      <c r="I245" s="53" t="str">
        <f>IFERROR(VLOOKUP(B245,'👥 بيانات الموظفين'!B:Q,16,0)-SUMIFS(H$5:H245,B$5:B245,B245,F$5:F245,"معتمدة"),"")</f>
        <v/>
      </c>
      <c r="J245" s="53"/>
      <c r="K245" s="53"/>
      <c r="L245" s="98"/>
    </row>
    <row r="246" spans="1:12" ht="22.15" customHeight="1" x14ac:dyDescent="0.2">
      <c r="A246" s="57" t="str">
        <f>IF(B246&lt;&gt;"",242,"")</f>
        <v/>
      </c>
      <c r="B246" s="57"/>
      <c r="C246" s="57" t="str">
        <f>IFERROR(VLOOKUP(B246,'👥 بيانات الموظفين'!B:C,2,0),"")</f>
        <v/>
      </c>
      <c r="D246" s="57"/>
      <c r="E246" s="59"/>
      <c r="F246" s="59"/>
      <c r="G246" s="69" t="str">
        <f t="shared" si="6"/>
        <v/>
      </c>
      <c r="H246" s="69" t="str">
        <f t="shared" si="7"/>
        <v/>
      </c>
      <c r="I246" s="57" t="str">
        <f>IFERROR(VLOOKUP(B246,'👥 بيانات الموظفين'!B:Q,16,0)-SUMIFS(H$5:H246,B$5:B246,B246,F$5:F246,"معتمدة"),"")</f>
        <v/>
      </c>
      <c r="J246" s="57"/>
      <c r="K246" s="57"/>
      <c r="L246" s="99"/>
    </row>
    <row r="247" spans="1:12" ht="22.15" customHeight="1" x14ac:dyDescent="0.2">
      <c r="A247" s="53" t="str">
        <f>IF(B247&lt;&gt;"",243,"")</f>
        <v/>
      </c>
      <c r="B247" s="53"/>
      <c r="C247" s="53" t="str">
        <f>IFERROR(VLOOKUP(B247,'👥 بيانات الموظفين'!B:C,2,0),"")</f>
        <v/>
      </c>
      <c r="D247" s="53"/>
      <c r="E247" s="55"/>
      <c r="F247" s="55"/>
      <c r="G247" s="68" t="str">
        <f t="shared" si="6"/>
        <v/>
      </c>
      <c r="H247" s="68" t="str">
        <f t="shared" si="7"/>
        <v/>
      </c>
      <c r="I247" s="53" t="str">
        <f>IFERROR(VLOOKUP(B247,'👥 بيانات الموظفين'!B:Q,16,0)-SUMIFS(H$5:H247,B$5:B247,B247,F$5:F247,"معتمدة"),"")</f>
        <v/>
      </c>
      <c r="J247" s="53"/>
      <c r="K247" s="53"/>
      <c r="L247" s="98"/>
    </row>
    <row r="248" spans="1:12" ht="22.15" customHeight="1" x14ac:dyDescent="0.2">
      <c r="A248" s="57" t="str">
        <f>IF(B248&lt;&gt;"",244,"")</f>
        <v/>
      </c>
      <c r="B248" s="57"/>
      <c r="C248" s="57" t="str">
        <f>IFERROR(VLOOKUP(B248,'👥 بيانات الموظفين'!B:C,2,0),"")</f>
        <v/>
      </c>
      <c r="D248" s="57"/>
      <c r="E248" s="59"/>
      <c r="F248" s="59"/>
      <c r="G248" s="69" t="str">
        <f t="shared" si="6"/>
        <v/>
      </c>
      <c r="H248" s="69" t="str">
        <f t="shared" si="7"/>
        <v/>
      </c>
      <c r="I248" s="57" t="str">
        <f>IFERROR(VLOOKUP(B248,'👥 بيانات الموظفين'!B:Q,16,0)-SUMIFS(H$5:H248,B$5:B248,B248,F$5:F248,"معتمدة"),"")</f>
        <v/>
      </c>
      <c r="J248" s="57"/>
      <c r="K248" s="57"/>
      <c r="L248" s="99"/>
    </row>
    <row r="249" spans="1:12" ht="22.15" customHeight="1" x14ac:dyDescent="0.2">
      <c r="A249" s="53" t="str">
        <f>IF(B249&lt;&gt;"",245,"")</f>
        <v/>
      </c>
      <c r="B249" s="53"/>
      <c r="C249" s="53" t="str">
        <f>IFERROR(VLOOKUP(B249,'👥 بيانات الموظفين'!B:C,2,0),"")</f>
        <v/>
      </c>
      <c r="D249" s="53"/>
      <c r="E249" s="55"/>
      <c r="F249" s="55"/>
      <c r="G249" s="68" t="str">
        <f t="shared" si="6"/>
        <v/>
      </c>
      <c r="H249" s="68" t="str">
        <f t="shared" si="7"/>
        <v/>
      </c>
      <c r="I249" s="53" t="str">
        <f>IFERROR(VLOOKUP(B249,'👥 بيانات الموظفين'!B:Q,16,0)-SUMIFS(H$5:H249,B$5:B249,B249,F$5:F249,"معتمدة"),"")</f>
        <v/>
      </c>
      <c r="J249" s="53"/>
      <c r="K249" s="53"/>
      <c r="L249" s="98"/>
    </row>
    <row r="250" spans="1:12" ht="22.15" customHeight="1" x14ac:dyDescent="0.2">
      <c r="A250" s="57" t="str">
        <f>IF(B250&lt;&gt;"",246,"")</f>
        <v/>
      </c>
      <c r="B250" s="57"/>
      <c r="C250" s="57" t="str">
        <f>IFERROR(VLOOKUP(B250,'👥 بيانات الموظفين'!B:C,2,0),"")</f>
        <v/>
      </c>
      <c r="D250" s="57"/>
      <c r="E250" s="59"/>
      <c r="F250" s="59"/>
      <c r="G250" s="69" t="str">
        <f t="shared" si="6"/>
        <v/>
      </c>
      <c r="H250" s="69" t="str">
        <f t="shared" si="7"/>
        <v/>
      </c>
      <c r="I250" s="57" t="str">
        <f>IFERROR(VLOOKUP(B250,'👥 بيانات الموظفين'!B:Q,16,0)-SUMIFS(H$5:H250,B$5:B250,B250,F$5:F250,"معتمدة"),"")</f>
        <v/>
      </c>
      <c r="J250" s="57"/>
      <c r="K250" s="57"/>
      <c r="L250" s="99"/>
    </row>
    <row r="251" spans="1:12" ht="22.15" customHeight="1" x14ac:dyDescent="0.2">
      <c r="A251" s="53" t="str">
        <f>IF(B251&lt;&gt;"",247,"")</f>
        <v/>
      </c>
      <c r="B251" s="53"/>
      <c r="C251" s="53" t="str">
        <f>IFERROR(VLOOKUP(B251,'👥 بيانات الموظفين'!B:C,2,0),"")</f>
        <v/>
      </c>
      <c r="D251" s="53"/>
      <c r="E251" s="55"/>
      <c r="F251" s="55"/>
      <c r="G251" s="68" t="str">
        <f t="shared" si="6"/>
        <v/>
      </c>
      <c r="H251" s="68" t="str">
        <f t="shared" si="7"/>
        <v/>
      </c>
      <c r="I251" s="53" t="str">
        <f>IFERROR(VLOOKUP(B251,'👥 بيانات الموظفين'!B:Q,16,0)-SUMIFS(H$5:H251,B$5:B251,B251,F$5:F251,"معتمدة"),"")</f>
        <v/>
      </c>
      <c r="J251" s="53"/>
      <c r="K251" s="53"/>
      <c r="L251" s="98"/>
    </row>
    <row r="252" spans="1:12" ht="22.15" customHeight="1" x14ac:dyDescent="0.2">
      <c r="A252" s="57" t="str">
        <f>IF(B252&lt;&gt;"",248,"")</f>
        <v/>
      </c>
      <c r="B252" s="57"/>
      <c r="C252" s="57" t="str">
        <f>IFERROR(VLOOKUP(B252,'👥 بيانات الموظفين'!B:C,2,0),"")</f>
        <v/>
      </c>
      <c r="D252" s="57"/>
      <c r="E252" s="59"/>
      <c r="F252" s="59"/>
      <c r="G252" s="69" t="str">
        <f t="shared" si="6"/>
        <v/>
      </c>
      <c r="H252" s="69" t="str">
        <f t="shared" si="7"/>
        <v/>
      </c>
      <c r="I252" s="57" t="str">
        <f>IFERROR(VLOOKUP(B252,'👥 بيانات الموظفين'!B:Q,16,0)-SUMIFS(H$5:H252,B$5:B252,B252,F$5:F252,"معتمدة"),"")</f>
        <v/>
      </c>
      <c r="J252" s="57"/>
      <c r="K252" s="57"/>
      <c r="L252" s="99"/>
    </row>
    <row r="253" spans="1:12" ht="22.15" customHeight="1" x14ac:dyDescent="0.2">
      <c r="A253" s="53" t="str">
        <f>IF(B253&lt;&gt;"",249,"")</f>
        <v/>
      </c>
      <c r="B253" s="53"/>
      <c r="C253" s="53" t="str">
        <f>IFERROR(VLOOKUP(B253,'👥 بيانات الموظفين'!B:C,2,0),"")</f>
        <v/>
      </c>
      <c r="D253" s="53"/>
      <c r="E253" s="55"/>
      <c r="F253" s="55"/>
      <c r="G253" s="68" t="str">
        <f t="shared" si="6"/>
        <v/>
      </c>
      <c r="H253" s="68" t="str">
        <f t="shared" si="7"/>
        <v/>
      </c>
      <c r="I253" s="53" t="str">
        <f>IFERROR(VLOOKUP(B253,'👥 بيانات الموظفين'!B:Q,16,0)-SUMIFS(H$5:H253,B$5:B253,B253,F$5:F253,"معتمدة"),"")</f>
        <v/>
      </c>
      <c r="J253" s="53"/>
      <c r="K253" s="53"/>
      <c r="L253" s="98"/>
    </row>
    <row r="254" spans="1:12" ht="22.15" customHeight="1" x14ac:dyDescent="0.2">
      <c r="A254" s="57" t="str">
        <f>IF(B254&lt;&gt;"",250,"")</f>
        <v/>
      </c>
      <c r="B254" s="57"/>
      <c r="C254" s="57" t="str">
        <f>IFERROR(VLOOKUP(B254,'👥 بيانات الموظفين'!B:C,2,0),"")</f>
        <v/>
      </c>
      <c r="D254" s="57"/>
      <c r="E254" s="59"/>
      <c r="F254" s="59"/>
      <c r="G254" s="69" t="str">
        <f t="shared" si="6"/>
        <v/>
      </c>
      <c r="H254" s="69" t="str">
        <f t="shared" si="7"/>
        <v/>
      </c>
      <c r="I254" s="57" t="str">
        <f>IFERROR(VLOOKUP(B254,'👥 بيانات الموظفين'!B:Q,16,0)-SUMIFS(H$5:H254,B$5:B254,B254,F$5:F254,"معتمدة"),"")</f>
        <v/>
      </c>
      <c r="J254" s="57"/>
      <c r="K254" s="57"/>
      <c r="L254" s="99"/>
    </row>
    <row r="255" spans="1:12" ht="22.15" customHeight="1" x14ac:dyDescent="0.2">
      <c r="A255" s="53" t="str">
        <f>IF(B255&lt;&gt;"",251,"")</f>
        <v/>
      </c>
      <c r="B255" s="53"/>
      <c r="C255" s="53" t="str">
        <f>IFERROR(VLOOKUP(B255,'👥 بيانات الموظفين'!B:C,2,0),"")</f>
        <v/>
      </c>
      <c r="D255" s="53"/>
      <c r="E255" s="55"/>
      <c r="F255" s="55"/>
      <c r="G255" s="68" t="str">
        <f t="shared" si="6"/>
        <v/>
      </c>
      <c r="H255" s="68" t="str">
        <f t="shared" si="7"/>
        <v/>
      </c>
      <c r="I255" s="53" t="str">
        <f>IFERROR(VLOOKUP(B255,'👥 بيانات الموظفين'!B:Q,16,0)-SUMIFS(H$5:H255,B$5:B255,B255,F$5:F255,"معتمدة"),"")</f>
        <v/>
      </c>
      <c r="J255" s="53"/>
      <c r="K255" s="53"/>
      <c r="L255" s="98"/>
    </row>
    <row r="256" spans="1:12" ht="22.15" customHeight="1" x14ac:dyDescent="0.2">
      <c r="A256" s="57" t="str">
        <f>IF(B256&lt;&gt;"",252,"")</f>
        <v/>
      </c>
      <c r="B256" s="57"/>
      <c r="C256" s="57" t="str">
        <f>IFERROR(VLOOKUP(B256,'👥 بيانات الموظفين'!B:C,2,0),"")</f>
        <v/>
      </c>
      <c r="D256" s="57"/>
      <c r="E256" s="59"/>
      <c r="F256" s="59"/>
      <c r="G256" s="69" t="str">
        <f t="shared" si="6"/>
        <v/>
      </c>
      <c r="H256" s="69" t="str">
        <f t="shared" si="7"/>
        <v/>
      </c>
      <c r="I256" s="57" t="str">
        <f>IFERROR(VLOOKUP(B256,'👥 بيانات الموظفين'!B:Q,16,0)-SUMIFS(H$5:H256,B$5:B256,B256,F$5:F256,"معتمدة"),"")</f>
        <v/>
      </c>
      <c r="J256" s="57"/>
      <c r="K256" s="57"/>
      <c r="L256" s="99"/>
    </row>
    <row r="257" spans="1:12" ht="22.15" customHeight="1" x14ac:dyDescent="0.2">
      <c r="A257" s="53" t="str">
        <f>IF(B257&lt;&gt;"",253,"")</f>
        <v/>
      </c>
      <c r="B257" s="53"/>
      <c r="C257" s="53" t="str">
        <f>IFERROR(VLOOKUP(B257,'👥 بيانات الموظفين'!B:C,2,0),"")</f>
        <v/>
      </c>
      <c r="D257" s="53"/>
      <c r="E257" s="55"/>
      <c r="F257" s="55"/>
      <c r="G257" s="68" t="str">
        <f t="shared" si="6"/>
        <v/>
      </c>
      <c r="H257" s="68" t="str">
        <f t="shared" si="7"/>
        <v/>
      </c>
      <c r="I257" s="53" t="str">
        <f>IFERROR(VLOOKUP(B257,'👥 بيانات الموظفين'!B:Q,16,0)-SUMIFS(H$5:H257,B$5:B257,B257,F$5:F257,"معتمدة"),"")</f>
        <v/>
      </c>
      <c r="J257" s="53"/>
      <c r="K257" s="53"/>
      <c r="L257" s="98"/>
    </row>
    <row r="258" spans="1:12" ht="22.15" customHeight="1" x14ac:dyDescent="0.2">
      <c r="A258" s="57" t="str">
        <f>IF(B258&lt;&gt;"",254,"")</f>
        <v/>
      </c>
      <c r="B258" s="57"/>
      <c r="C258" s="57" t="str">
        <f>IFERROR(VLOOKUP(B258,'👥 بيانات الموظفين'!B:C,2,0),"")</f>
        <v/>
      </c>
      <c r="D258" s="57"/>
      <c r="E258" s="59"/>
      <c r="F258" s="59"/>
      <c r="G258" s="69" t="str">
        <f t="shared" si="6"/>
        <v/>
      </c>
      <c r="H258" s="69" t="str">
        <f t="shared" si="7"/>
        <v/>
      </c>
      <c r="I258" s="57" t="str">
        <f>IFERROR(VLOOKUP(B258,'👥 بيانات الموظفين'!B:Q,16,0)-SUMIFS(H$5:H258,B$5:B258,B258,F$5:F258,"معتمدة"),"")</f>
        <v/>
      </c>
      <c r="J258" s="57"/>
      <c r="K258" s="57"/>
      <c r="L258" s="99"/>
    </row>
    <row r="259" spans="1:12" ht="22.15" customHeight="1" x14ac:dyDescent="0.2">
      <c r="A259" s="53" t="str">
        <f>IF(B259&lt;&gt;"",255,"")</f>
        <v/>
      </c>
      <c r="B259" s="53"/>
      <c r="C259" s="53" t="str">
        <f>IFERROR(VLOOKUP(B259,'👥 بيانات الموظفين'!B:C,2,0),"")</f>
        <v/>
      </c>
      <c r="D259" s="53"/>
      <c r="E259" s="55"/>
      <c r="F259" s="55"/>
      <c r="G259" s="68" t="str">
        <f t="shared" si="6"/>
        <v/>
      </c>
      <c r="H259" s="68" t="str">
        <f t="shared" si="7"/>
        <v/>
      </c>
      <c r="I259" s="53" t="str">
        <f>IFERROR(VLOOKUP(B259,'👥 بيانات الموظفين'!B:Q,16,0)-SUMIFS(H$5:H259,B$5:B259,B259,F$5:F259,"معتمدة"),"")</f>
        <v/>
      </c>
      <c r="J259" s="53"/>
      <c r="K259" s="53"/>
      <c r="L259" s="98"/>
    </row>
    <row r="260" spans="1:12" ht="22.15" customHeight="1" x14ac:dyDescent="0.2">
      <c r="A260" s="57" t="str">
        <f>IF(B260&lt;&gt;"",256,"")</f>
        <v/>
      </c>
      <c r="B260" s="57"/>
      <c r="C260" s="57" t="str">
        <f>IFERROR(VLOOKUP(B260,'👥 بيانات الموظفين'!B:C,2,0),"")</f>
        <v/>
      </c>
      <c r="D260" s="57"/>
      <c r="E260" s="59"/>
      <c r="F260" s="59"/>
      <c r="G260" s="69" t="str">
        <f t="shared" si="6"/>
        <v/>
      </c>
      <c r="H260" s="69" t="str">
        <f t="shared" si="7"/>
        <v/>
      </c>
      <c r="I260" s="57" t="str">
        <f>IFERROR(VLOOKUP(B260,'👥 بيانات الموظفين'!B:Q,16,0)-SUMIFS(H$5:H260,B$5:B260,B260,F$5:F260,"معتمدة"),"")</f>
        <v/>
      </c>
      <c r="J260" s="57"/>
      <c r="K260" s="57"/>
      <c r="L260" s="99"/>
    </row>
    <row r="261" spans="1:12" ht="22.15" customHeight="1" x14ac:dyDescent="0.2">
      <c r="A261" s="53" t="str">
        <f>IF(B261&lt;&gt;"",257,"")</f>
        <v/>
      </c>
      <c r="B261" s="53"/>
      <c r="C261" s="53" t="str">
        <f>IFERROR(VLOOKUP(B261,'👥 بيانات الموظفين'!B:C,2,0),"")</f>
        <v/>
      </c>
      <c r="D261" s="53"/>
      <c r="E261" s="55"/>
      <c r="F261" s="55"/>
      <c r="G261" s="68" t="str">
        <f t="shared" ref="G261:G324" si="8">IFERROR(IF(AND(E261&lt;&gt;"",F261&lt;&gt;""),F261-E261+1,""),"")</f>
        <v/>
      </c>
      <c r="H261" s="68" t="str">
        <f t="shared" ref="H261:H324" si="9">IF(AND(E261&lt;&gt;"",G261&lt;&gt;""),NETWORKDAYS(E261,G261),"")</f>
        <v/>
      </c>
      <c r="I261" s="53" t="str">
        <f>IFERROR(VLOOKUP(B261,'👥 بيانات الموظفين'!B:Q,16,0)-SUMIFS(H$5:H261,B$5:B261,B261,F$5:F261,"معتمدة"),"")</f>
        <v/>
      </c>
      <c r="J261" s="53"/>
      <c r="K261" s="53"/>
      <c r="L261" s="98"/>
    </row>
    <row r="262" spans="1:12" ht="22.15" customHeight="1" x14ac:dyDescent="0.2">
      <c r="A262" s="57" t="str">
        <f>IF(B262&lt;&gt;"",258,"")</f>
        <v/>
      </c>
      <c r="B262" s="57"/>
      <c r="C262" s="57" t="str">
        <f>IFERROR(VLOOKUP(B262,'👥 بيانات الموظفين'!B:C,2,0),"")</f>
        <v/>
      </c>
      <c r="D262" s="57"/>
      <c r="E262" s="59"/>
      <c r="F262" s="59"/>
      <c r="G262" s="69" t="str">
        <f t="shared" si="8"/>
        <v/>
      </c>
      <c r="H262" s="69" t="str">
        <f t="shared" si="9"/>
        <v/>
      </c>
      <c r="I262" s="57" t="str">
        <f>IFERROR(VLOOKUP(B262,'👥 بيانات الموظفين'!B:Q,16,0)-SUMIFS(H$5:H262,B$5:B262,B262,F$5:F262,"معتمدة"),"")</f>
        <v/>
      </c>
      <c r="J262" s="57"/>
      <c r="K262" s="57"/>
      <c r="L262" s="99"/>
    </row>
    <row r="263" spans="1:12" ht="22.15" customHeight="1" x14ac:dyDescent="0.2">
      <c r="A263" s="53" t="str">
        <f>IF(B263&lt;&gt;"",259,"")</f>
        <v/>
      </c>
      <c r="B263" s="53"/>
      <c r="C263" s="53" t="str">
        <f>IFERROR(VLOOKUP(B263,'👥 بيانات الموظفين'!B:C,2,0),"")</f>
        <v/>
      </c>
      <c r="D263" s="53"/>
      <c r="E263" s="55"/>
      <c r="F263" s="55"/>
      <c r="G263" s="68" t="str">
        <f t="shared" si="8"/>
        <v/>
      </c>
      <c r="H263" s="68" t="str">
        <f t="shared" si="9"/>
        <v/>
      </c>
      <c r="I263" s="53" t="str">
        <f>IFERROR(VLOOKUP(B263,'👥 بيانات الموظفين'!B:Q,16,0)-SUMIFS(H$5:H263,B$5:B263,B263,F$5:F263,"معتمدة"),"")</f>
        <v/>
      </c>
      <c r="J263" s="53"/>
      <c r="K263" s="53"/>
      <c r="L263" s="98"/>
    </row>
    <row r="264" spans="1:12" ht="22.15" customHeight="1" x14ac:dyDescent="0.2">
      <c r="A264" s="57" t="str">
        <f>IF(B264&lt;&gt;"",260,"")</f>
        <v/>
      </c>
      <c r="B264" s="57"/>
      <c r="C264" s="57" t="str">
        <f>IFERROR(VLOOKUP(B264,'👥 بيانات الموظفين'!B:C,2,0),"")</f>
        <v/>
      </c>
      <c r="D264" s="57"/>
      <c r="E264" s="59"/>
      <c r="F264" s="59"/>
      <c r="G264" s="69" t="str">
        <f t="shared" si="8"/>
        <v/>
      </c>
      <c r="H264" s="69" t="str">
        <f t="shared" si="9"/>
        <v/>
      </c>
      <c r="I264" s="57" t="str">
        <f>IFERROR(VLOOKUP(B264,'👥 بيانات الموظفين'!B:Q,16,0)-SUMIFS(H$5:H264,B$5:B264,B264,F$5:F264,"معتمدة"),"")</f>
        <v/>
      </c>
      <c r="J264" s="57"/>
      <c r="K264" s="57"/>
      <c r="L264" s="99"/>
    </row>
    <row r="265" spans="1:12" ht="22.15" customHeight="1" x14ac:dyDescent="0.2">
      <c r="A265" s="53" t="str">
        <f>IF(B265&lt;&gt;"",261,"")</f>
        <v/>
      </c>
      <c r="B265" s="53"/>
      <c r="C265" s="53" t="str">
        <f>IFERROR(VLOOKUP(B265,'👥 بيانات الموظفين'!B:C,2,0),"")</f>
        <v/>
      </c>
      <c r="D265" s="53"/>
      <c r="E265" s="55"/>
      <c r="F265" s="55"/>
      <c r="G265" s="68" t="str">
        <f t="shared" si="8"/>
        <v/>
      </c>
      <c r="H265" s="68" t="str">
        <f t="shared" si="9"/>
        <v/>
      </c>
      <c r="I265" s="53" t="str">
        <f>IFERROR(VLOOKUP(B265,'👥 بيانات الموظفين'!B:Q,16,0)-SUMIFS(H$5:H265,B$5:B265,B265,F$5:F265,"معتمدة"),"")</f>
        <v/>
      </c>
      <c r="J265" s="53"/>
      <c r="K265" s="53"/>
      <c r="L265" s="98"/>
    </row>
    <row r="266" spans="1:12" ht="22.15" customHeight="1" x14ac:dyDescent="0.2">
      <c r="A266" s="57" t="str">
        <f>IF(B266&lt;&gt;"",262,"")</f>
        <v/>
      </c>
      <c r="B266" s="57"/>
      <c r="C266" s="57" t="str">
        <f>IFERROR(VLOOKUP(B266,'👥 بيانات الموظفين'!B:C,2,0),"")</f>
        <v/>
      </c>
      <c r="D266" s="57"/>
      <c r="E266" s="59"/>
      <c r="F266" s="59"/>
      <c r="G266" s="69" t="str">
        <f t="shared" si="8"/>
        <v/>
      </c>
      <c r="H266" s="69" t="str">
        <f t="shared" si="9"/>
        <v/>
      </c>
      <c r="I266" s="57" t="str">
        <f>IFERROR(VLOOKUP(B266,'👥 بيانات الموظفين'!B:Q,16,0)-SUMIFS(H$5:H266,B$5:B266,B266,F$5:F266,"معتمدة"),"")</f>
        <v/>
      </c>
      <c r="J266" s="57"/>
      <c r="K266" s="57"/>
      <c r="L266" s="99"/>
    </row>
    <row r="267" spans="1:12" ht="22.15" customHeight="1" x14ac:dyDescent="0.2">
      <c r="A267" s="53" t="str">
        <f>IF(B267&lt;&gt;"",263,"")</f>
        <v/>
      </c>
      <c r="B267" s="53"/>
      <c r="C267" s="53" t="str">
        <f>IFERROR(VLOOKUP(B267,'👥 بيانات الموظفين'!B:C,2,0),"")</f>
        <v/>
      </c>
      <c r="D267" s="53"/>
      <c r="E267" s="55"/>
      <c r="F267" s="55"/>
      <c r="G267" s="68" t="str">
        <f t="shared" si="8"/>
        <v/>
      </c>
      <c r="H267" s="68" t="str">
        <f t="shared" si="9"/>
        <v/>
      </c>
      <c r="I267" s="53" t="str">
        <f>IFERROR(VLOOKUP(B267,'👥 بيانات الموظفين'!B:Q,16,0)-SUMIFS(H$5:H267,B$5:B267,B267,F$5:F267,"معتمدة"),"")</f>
        <v/>
      </c>
      <c r="J267" s="53"/>
      <c r="K267" s="53"/>
      <c r="L267" s="98"/>
    </row>
    <row r="268" spans="1:12" ht="22.15" customHeight="1" x14ac:dyDescent="0.2">
      <c r="A268" s="57" t="str">
        <f>IF(B268&lt;&gt;"",264,"")</f>
        <v/>
      </c>
      <c r="B268" s="57"/>
      <c r="C268" s="57" t="str">
        <f>IFERROR(VLOOKUP(B268,'👥 بيانات الموظفين'!B:C,2,0),"")</f>
        <v/>
      </c>
      <c r="D268" s="57"/>
      <c r="E268" s="59"/>
      <c r="F268" s="59"/>
      <c r="G268" s="69" t="str">
        <f t="shared" si="8"/>
        <v/>
      </c>
      <c r="H268" s="69" t="str">
        <f t="shared" si="9"/>
        <v/>
      </c>
      <c r="I268" s="57" t="str">
        <f>IFERROR(VLOOKUP(B268,'👥 بيانات الموظفين'!B:Q,16,0)-SUMIFS(H$5:H268,B$5:B268,B268,F$5:F268,"معتمدة"),"")</f>
        <v/>
      </c>
      <c r="J268" s="57"/>
      <c r="K268" s="57"/>
      <c r="L268" s="99"/>
    </row>
    <row r="269" spans="1:12" ht="22.15" customHeight="1" x14ac:dyDescent="0.2">
      <c r="A269" s="53" t="str">
        <f>IF(B269&lt;&gt;"",265,"")</f>
        <v/>
      </c>
      <c r="B269" s="53"/>
      <c r="C269" s="53" t="str">
        <f>IFERROR(VLOOKUP(B269,'👥 بيانات الموظفين'!B:C,2,0),"")</f>
        <v/>
      </c>
      <c r="D269" s="53"/>
      <c r="E269" s="55"/>
      <c r="F269" s="55"/>
      <c r="G269" s="68" t="str">
        <f t="shared" si="8"/>
        <v/>
      </c>
      <c r="H269" s="68" t="str">
        <f t="shared" si="9"/>
        <v/>
      </c>
      <c r="I269" s="53" t="str">
        <f>IFERROR(VLOOKUP(B269,'👥 بيانات الموظفين'!B:Q,16,0)-SUMIFS(H$5:H269,B$5:B269,B269,F$5:F269,"معتمدة"),"")</f>
        <v/>
      </c>
      <c r="J269" s="53"/>
      <c r="K269" s="53"/>
      <c r="L269" s="98"/>
    </row>
    <row r="270" spans="1:12" ht="22.15" customHeight="1" x14ac:dyDescent="0.2">
      <c r="A270" s="57" t="str">
        <f>IF(B270&lt;&gt;"",266,"")</f>
        <v/>
      </c>
      <c r="B270" s="57"/>
      <c r="C270" s="57" t="str">
        <f>IFERROR(VLOOKUP(B270,'👥 بيانات الموظفين'!B:C,2,0),"")</f>
        <v/>
      </c>
      <c r="D270" s="57"/>
      <c r="E270" s="59"/>
      <c r="F270" s="59"/>
      <c r="G270" s="69" t="str">
        <f t="shared" si="8"/>
        <v/>
      </c>
      <c r="H270" s="69" t="str">
        <f t="shared" si="9"/>
        <v/>
      </c>
      <c r="I270" s="57" t="str">
        <f>IFERROR(VLOOKUP(B270,'👥 بيانات الموظفين'!B:Q,16,0)-SUMIFS(H$5:H270,B$5:B270,B270,F$5:F270,"معتمدة"),"")</f>
        <v/>
      </c>
      <c r="J270" s="57"/>
      <c r="K270" s="57"/>
      <c r="L270" s="99"/>
    </row>
    <row r="271" spans="1:12" ht="22.15" customHeight="1" x14ac:dyDescent="0.2">
      <c r="A271" s="53" t="str">
        <f>IF(B271&lt;&gt;"",267,"")</f>
        <v/>
      </c>
      <c r="B271" s="53"/>
      <c r="C271" s="53" t="str">
        <f>IFERROR(VLOOKUP(B271,'👥 بيانات الموظفين'!B:C,2,0),"")</f>
        <v/>
      </c>
      <c r="D271" s="53"/>
      <c r="E271" s="55"/>
      <c r="F271" s="55"/>
      <c r="G271" s="68" t="str">
        <f t="shared" si="8"/>
        <v/>
      </c>
      <c r="H271" s="68" t="str">
        <f t="shared" si="9"/>
        <v/>
      </c>
      <c r="I271" s="53" t="str">
        <f>IFERROR(VLOOKUP(B271,'👥 بيانات الموظفين'!B:Q,16,0)-SUMIFS(H$5:H271,B$5:B271,B271,F$5:F271,"معتمدة"),"")</f>
        <v/>
      </c>
      <c r="J271" s="53"/>
      <c r="K271" s="53"/>
      <c r="L271" s="98"/>
    </row>
    <row r="272" spans="1:12" ht="22.15" customHeight="1" x14ac:dyDescent="0.2">
      <c r="A272" s="57" t="str">
        <f>IF(B272&lt;&gt;"",268,"")</f>
        <v/>
      </c>
      <c r="B272" s="57"/>
      <c r="C272" s="57" t="str">
        <f>IFERROR(VLOOKUP(B272,'👥 بيانات الموظفين'!B:C,2,0),"")</f>
        <v/>
      </c>
      <c r="D272" s="57"/>
      <c r="E272" s="59"/>
      <c r="F272" s="59"/>
      <c r="G272" s="69" t="str">
        <f t="shared" si="8"/>
        <v/>
      </c>
      <c r="H272" s="69" t="str">
        <f t="shared" si="9"/>
        <v/>
      </c>
      <c r="I272" s="57" t="str">
        <f>IFERROR(VLOOKUP(B272,'👥 بيانات الموظفين'!B:Q,16,0)-SUMIFS(H$5:H272,B$5:B272,B272,F$5:F272,"معتمدة"),"")</f>
        <v/>
      </c>
      <c r="J272" s="57"/>
      <c r="K272" s="57"/>
      <c r="L272" s="99"/>
    </row>
    <row r="273" spans="1:12" ht="22.15" customHeight="1" x14ac:dyDescent="0.2">
      <c r="A273" s="53" t="str">
        <f>IF(B273&lt;&gt;"",269,"")</f>
        <v/>
      </c>
      <c r="B273" s="53"/>
      <c r="C273" s="53" t="str">
        <f>IFERROR(VLOOKUP(B273,'👥 بيانات الموظفين'!B:C,2,0),"")</f>
        <v/>
      </c>
      <c r="D273" s="53"/>
      <c r="E273" s="55"/>
      <c r="F273" s="55"/>
      <c r="G273" s="68" t="str">
        <f t="shared" si="8"/>
        <v/>
      </c>
      <c r="H273" s="68" t="str">
        <f t="shared" si="9"/>
        <v/>
      </c>
      <c r="I273" s="53" t="str">
        <f>IFERROR(VLOOKUP(B273,'👥 بيانات الموظفين'!B:Q,16,0)-SUMIFS(H$5:H273,B$5:B273,B273,F$5:F273,"معتمدة"),"")</f>
        <v/>
      </c>
      <c r="J273" s="53"/>
      <c r="K273" s="53"/>
      <c r="L273" s="98"/>
    </row>
    <row r="274" spans="1:12" ht="22.15" customHeight="1" x14ac:dyDescent="0.2">
      <c r="A274" s="57" t="str">
        <f>IF(B274&lt;&gt;"",270,"")</f>
        <v/>
      </c>
      <c r="B274" s="57"/>
      <c r="C274" s="57" t="str">
        <f>IFERROR(VLOOKUP(B274,'👥 بيانات الموظفين'!B:C,2,0),"")</f>
        <v/>
      </c>
      <c r="D274" s="57"/>
      <c r="E274" s="59"/>
      <c r="F274" s="59"/>
      <c r="G274" s="69" t="str">
        <f t="shared" si="8"/>
        <v/>
      </c>
      <c r="H274" s="69" t="str">
        <f t="shared" si="9"/>
        <v/>
      </c>
      <c r="I274" s="57" t="str">
        <f>IFERROR(VLOOKUP(B274,'👥 بيانات الموظفين'!B:Q,16,0)-SUMIFS(H$5:H274,B$5:B274,B274,F$5:F274,"معتمدة"),"")</f>
        <v/>
      </c>
      <c r="J274" s="57"/>
      <c r="K274" s="57"/>
      <c r="L274" s="99"/>
    </row>
    <row r="275" spans="1:12" ht="22.15" customHeight="1" x14ac:dyDescent="0.2">
      <c r="A275" s="53" t="str">
        <f>IF(B275&lt;&gt;"",271,"")</f>
        <v/>
      </c>
      <c r="B275" s="53"/>
      <c r="C275" s="53" t="str">
        <f>IFERROR(VLOOKUP(B275,'👥 بيانات الموظفين'!B:C,2,0),"")</f>
        <v/>
      </c>
      <c r="D275" s="53"/>
      <c r="E275" s="55"/>
      <c r="F275" s="55"/>
      <c r="G275" s="68" t="str">
        <f t="shared" si="8"/>
        <v/>
      </c>
      <c r="H275" s="68" t="str">
        <f t="shared" si="9"/>
        <v/>
      </c>
      <c r="I275" s="53" t="str">
        <f>IFERROR(VLOOKUP(B275,'👥 بيانات الموظفين'!B:Q,16,0)-SUMIFS(H$5:H275,B$5:B275,B275,F$5:F275,"معتمدة"),"")</f>
        <v/>
      </c>
      <c r="J275" s="53"/>
      <c r="K275" s="53"/>
      <c r="L275" s="98"/>
    </row>
    <row r="276" spans="1:12" ht="22.15" customHeight="1" x14ac:dyDescent="0.2">
      <c r="A276" s="57" t="str">
        <f>IF(B276&lt;&gt;"",272,"")</f>
        <v/>
      </c>
      <c r="B276" s="57"/>
      <c r="C276" s="57" t="str">
        <f>IFERROR(VLOOKUP(B276,'👥 بيانات الموظفين'!B:C,2,0),"")</f>
        <v/>
      </c>
      <c r="D276" s="57"/>
      <c r="E276" s="59"/>
      <c r="F276" s="59"/>
      <c r="G276" s="69" t="str">
        <f t="shared" si="8"/>
        <v/>
      </c>
      <c r="H276" s="69" t="str">
        <f t="shared" si="9"/>
        <v/>
      </c>
      <c r="I276" s="57" t="str">
        <f>IFERROR(VLOOKUP(B276,'👥 بيانات الموظفين'!B:Q,16,0)-SUMIFS(H$5:H276,B$5:B276,B276,F$5:F276,"معتمدة"),"")</f>
        <v/>
      </c>
      <c r="J276" s="57"/>
      <c r="K276" s="57"/>
      <c r="L276" s="99"/>
    </row>
    <row r="277" spans="1:12" ht="22.15" customHeight="1" x14ac:dyDescent="0.2">
      <c r="A277" s="53" t="str">
        <f>IF(B277&lt;&gt;"",273,"")</f>
        <v/>
      </c>
      <c r="B277" s="53"/>
      <c r="C277" s="53" t="str">
        <f>IFERROR(VLOOKUP(B277,'👥 بيانات الموظفين'!B:C,2,0),"")</f>
        <v/>
      </c>
      <c r="D277" s="53"/>
      <c r="E277" s="55"/>
      <c r="F277" s="55"/>
      <c r="G277" s="68" t="str">
        <f t="shared" si="8"/>
        <v/>
      </c>
      <c r="H277" s="68" t="str">
        <f t="shared" si="9"/>
        <v/>
      </c>
      <c r="I277" s="53" t="str">
        <f>IFERROR(VLOOKUP(B277,'👥 بيانات الموظفين'!B:Q,16,0)-SUMIFS(H$5:H277,B$5:B277,B277,F$5:F277,"معتمدة"),"")</f>
        <v/>
      </c>
      <c r="J277" s="53"/>
      <c r="K277" s="53"/>
      <c r="L277" s="98"/>
    </row>
    <row r="278" spans="1:12" ht="22.15" customHeight="1" x14ac:dyDescent="0.2">
      <c r="A278" s="57" t="str">
        <f>IF(B278&lt;&gt;"",274,"")</f>
        <v/>
      </c>
      <c r="B278" s="57"/>
      <c r="C278" s="57" t="str">
        <f>IFERROR(VLOOKUP(B278,'👥 بيانات الموظفين'!B:C,2,0),"")</f>
        <v/>
      </c>
      <c r="D278" s="57"/>
      <c r="E278" s="59"/>
      <c r="F278" s="59"/>
      <c r="G278" s="69" t="str">
        <f t="shared" si="8"/>
        <v/>
      </c>
      <c r="H278" s="69" t="str">
        <f t="shared" si="9"/>
        <v/>
      </c>
      <c r="I278" s="57" t="str">
        <f>IFERROR(VLOOKUP(B278,'👥 بيانات الموظفين'!B:Q,16,0)-SUMIFS(H$5:H278,B$5:B278,B278,F$5:F278,"معتمدة"),"")</f>
        <v/>
      </c>
      <c r="J278" s="57"/>
      <c r="K278" s="57"/>
      <c r="L278" s="99"/>
    </row>
    <row r="279" spans="1:12" ht="22.15" customHeight="1" x14ac:dyDescent="0.2">
      <c r="A279" s="53" t="str">
        <f>IF(B279&lt;&gt;"",275,"")</f>
        <v/>
      </c>
      <c r="B279" s="53"/>
      <c r="C279" s="53" t="str">
        <f>IFERROR(VLOOKUP(B279,'👥 بيانات الموظفين'!B:C,2,0),"")</f>
        <v/>
      </c>
      <c r="D279" s="53"/>
      <c r="E279" s="55"/>
      <c r="F279" s="55"/>
      <c r="G279" s="68" t="str">
        <f t="shared" si="8"/>
        <v/>
      </c>
      <c r="H279" s="68" t="str">
        <f t="shared" si="9"/>
        <v/>
      </c>
      <c r="I279" s="53" t="str">
        <f>IFERROR(VLOOKUP(B279,'👥 بيانات الموظفين'!B:Q,16,0)-SUMIFS(H$5:H279,B$5:B279,B279,F$5:F279,"معتمدة"),"")</f>
        <v/>
      </c>
      <c r="J279" s="53"/>
      <c r="K279" s="53"/>
      <c r="L279" s="98"/>
    </row>
    <row r="280" spans="1:12" ht="22.15" customHeight="1" x14ac:dyDescent="0.2">
      <c r="A280" s="57" t="str">
        <f>IF(B280&lt;&gt;"",276,"")</f>
        <v/>
      </c>
      <c r="B280" s="57"/>
      <c r="C280" s="57" t="str">
        <f>IFERROR(VLOOKUP(B280,'👥 بيانات الموظفين'!B:C,2,0),"")</f>
        <v/>
      </c>
      <c r="D280" s="57"/>
      <c r="E280" s="59"/>
      <c r="F280" s="59"/>
      <c r="G280" s="69" t="str">
        <f t="shared" si="8"/>
        <v/>
      </c>
      <c r="H280" s="69" t="str">
        <f t="shared" si="9"/>
        <v/>
      </c>
      <c r="I280" s="57" t="str">
        <f>IFERROR(VLOOKUP(B280,'👥 بيانات الموظفين'!B:Q,16,0)-SUMIFS(H$5:H280,B$5:B280,B280,F$5:F280,"معتمدة"),"")</f>
        <v/>
      </c>
      <c r="J280" s="57"/>
      <c r="K280" s="57"/>
      <c r="L280" s="99"/>
    </row>
    <row r="281" spans="1:12" ht="22.15" customHeight="1" x14ac:dyDescent="0.2">
      <c r="A281" s="53" t="str">
        <f>IF(B281&lt;&gt;"",277,"")</f>
        <v/>
      </c>
      <c r="B281" s="53"/>
      <c r="C281" s="53" t="str">
        <f>IFERROR(VLOOKUP(B281,'👥 بيانات الموظفين'!B:C,2,0),"")</f>
        <v/>
      </c>
      <c r="D281" s="53"/>
      <c r="E281" s="55"/>
      <c r="F281" s="55"/>
      <c r="G281" s="68" t="str">
        <f t="shared" si="8"/>
        <v/>
      </c>
      <c r="H281" s="68" t="str">
        <f t="shared" si="9"/>
        <v/>
      </c>
      <c r="I281" s="53" t="str">
        <f>IFERROR(VLOOKUP(B281,'👥 بيانات الموظفين'!B:Q,16,0)-SUMIFS(H$5:H281,B$5:B281,B281,F$5:F281,"معتمدة"),"")</f>
        <v/>
      </c>
      <c r="J281" s="53"/>
      <c r="K281" s="53"/>
      <c r="L281" s="98"/>
    </row>
    <row r="282" spans="1:12" ht="22.15" customHeight="1" x14ac:dyDescent="0.2">
      <c r="A282" s="57" t="str">
        <f>IF(B282&lt;&gt;"",278,"")</f>
        <v/>
      </c>
      <c r="B282" s="57"/>
      <c r="C282" s="57" t="str">
        <f>IFERROR(VLOOKUP(B282,'👥 بيانات الموظفين'!B:C,2,0),"")</f>
        <v/>
      </c>
      <c r="D282" s="57"/>
      <c r="E282" s="59"/>
      <c r="F282" s="59"/>
      <c r="G282" s="69" t="str">
        <f t="shared" si="8"/>
        <v/>
      </c>
      <c r="H282" s="69" t="str">
        <f t="shared" si="9"/>
        <v/>
      </c>
      <c r="I282" s="57" t="str">
        <f>IFERROR(VLOOKUP(B282,'👥 بيانات الموظفين'!B:Q,16,0)-SUMIFS(H$5:H282,B$5:B282,B282,F$5:F282,"معتمدة"),"")</f>
        <v/>
      </c>
      <c r="J282" s="57"/>
      <c r="K282" s="57"/>
      <c r="L282" s="99"/>
    </row>
    <row r="283" spans="1:12" ht="22.15" customHeight="1" x14ac:dyDescent="0.2">
      <c r="A283" s="53" t="str">
        <f>IF(B283&lt;&gt;"",279,"")</f>
        <v/>
      </c>
      <c r="B283" s="53"/>
      <c r="C283" s="53" t="str">
        <f>IFERROR(VLOOKUP(B283,'👥 بيانات الموظفين'!B:C,2,0),"")</f>
        <v/>
      </c>
      <c r="D283" s="53"/>
      <c r="E283" s="55"/>
      <c r="F283" s="55"/>
      <c r="G283" s="68" t="str">
        <f t="shared" si="8"/>
        <v/>
      </c>
      <c r="H283" s="68" t="str">
        <f t="shared" si="9"/>
        <v/>
      </c>
      <c r="I283" s="53" t="str">
        <f>IFERROR(VLOOKUP(B283,'👥 بيانات الموظفين'!B:Q,16,0)-SUMIFS(H$5:H283,B$5:B283,B283,F$5:F283,"معتمدة"),"")</f>
        <v/>
      </c>
      <c r="J283" s="53"/>
      <c r="K283" s="53"/>
      <c r="L283" s="98"/>
    </row>
    <row r="284" spans="1:12" ht="22.15" customHeight="1" x14ac:dyDescent="0.2">
      <c r="A284" s="57" t="str">
        <f>IF(B284&lt;&gt;"",280,"")</f>
        <v/>
      </c>
      <c r="B284" s="57"/>
      <c r="C284" s="57" t="str">
        <f>IFERROR(VLOOKUP(B284,'👥 بيانات الموظفين'!B:C,2,0),"")</f>
        <v/>
      </c>
      <c r="D284" s="57"/>
      <c r="E284" s="59"/>
      <c r="F284" s="59"/>
      <c r="G284" s="69" t="str">
        <f t="shared" si="8"/>
        <v/>
      </c>
      <c r="H284" s="69" t="str">
        <f t="shared" si="9"/>
        <v/>
      </c>
      <c r="I284" s="57" t="str">
        <f>IFERROR(VLOOKUP(B284,'👥 بيانات الموظفين'!B:Q,16,0)-SUMIFS(H$5:H284,B$5:B284,B284,F$5:F284,"معتمدة"),"")</f>
        <v/>
      </c>
      <c r="J284" s="57"/>
      <c r="K284" s="57"/>
      <c r="L284" s="99"/>
    </row>
    <row r="285" spans="1:12" ht="22.15" customHeight="1" x14ac:dyDescent="0.2">
      <c r="A285" s="53" t="str">
        <f>IF(B285&lt;&gt;"",281,"")</f>
        <v/>
      </c>
      <c r="B285" s="53"/>
      <c r="C285" s="53" t="str">
        <f>IFERROR(VLOOKUP(B285,'👥 بيانات الموظفين'!B:C,2,0),"")</f>
        <v/>
      </c>
      <c r="D285" s="53"/>
      <c r="E285" s="55"/>
      <c r="F285" s="55"/>
      <c r="G285" s="68" t="str">
        <f t="shared" si="8"/>
        <v/>
      </c>
      <c r="H285" s="68" t="str">
        <f t="shared" si="9"/>
        <v/>
      </c>
      <c r="I285" s="53" t="str">
        <f>IFERROR(VLOOKUP(B285,'👥 بيانات الموظفين'!B:Q,16,0)-SUMIFS(H$5:H285,B$5:B285,B285,F$5:F285,"معتمدة"),"")</f>
        <v/>
      </c>
      <c r="J285" s="53"/>
      <c r="K285" s="53"/>
      <c r="L285" s="98"/>
    </row>
    <row r="286" spans="1:12" ht="22.15" customHeight="1" x14ac:dyDescent="0.2">
      <c r="A286" s="57" t="str">
        <f>IF(B286&lt;&gt;"",282,"")</f>
        <v/>
      </c>
      <c r="B286" s="57"/>
      <c r="C286" s="57" t="str">
        <f>IFERROR(VLOOKUP(B286,'👥 بيانات الموظفين'!B:C,2,0),"")</f>
        <v/>
      </c>
      <c r="D286" s="57"/>
      <c r="E286" s="59"/>
      <c r="F286" s="59"/>
      <c r="G286" s="69" t="str">
        <f t="shared" si="8"/>
        <v/>
      </c>
      <c r="H286" s="69" t="str">
        <f t="shared" si="9"/>
        <v/>
      </c>
      <c r="I286" s="57" t="str">
        <f>IFERROR(VLOOKUP(B286,'👥 بيانات الموظفين'!B:Q,16,0)-SUMIFS(H$5:H286,B$5:B286,B286,F$5:F286,"معتمدة"),"")</f>
        <v/>
      </c>
      <c r="J286" s="57"/>
      <c r="K286" s="57"/>
      <c r="L286" s="99"/>
    </row>
    <row r="287" spans="1:12" ht="22.15" customHeight="1" x14ac:dyDescent="0.2">
      <c r="A287" s="53" t="str">
        <f>IF(B287&lt;&gt;"",283,"")</f>
        <v/>
      </c>
      <c r="B287" s="53"/>
      <c r="C287" s="53" t="str">
        <f>IFERROR(VLOOKUP(B287,'👥 بيانات الموظفين'!B:C,2,0),"")</f>
        <v/>
      </c>
      <c r="D287" s="53"/>
      <c r="E287" s="55"/>
      <c r="F287" s="55"/>
      <c r="G287" s="68" t="str">
        <f t="shared" si="8"/>
        <v/>
      </c>
      <c r="H287" s="68" t="str">
        <f t="shared" si="9"/>
        <v/>
      </c>
      <c r="I287" s="53" t="str">
        <f>IFERROR(VLOOKUP(B287,'👥 بيانات الموظفين'!B:Q,16,0)-SUMIFS(H$5:H287,B$5:B287,B287,F$5:F287,"معتمدة"),"")</f>
        <v/>
      </c>
      <c r="J287" s="53"/>
      <c r="K287" s="53"/>
      <c r="L287" s="98"/>
    </row>
    <row r="288" spans="1:12" ht="22.15" customHeight="1" x14ac:dyDescent="0.2">
      <c r="A288" s="57" t="str">
        <f>IF(B288&lt;&gt;"",284,"")</f>
        <v/>
      </c>
      <c r="B288" s="57"/>
      <c r="C288" s="57" t="str">
        <f>IFERROR(VLOOKUP(B288,'👥 بيانات الموظفين'!B:C,2,0),"")</f>
        <v/>
      </c>
      <c r="D288" s="57"/>
      <c r="E288" s="59"/>
      <c r="F288" s="59"/>
      <c r="G288" s="69" t="str">
        <f t="shared" si="8"/>
        <v/>
      </c>
      <c r="H288" s="69" t="str">
        <f t="shared" si="9"/>
        <v/>
      </c>
      <c r="I288" s="57" t="str">
        <f>IFERROR(VLOOKUP(B288,'👥 بيانات الموظفين'!B:Q,16,0)-SUMIFS(H$5:H288,B$5:B288,B288,F$5:F288,"معتمدة"),"")</f>
        <v/>
      </c>
      <c r="J288" s="57"/>
      <c r="K288" s="57"/>
      <c r="L288" s="99"/>
    </row>
    <row r="289" spans="1:12" ht="22.15" customHeight="1" x14ac:dyDescent="0.2">
      <c r="A289" s="53" t="str">
        <f>IF(B289&lt;&gt;"",285,"")</f>
        <v/>
      </c>
      <c r="B289" s="53"/>
      <c r="C289" s="53" t="str">
        <f>IFERROR(VLOOKUP(B289,'👥 بيانات الموظفين'!B:C,2,0),"")</f>
        <v/>
      </c>
      <c r="D289" s="53"/>
      <c r="E289" s="55"/>
      <c r="F289" s="55"/>
      <c r="G289" s="68" t="str">
        <f t="shared" si="8"/>
        <v/>
      </c>
      <c r="H289" s="68" t="str">
        <f t="shared" si="9"/>
        <v/>
      </c>
      <c r="I289" s="53" t="str">
        <f>IFERROR(VLOOKUP(B289,'👥 بيانات الموظفين'!B:Q,16,0)-SUMIFS(H$5:H289,B$5:B289,B289,F$5:F289,"معتمدة"),"")</f>
        <v/>
      </c>
      <c r="J289" s="53"/>
      <c r="K289" s="53"/>
      <c r="L289" s="98"/>
    </row>
    <row r="290" spans="1:12" ht="22.15" customHeight="1" x14ac:dyDescent="0.2">
      <c r="A290" s="57" t="str">
        <f>IF(B290&lt;&gt;"",286,"")</f>
        <v/>
      </c>
      <c r="B290" s="57"/>
      <c r="C290" s="57" t="str">
        <f>IFERROR(VLOOKUP(B290,'👥 بيانات الموظفين'!B:C,2,0),"")</f>
        <v/>
      </c>
      <c r="D290" s="57"/>
      <c r="E290" s="59"/>
      <c r="F290" s="59"/>
      <c r="G290" s="69" t="str">
        <f t="shared" si="8"/>
        <v/>
      </c>
      <c r="H290" s="69" t="str">
        <f t="shared" si="9"/>
        <v/>
      </c>
      <c r="I290" s="57" t="str">
        <f>IFERROR(VLOOKUP(B290,'👥 بيانات الموظفين'!B:Q,16,0)-SUMIFS(H$5:H290,B$5:B290,B290,F$5:F290,"معتمدة"),"")</f>
        <v/>
      </c>
      <c r="J290" s="57"/>
      <c r="K290" s="57"/>
      <c r="L290" s="99"/>
    </row>
    <row r="291" spans="1:12" ht="22.15" customHeight="1" x14ac:dyDescent="0.2">
      <c r="A291" s="53" t="str">
        <f>IF(B291&lt;&gt;"",287,"")</f>
        <v/>
      </c>
      <c r="B291" s="53"/>
      <c r="C291" s="53" t="str">
        <f>IFERROR(VLOOKUP(B291,'👥 بيانات الموظفين'!B:C,2,0),"")</f>
        <v/>
      </c>
      <c r="D291" s="53"/>
      <c r="E291" s="55"/>
      <c r="F291" s="55"/>
      <c r="G291" s="68" t="str">
        <f t="shared" si="8"/>
        <v/>
      </c>
      <c r="H291" s="68" t="str">
        <f t="shared" si="9"/>
        <v/>
      </c>
      <c r="I291" s="53" t="str">
        <f>IFERROR(VLOOKUP(B291,'👥 بيانات الموظفين'!B:Q,16,0)-SUMIFS(H$5:H291,B$5:B291,B291,F$5:F291,"معتمدة"),"")</f>
        <v/>
      </c>
      <c r="J291" s="53"/>
      <c r="K291" s="53"/>
      <c r="L291" s="98"/>
    </row>
    <row r="292" spans="1:12" ht="22.15" customHeight="1" x14ac:dyDescent="0.2">
      <c r="A292" s="57" t="str">
        <f>IF(B292&lt;&gt;"",288,"")</f>
        <v/>
      </c>
      <c r="B292" s="57"/>
      <c r="C292" s="57" t="str">
        <f>IFERROR(VLOOKUP(B292,'👥 بيانات الموظفين'!B:C,2,0),"")</f>
        <v/>
      </c>
      <c r="D292" s="57"/>
      <c r="E292" s="59"/>
      <c r="F292" s="59"/>
      <c r="G292" s="69" t="str">
        <f t="shared" si="8"/>
        <v/>
      </c>
      <c r="H292" s="69" t="str">
        <f t="shared" si="9"/>
        <v/>
      </c>
      <c r="I292" s="57" t="str">
        <f>IFERROR(VLOOKUP(B292,'👥 بيانات الموظفين'!B:Q,16,0)-SUMIFS(H$5:H292,B$5:B292,B292,F$5:F292,"معتمدة"),"")</f>
        <v/>
      </c>
      <c r="J292" s="57"/>
      <c r="K292" s="57"/>
      <c r="L292" s="99"/>
    </row>
    <row r="293" spans="1:12" ht="22.15" customHeight="1" x14ac:dyDescent="0.2">
      <c r="A293" s="53" t="str">
        <f>IF(B293&lt;&gt;"",289,"")</f>
        <v/>
      </c>
      <c r="B293" s="53"/>
      <c r="C293" s="53" t="str">
        <f>IFERROR(VLOOKUP(B293,'👥 بيانات الموظفين'!B:C,2,0),"")</f>
        <v/>
      </c>
      <c r="D293" s="53"/>
      <c r="E293" s="55"/>
      <c r="F293" s="55"/>
      <c r="G293" s="68" t="str">
        <f t="shared" si="8"/>
        <v/>
      </c>
      <c r="H293" s="68" t="str">
        <f t="shared" si="9"/>
        <v/>
      </c>
      <c r="I293" s="53" t="str">
        <f>IFERROR(VLOOKUP(B293,'👥 بيانات الموظفين'!B:Q,16,0)-SUMIFS(H$5:H293,B$5:B293,B293,F$5:F293,"معتمدة"),"")</f>
        <v/>
      </c>
      <c r="J293" s="53"/>
      <c r="K293" s="53"/>
      <c r="L293" s="98"/>
    </row>
    <row r="294" spans="1:12" ht="22.15" customHeight="1" x14ac:dyDescent="0.2">
      <c r="A294" s="57" t="str">
        <f>IF(B294&lt;&gt;"",290,"")</f>
        <v/>
      </c>
      <c r="B294" s="57"/>
      <c r="C294" s="57" t="str">
        <f>IFERROR(VLOOKUP(B294,'👥 بيانات الموظفين'!B:C,2,0),"")</f>
        <v/>
      </c>
      <c r="D294" s="57"/>
      <c r="E294" s="59"/>
      <c r="F294" s="59"/>
      <c r="G294" s="69" t="str">
        <f t="shared" si="8"/>
        <v/>
      </c>
      <c r="H294" s="69" t="str">
        <f t="shared" si="9"/>
        <v/>
      </c>
      <c r="I294" s="57" t="str">
        <f>IFERROR(VLOOKUP(B294,'👥 بيانات الموظفين'!B:Q,16,0)-SUMIFS(H$5:H294,B$5:B294,B294,F$5:F294,"معتمدة"),"")</f>
        <v/>
      </c>
      <c r="J294" s="57"/>
      <c r="K294" s="57"/>
      <c r="L294" s="99"/>
    </row>
    <row r="295" spans="1:12" ht="22.15" customHeight="1" x14ac:dyDescent="0.2">
      <c r="A295" s="53" t="str">
        <f>IF(B295&lt;&gt;"",291,"")</f>
        <v/>
      </c>
      <c r="B295" s="53"/>
      <c r="C295" s="53" t="str">
        <f>IFERROR(VLOOKUP(B295,'👥 بيانات الموظفين'!B:C,2,0),"")</f>
        <v/>
      </c>
      <c r="D295" s="53"/>
      <c r="E295" s="55"/>
      <c r="F295" s="55"/>
      <c r="G295" s="68" t="str">
        <f t="shared" si="8"/>
        <v/>
      </c>
      <c r="H295" s="68" t="str">
        <f t="shared" si="9"/>
        <v/>
      </c>
      <c r="I295" s="53" t="str">
        <f>IFERROR(VLOOKUP(B295,'👥 بيانات الموظفين'!B:Q,16,0)-SUMIFS(H$5:H295,B$5:B295,B295,F$5:F295,"معتمدة"),"")</f>
        <v/>
      </c>
      <c r="J295" s="53"/>
      <c r="K295" s="53"/>
      <c r="L295" s="98"/>
    </row>
    <row r="296" spans="1:12" ht="22.15" customHeight="1" x14ac:dyDescent="0.2">
      <c r="A296" s="57" t="str">
        <f>IF(B296&lt;&gt;"",292,"")</f>
        <v/>
      </c>
      <c r="B296" s="57"/>
      <c r="C296" s="57" t="str">
        <f>IFERROR(VLOOKUP(B296,'👥 بيانات الموظفين'!B:C,2,0),"")</f>
        <v/>
      </c>
      <c r="D296" s="57"/>
      <c r="E296" s="59"/>
      <c r="F296" s="59"/>
      <c r="G296" s="69" t="str">
        <f t="shared" si="8"/>
        <v/>
      </c>
      <c r="H296" s="69" t="str">
        <f t="shared" si="9"/>
        <v/>
      </c>
      <c r="I296" s="57" t="str">
        <f>IFERROR(VLOOKUP(B296,'👥 بيانات الموظفين'!B:Q,16,0)-SUMIFS(H$5:H296,B$5:B296,B296,F$5:F296,"معتمدة"),"")</f>
        <v/>
      </c>
      <c r="J296" s="57"/>
      <c r="K296" s="57"/>
      <c r="L296" s="99"/>
    </row>
    <row r="297" spans="1:12" ht="22.15" customHeight="1" x14ac:dyDescent="0.2">
      <c r="A297" s="53" t="str">
        <f>IF(B297&lt;&gt;"",293,"")</f>
        <v/>
      </c>
      <c r="B297" s="53"/>
      <c r="C297" s="53" t="str">
        <f>IFERROR(VLOOKUP(B297,'👥 بيانات الموظفين'!B:C,2,0),"")</f>
        <v/>
      </c>
      <c r="D297" s="53"/>
      <c r="E297" s="55"/>
      <c r="F297" s="55"/>
      <c r="G297" s="68" t="str">
        <f t="shared" si="8"/>
        <v/>
      </c>
      <c r="H297" s="68" t="str">
        <f t="shared" si="9"/>
        <v/>
      </c>
      <c r="I297" s="53" t="str">
        <f>IFERROR(VLOOKUP(B297,'👥 بيانات الموظفين'!B:Q,16,0)-SUMIFS(H$5:H297,B$5:B297,B297,F$5:F297,"معتمدة"),"")</f>
        <v/>
      </c>
      <c r="J297" s="53"/>
      <c r="K297" s="53"/>
      <c r="L297" s="98"/>
    </row>
    <row r="298" spans="1:12" ht="22.15" customHeight="1" x14ac:dyDescent="0.2">
      <c r="A298" s="57" t="str">
        <f>IF(B298&lt;&gt;"",294,"")</f>
        <v/>
      </c>
      <c r="B298" s="57"/>
      <c r="C298" s="57" t="str">
        <f>IFERROR(VLOOKUP(B298,'👥 بيانات الموظفين'!B:C,2,0),"")</f>
        <v/>
      </c>
      <c r="D298" s="57"/>
      <c r="E298" s="59"/>
      <c r="F298" s="59"/>
      <c r="G298" s="69" t="str">
        <f t="shared" si="8"/>
        <v/>
      </c>
      <c r="H298" s="69" t="str">
        <f t="shared" si="9"/>
        <v/>
      </c>
      <c r="I298" s="57" t="str">
        <f>IFERROR(VLOOKUP(B298,'👥 بيانات الموظفين'!B:Q,16,0)-SUMIFS(H$5:H298,B$5:B298,B298,F$5:F298,"معتمدة"),"")</f>
        <v/>
      </c>
      <c r="J298" s="57"/>
      <c r="K298" s="57"/>
      <c r="L298" s="99"/>
    </row>
    <row r="299" spans="1:12" ht="22.15" customHeight="1" x14ac:dyDescent="0.2">
      <c r="A299" s="53" t="str">
        <f>IF(B299&lt;&gt;"",295,"")</f>
        <v/>
      </c>
      <c r="B299" s="53"/>
      <c r="C299" s="53" t="str">
        <f>IFERROR(VLOOKUP(B299,'👥 بيانات الموظفين'!B:C,2,0),"")</f>
        <v/>
      </c>
      <c r="D299" s="53"/>
      <c r="E299" s="55"/>
      <c r="F299" s="55"/>
      <c r="G299" s="68" t="str">
        <f t="shared" si="8"/>
        <v/>
      </c>
      <c r="H299" s="68" t="str">
        <f t="shared" si="9"/>
        <v/>
      </c>
      <c r="I299" s="53" t="str">
        <f>IFERROR(VLOOKUP(B299,'👥 بيانات الموظفين'!B:Q,16,0)-SUMIFS(H$5:H299,B$5:B299,B299,F$5:F299,"معتمدة"),"")</f>
        <v/>
      </c>
      <c r="J299" s="53"/>
      <c r="K299" s="53"/>
      <c r="L299" s="98"/>
    </row>
    <row r="300" spans="1:12" ht="22.15" customHeight="1" x14ac:dyDescent="0.2">
      <c r="A300" s="57" t="str">
        <f>IF(B300&lt;&gt;"",296,"")</f>
        <v/>
      </c>
      <c r="B300" s="57"/>
      <c r="C300" s="57" t="str">
        <f>IFERROR(VLOOKUP(B300,'👥 بيانات الموظفين'!B:C,2,0),"")</f>
        <v/>
      </c>
      <c r="D300" s="57"/>
      <c r="E300" s="59"/>
      <c r="F300" s="59"/>
      <c r="G300" s="69" t="str">
        <f t="shared" si="8"/>
        <v/>
      </c>
      <c r="H300" s="69" t="str">
        <f t="shared" si="9"/>
        <v/>
      </c>
      <c r="I300" s="57" t="str">
        <f>IFERROR(VLOOKUP(B300,'👥 بيانات الموظفين'!B:Q,16,0)-SUMIFS(H$5:H300,B$5:B300,B300,F$5:F300,"معتمدة"),"")</f>
        <v/>
      </c>
      <c r="J300" s="57"/>
      <c r="K300" s="57"/>
      <c r="L300" s="99"/>
    </row>
    <row r="301" spans="1:12" ht="22.15" customHeight="1" x14ac:dyDescent="0.2">
      <c r="A301" s="53" t="str">
        <f>IF(B301&lt;&gt;"",297,"")</f>
        <v/>
      </c>
      <c r="B301" s="53"/>
      <c r="C301" s="53" t="str">
        <f>IFERROR(VLOOKUP(B301,'👥 بيانات الموظفين'!B:C,2,0),"")</f>
        <v/>
      </c>
      <c r="D301" s="53"/>
      <c r="E301" s="55"/>
      <c r="F301" s="55"/>
      <c r="G301" s="68" t="str">
        <f t="shared" si="8"/>
        <v/>
      </c>
      <c r="H301" s="68" t="str">
        <f t="shared" si="9"/>
        <v/>
      </c>
      <c r="I301" s="53" t="str">
        <f>IFERROR(VLOOKUP(B301,'👥 بيانات الموظفين'!B:Q,16,0)-SUMIFS(H$5:H301,B$5:B301,B301,F$5:F301,"معتمدة"),"")</f>
        <v/>
      </c>
      <c r="J301" s="53"/>
      <c r="K301" s="53"/>
      <c r="L301" s="98"/>
    </row>
    <row r="302" spans="1:12" ht="22.15" customHeight="1" x14ac:dyDescent="0.2">
      <c r="A302" s="57" t="str">
        <f>IF(B302&lt;&gt;"",298,"")</f>
        <v/>
      </c>
      <c r="B302" s="57"/>
      <c r="C302" s="57" t="str">
        <f>IFERROR(VLOOKUP(B302,'👥 بيانات الموظفين'!B:C,2,0),"")</f>
        <v/>
      </c>
      <c r="D302" s="57"/>
      <c r="E302" s="59"/>
      <c r="F302" s="59"/>
      <c r="G302" s="69" t="str">
        <f t="shared" si="8"/>
        <v/>
      </c>
      <c r="H302" s="69" t="str">
        <f t="shared" si="9"/>
        <v/>
      </c>
      <c r="I302" s="57" t="str">
        <f>IFERROR(VLOOKUP(B302,'👥 بيانات الموظفين'!B:Q,16,0)-SUMIFS(H$5:H302,B$5:B302,B302,F$5:F302,"معتمدة"),"")</f>
        <v/>
      </c>
      <c r="J302" s="57"/>
      <c r="K302" s="57"/>
      <c r="L302" s="99"/>
    </row>
    <row r="303" spans="1:12" ht="22.15" customHeight="1" x14ac:dyDescent="0.2">
      <c r="A303" s="53" t="str">
        <f>IF(B303&lt;&gt;"",299,"")</f>
        <v/>
      </c>
      <c r="B303" s="53"/>
      <c r="C303" s="53" t="str">
        <f>IFERROR(VLOOKUP(B303,'👥 بيانات الموظفين'!B:C,2,0),"")</f>
        <v/>
      </c>
      <c r="D303" s="53"/>
      <c r="E303" s="55"/>
      <c r="F303" s="55"/>
      <c r="G303" s="68" t="str">
        <f t="shared" si="8"/>
        <v/>
      </c>
      <c r="H303" s="68" t="str">
        <f t="shared" si="9"/>
        <v/>
      </c>
      <c r="I303" s="53" t="str">
        <f>IFERROR(VLOOKUP(B303,'👥 بيانات الموظفين'!B:Q,16,0)-SUMIFS(H$5:H303,B$5:B303,B303,F$5:F303,"معتمدة"),"")</f>
        <v/>
      </c>
      <c r="J303" s="53"/>
      <c r="K303" s="53"/>
      <c r="L303" s="98"/>
    </row>
    <row r="304" spans="1:12" ht="22.15" customHeight="1" x14ac:dyDescent="0.2">
      <c r="A304" s="57" t="str">
        <f>IF(B304&lt;&gt;"",300,"")</f>
        <v/>
      </c>
      <c r="B304" s="57"/>
      <c r="C304" s="57" t="str">
        <f>IFERROR(VLOOKUP(B304,'👥 بيانات الموظفين'!B:C,2,0),"")</f>
        <v/>
      </c>
      <c r="D304" s="57"/>
      <c r="E304" s="59"/>
      <c r="F304" s="59"/>
      <c r="G304" s="69" t="str">
        <f t="shared" si="8"/>
        <v/>
      </c>
      <c r="H304" s="69" t="str">
        <f t="shared" si="9"/>
        <v/>
      </c>
      <c r="I304" s="57" t="str">
        <f>IFERROR(VLOOKUP(B304,'👥 بيانات الموظفين'!B:Q,16,0)-SUMIFS(H$5:H304,B$5:B304,B304,F$5:F304,"معتمدة"),"")</f>
        <v/>
      </c>
      <c r="J304" s="57"/>
      <c r="K304" s="57"/>
      <c r="L304" s="99"/>
    </row>
    <row r="305" spans="1:12" ht="22.15" customHeight="1" x14ac:dyDescent="0.2">
      <c r="A305" s="53" t="str">
        <f>IF(B305&lt;&gt;"",301,"")</f>
        <v/>
      </c>
      <c r="B305" s="53"/>
      <c r="C305" s="53" t="str">
        <f>IFERROR(VLOOKUP(B305,'👥 بيانات الموظفين'!B:C,2,0),"")</f>
        <v/>
      </c>
      <c r="D305" s="53"/>
      <c r="E305" s="55"/>
      <c r="F305" s="55"/>
      <c r="G305" s="68" t="str">
        <f t="shared" si="8"/>
        <v/>
      </c>
      <c r="H305" s="68" t="str">
        <f t="shared" si="9"/>
        <v/>
      </c>
      <c r="I305" s="53" t="str">
        <f>IFERROR(VLOOKUP(B305,'👥 بيانات الموظفين'!B:Q,16,0)-SUMIFS(H$5:H305,B$5:B305,B305,F$5:F305,"معتمدة"),"")</f>
        <v/>
      </c>
      <c r="J305" s="53"/>
      <c r="K305" s="53"/>
      <c r="L305" s="98"/>
    </row>
    <row r="306" spans="1:12" ht="22.15" customHeight="1" x14ac:dyDescent="0.2">
      <c r="A306" s="57" t="str">
        <f>IF(B306&lt;&gt;"",302,"")</f>
        <v/>
      </c>
      <c r="B306" s="57"/>
      <c r="C306" s="57" t="str">
        <f>IFERROR(VLOOKUP(B306,'👥 بيانات الموظفين'!B:C,2,0),"")</f>
        <v/>
      </c>
      <c r="D306" s="57"/>
      <c r="E306" s="59"/>
      <c r="F306" s="59"/>
      <c r="G306" s="69" t="str">
        <f t="shared" si="8"/>
        <v/>
      </c>
      <c r="H306" s="69" t="str">
        <f t="shared" si="9"/>
        <v/>
      </c>
      <c r="I306" s="57" t="str">
        <f>IFERROR(VLOOKUP(B306,'👥 بيانات الموظفين'!B:Q,16,0)-SUMIFS(H$5:H306,B$5:B306,B306,F$5:F306,"معتمدة"),"")</f>
        <v/>
      </c>
      <c r="J306" s="57"/>
      <c r="K306" s="57"/>
      <c r="L306" s="99"/>
    </row>
    <row r="307" spans="1:12" ht="22.15" customHeight="1" x14ac:dyDescent="0.2">
      <c r="A307" s="53" t="str">
        <f>IF(B307&lt;&gt;"",303,"")</f>
        <v/>
      </c>
      <c r="B307" s="53"/>
      <c r="C307" s="53" t="str">
        <f>IFERROR(VLOOKUP(B307,'👥 بيانات الموظفين'!B:C,2,0),"")</f>
        <v/>
      </c>
      <c r="D307" s="53"/>
      <c r="E307" s="55"/>
      <c r="F307" s="55"/>
      <c r="G307" s="68" t="str">
        <f t="shared" si="8"/>
        <v/>
      </c>
      <c r="H307" s="68" t="str">
        <f t="shared" si="9"/>
        <v/>
      </c>
      <c r="I307" s="53" t="str">
        <f>IFERROR(VLOOKUP(B307,'👥 بيانات الموظفين'!B:Q,16,0)-SUMIFS(H$5:H307,B$5:B307,B307,F$5:F307,"معتمدة"),"")</f>
        <v/>
      </c>
      <c r="J307" s="53"/>
      <c r="K307" s="53"/>
      <c r="L307" s="98"/>
    </row>
    <row r="308" spans="1:12" ht="22.15" customHeight="1" x14ac:dyDescent="0.2">
      <c r="A308" s="57" t="str">
        <f>IF(B308&lt;&gt;"",304,"")</f>
        <v/>
      </c>
      <c r="B308" s="57"/>
      <c r="C308" s="57" t="str">
        <f>IFERROR(VLOOKUP(B308,'👥 بيانات الموظفين'!B:C,2,0),"")</f>
        <v/>
      </c>
      <c r="D308" s="57"/>
      <c r="E308" s="59"/>
      <c r="F308" s="59"/>
      <c r="G308" s="69" t="str">
        <f t="shared" si="8"/>
        <v/>
      </c>
      <c r="H308" s="69" t="str">
        <f t="shared" si="9"/>
        <v/>
      </c>
      <c r="I308" s="57" t="str">
        <f>IFERROR(VLOOKUP(B308,'👥 بيانات الموظفين'!B:Q,16,0)-SUMIFS(H$5:H308,B$5:B308,B308,F$5:F308,"معتمدة"),"")</f>
        <v/>
      </c>
      <c r="J308" s="57"/>
      <c r="K308" s="57"/>
      <c r="L308" s="99"/>
    </row>
    <row r="309" spans="1:12" ht="22.15" customHeight="1" x14ac:dyDescent="0.2">
      <c r="A309" s="53" t="str">
        <f>IF(B309&lt;&gt;"",305,"")</f>
        <v/>
      </c>
      <c r="B309" s="53"/>
      <c r="C309" s="53" t="str">
        <f>IFERROR(VLOOKUP(B309,'👥 بيانات الموظفين'!B:C,2,0),"")</f>
        <v/>
      </c>
      <c r="D309" s="53"/>
      <c r="E309" s="55"/>
      <c r="F309" s="55"/>
      <c r="G309" s="68" t="str">
        <f t="shared" si="8"/>
        <v/>
      </c>
      <c r="H309" s="68" t="str">
        <f t="shared" si="9"/>
        <v/>
      </c>
      <c r="I309" s="53" t="str">
        <f>IFERROR(VLOOKUP(B309,'👥 بيانات الموظفين'!B:Q,16,0)-SUMIFS(H$5:H309,B$5:B309,B309,F$5:F309,"معتمدة"),"")</f>
        <v/>
      </c>
      <c r="J309" s="53"/>
      <c r="K309" s="53"/>
      <c r="L309" s="98"/>
    </row>
    <row r="310" spans="1:12" ht="22.15" customHeight="1" x14ac:dyDescent="0.2">
      <c r="A310" s="57" t="str">
        <f>IF(B310&lt;&gt;"",306,"")</f>
        <v/>
      </c>
      <c r="B310" s="57"/>
      <c r="C310" s="57" t="str">
        <f>IFERROR(VLOOKUP(B310,'👥 بيانات الموظفين'!B:C,2,0),"")</f>
        <v/>
      </c>
      <c r="D310" s="57"/>
      <c r="E310" s="59"/>
      <c r="F310" s="59"/>
      <c r="G310" s="69" t="str">
        <f t="shared" si="8"/>
        <v/>
      </c>
      <c r="H310" s="69" t="str">
        <f t="shared" si="9"/>
        <v/>
      </c>
      <c r="I310" s="57" t="str">
        <f>IFERROR(VLOOKUP(B310,'👥 بيانات الموظفين'!B:Q,16,0)-SUMIFS(H$5:H310,B$5:B310,B310,F$5:F310,"معتمدة"),"")</f>
        <v/>
      </c>
      <c r="J310" s="57"/>
      <c r="K310" s="57"/>
      <c r="L310" s="99"/>
    </row>
    <row r="311" spans="1:12" ht="22.15" customHeight="1" x14ac:dyDescent="0.2">
      <c r="A311" s="53" t="str">
        <f>IF(B311&lt;&gt;"",307,"")</f>
        <v/>
      </c>
      <c r="B311" s="53"/>
      <c r="C311" s="53" t="str">
        <f>IFERROR(VLOOKUP(B311,'👥 بيانات الموظفين'!B:C,2,0),"")</f>
        <v/>
      </c>
      <c r="D311" s="53"/>
      <c r="E311" s="55"/>
      <c r="F311" s="55"/>
      <c r="G311" s="68" t="str">
        <f t="shared" si="8"/>
        <v/>
      </c>
      <c r="H311" s="68" t="str">
        <f t="shared" si="9"/>
        <v/>
      </c>
      <c r="I311" s="53" t="str">
        <f>IFERROR(VLOOKUP(B311,'👥 بيانات الموظفين'!B:Q,16,0)-SUMIFS(H$5:H311,B$5:B311,B311,F$5:F311,"معتمدة"),"")</f>
        <v/>
      </c>
      <c r="J311" s="53"/>
      <c r="K311" s="53"/>
      <c r="L311" s="98"/>
    </row>
    <row r="312" spans="1:12" ht="22.15" customHeight="1" x14ac:dyDescent="0.2">
      <c r="A312" s="57" t="str">
        <f>IF(B312&lt;&gt;"",308,"")</f>
        <v/>
      </c>
      <c r="B312" s="57"/>
      <c r="C312" s="57" t="str">
        <f>IFERROR(VLOOKUP(B312,'👥 بيانات الموظفين'!B:C,2,0),"")</f>
        <v/>
      </c>
      <c r="D312" s="57"/>
      <c r="E312" s="59"/>
      <c r="F312" s="59"/>
      <c r="G312" s="69" t="str">
        <f t="shared" si="8"/>
        <v/>
      </c>
      <c r="H312" s="69" t="str">
        <f t="shared" si="9"/>
        <v/>
      </c>
      <c r="I312" s="57" t="str">
        <f>IFERROR(VLOOKUP(B312,'👥 بيانات الموظفين'!B:Q,16,0)-SUMIFS(H$5:H312,B$5:B312,B312,F$5:F312,"معتمدة"),"")</f>
        <v/>
      </c>
      <c r="J312" s="57"/>
      <c r="K312" s="57"/>
      <c r="L312" s="99"/>
    </row>
    <row r="313" spans="1:12" ht="22.15" customHeight="1" x14ac:dyDescent="0.2">
      <c r="A313" s="53" t="str">
        <f>IF(B313&lt;&gt;"",309,"")</f>
        <v/>
      </c>
      <c r="B313" s="53"/>
      <c r="C313" s="53" t="str">
        <f>IFERROR(VLOOKUP(B313,'👥 بيانات الموظفين'!B:C,2,0),"")</f>
        <v/>
      </c>
      <c r="D313" s="53"/>
      <c r="E313" s="55"/>
      <c r="F313" s="55"/>
      <c r="G313" s="68" t="str">
        <f t="shared" si="8"/>
        <v/>
      </c>
      <c r="H313" s="68" t="str">
        <f t="shared" si="9"/>
        <v/>
      </c>
      <c r="I313" s="53" t="str">
        <f>IFERROR(VLOOKUP(B313,'👥 بيانات الموظفين'!B:Q,16,0)-SUMIFS(H$5:H313,B$5:B313,B313,F$5:F313,"معتمدة"),"")</f>
        <v/>
      </c>
      <c r="J313" s="53"/>
      <c r="K313" s="53"/>
      <c r="L313" s="98"/>
    </row>
    <row r="314" spans="1:12" ht="22.15" customHeight="1" x14ac:dyDescent="0.2">
      <c r="A314" s="57" t="str">
        <f>IF(B314&lt;&gt;"",310,"")</f>
        <v/>
      </c>
      <c r="B314" s="57"/>
      <c r="C314" s="57" t="str">
        <f>IFERROR(VLOOKUP(B314,'👥 بيانات الموظفين'!B:C,2,0),"")</f>
        <v/>
      </c>
      <c r="D314" s="57"/>
      <c r="E314" s="59"/>
      <c r="F314" s="59"/>
      <c r="G314" s="69" t="str">
        <f t="shared" si="8"/>
        <v/>
      </c>
      <c r="H314" s="69" t="str">
        <f t="shared" si="9"/>
        <v/>
      </c>
      <c r="I314" s="57" t="str">
        <f>IFERROR(VLOOKUP(B314,'👥 بيانات الموظفين'!B:Q,16,0)-SUMIFS(H$5:H314,B$5:B314,B314,F$5:F314,"معتمدة"),"")</f>
        <v/>
      </c>
      <c r="J314" s="57"/>
      <c r="K314" s="57"/>
      <c r="L314" s="99"/>
    </row>
    <row r="315" spans="1:12" ht="22.15" customHeight="1" x14ac:dyDescent="0.2">
      <c r="A315" s="53" t="str">
        <f>IF(B315&lt;&gt;"",311,"")</f>
        <v/>
      </c>
      <c r="B315" s="53"/>
      <c r="C315" s="53" t="str">
        <f>IFERROR(VLOOKUP(B315,'👥 بيانات الموظفين'!B:C,2,0),"")</f>
        <v/>
      </c>
      <c r="D315" s="53"/>
      <c r="E315" s="55"/>
      <c r="F315" s="55"/>
      <c r="G315" s="68" t="str">
        <f t="shared" si="8"/>
        <v/>
      </c>
      <c r="H315" s="68" t="str">
        <f t="shared" si="9"/>
        <v/>
      </c>
      <c r="I315" s="53" t="str">
        <f>IFERROR(VLOOKUP(B315,'👥 بيانات الموظفين'!B:Q,16,0)-SUMIFS(H$5:H315,B$5:B315,B315,F$5:F315,"معتمدة"),"")</f>
        <v/>
      </c>
      <c r="J315" s="53"/>
      <c r="K315" s="53"/>
      <c r="L315" s="98"/>
    </row>
    <row r="316" spans="1:12" ht="22.15" customHeight="1" x14ac:dyDescent="0.2">
      <c r="A316" s="57" t="str">
        <f>IF(B316&lt;&gt;"",312,"")</f>
        <v/>
      </c>
      <c r="B316" s="57"/>
      <c r="C316" s="57" t="str">
        <f>IFERROR(VLOOKUP(B316,'👥 بيانات الموظفين'!B:C,2,0),"")</f>
        <v/>
      </c>
      <c r="D316" s="57"/>
      <c r="E316" s="59"/>
      <c r="F316" s="59"/>
      <c r="G316" s="69" t="str">
        <f t="shared" si="8"/>
        <v/>
      </c>
      <c r="H316" s="69" t="str">
        <f t="shared" si="9"/>
        <v/>
      </c>
      <c r="I316" s="57" t="str">
        <f>IFERROR(VLOOKUP(B316,'👥 بيانات الموظفين'!B:Q,16,0)-SUMIFS(H$5:H316,B$5:B316,B316,F$5:F316,"معتمدة"),"")</f>
        <v/>
      </c>
      <c r="J316" s="57"/>
      <c r="K316" s="57"/>
      <c r="L316" s="99"/>
    </row>
    <row r="317" spans="1:12" ht="22.15" customHeight="1" x14ac:dyDescent="0.2">
      <c r="A317" s="53" t="str">
        <f>IF(B317&lt;&gt;"",313,"")</f>
        <v/>
      </c>
      <c r="B317" s="53"/>
      <c r="C317" s="53" t="str">
        <f>IFERROR(VLOOKUP(B317,'👥 بيانات الموظفين'!B:C,2,0),"")</f>
        <v/>
      </c>
      <c r="D317" s="53"/>
      <c r="E317" s="55"/>
      <c r="F317" s="55"/>
      <c r="G317" s="68" t="str">
        <f t="shared" si="8"/>
        <v/>
      </c>
      <c r="H317" s="68" t="str">
        <f t="shared" si="9"/>
        <v/>
      </c>
      <c r="I317" s="53" t="str">
        <f>IFERROR(VLOOKUP(B317,'👥 بيانات الموظفين'!B:Q,16,0)-SUMIFS(H$5:H317,B$5:B317,B317,F$5:F317,"معتمدة"),"")</f>
        <v/>
      </c>
      <c r="J317" s="53"/>
      <c r="K317" s="53"/>
      <c r="L317" s="98"/>
    </row>
    <row r="318" spans="1:12" ht="22.15" customHeight="1" x14ac:dyDescent="0.2">
      <c r="A318" s="57" t="str">
        <f>IF(B318&lt;&gt;"",314,"")</f>
        <v/>
      </c>
      <c r="B318" s="57"/>
      <c r="C318" s="57" t="str">
        <f>IFERROR(VLOOKUP(B318,'👥 بيانات الموظفين'!B:C,2,0),"")</f>
        <v/>
      </c>
      <c r="D318" s="57"/>
      <c r="E318" s="59"/>
      <c r="F318" s="59"/>
      <c r="G318" s="69" t="str">
        <f t="shared" si="8"/>
        <v/>
      </c>
      <c r="H318" s="69" t="str">
        <f t="shared" si="9"/>
        <v/>
      </c>
      <c r="I318" s="57" t="str">
        <f>IFERROR(VLOOKUP(B318,'👥 بيانات الموظفين'!B:Q,16,0)-SUMIFS(H$5:H318,B$5:B318,B318,F$5:F318,"معتمدة"),"")</f>
        <v/>
      </c>
      <c r="J318" s="57"/>
      <c r="K318" s="57"/>
      <c r="L318" s="99"/>
    </row>
    <row r="319" spans="1:12" ht="22.15" customHeight="1" x14ac:dyDescent="0.2">
      <c r="A319" s="53" t="str">
        <f>IF(B319&lt;&gt;"",315,"")</f>
        <v/>
      </c>
      <c r="B319" s="53"/>
      <c r="C319" s="53" t="str">
        <f>IFERROR(VLOOKUP(B319,'👥 بيانات الموظفين'!B:C,2,0),"")</f>
        <v/>
      </c>
      <c r="D319" s="53"/>
      <c r="E319" s="55"/>
      <c r="F319" s="55"/>
      <c r="G319" s="68" t="str">
        <f t="shared" si="8"/>
        <v/>
      </c>
      <c r="H319" s="68" t="str">
        <f t="shared" si="9"/>
        <v/>
      </c>
      <c r="I319" s="53" t="str">
        <f>IFERROR(VLOOKUP(B319,'👥 بيانات الموظفين'!B:Q,16,0)-SUMIFS(H$5:H319,B$5:B319,B319,F$5:F319,"معتمدة"),"")</f>
        <v/>
      </c>
      <c r="J319" s="53"/>
      <c r="K319" s="53"/>
      <c r="L319" s="98"/>
    </row>
    <row r="320" spans="1:12" ht="22.15" customHeight="1" x14ac:dyDescent="0.2">
      <c r="A320" s="57" t="str">
        <f>IF(B320&lt;&gt;"",316,"")</f>
        <v/>
      </c>
      <c r="B320" s="57"/>
      <c r="C320" s="57" t="str">
        <f>IFERROR(VLOOKUP(B320,'👥 بيانات الموظفين'!B:C,2,0),"")</f>
        <v/>
      </c>
      <c r="D320" s="57"/>
      <c r="E320" s="59"/>
      <c r="F320" s="59"/>
      <c r="G320" s="69" t="str">
        <f t="shared" si="8"/>
        <v/>
      </c>
      <c r="H320" s="69" t="str">
        <f t="shared" si="9"/>
        <v/>
      </c>
      <c r="I320" s="57" t="str">
        <f>IFERROR(VLOOKUP(B320,'👥 بيانات الموظفين'!B:Q,16,0)-SUMIFS(H$5:H320,B$5:B320,B320,F$5:F320,"معتمدة"),"")</f>
        <v/>
      </c>
      <c r="J320" s="57"/>
      <c r="K320" s="57"/>
      <c r="L320" s="99"/>
    </row>
    <row r="321" spans="1:12" ht="22.15" customHeight="1" x14ac:dyDescent="0.2">
      <c r="A321" s="53" t="str">
        <f>IF(B321&lt;&gt;"",317,"")</f>
        <v/>
      </c>
      <c r="B321" s="53"/>
      <c r="C321" s="53" t="str">
        <f>IFERROR(VLOOKUP(B321,'👥 بيانات الموظفين'!B:C,2,0),"")</f>
        <v/>
      </c>
      <c r="D321" s="53"/>
      <c r="E321" s="55"/>
      <c r="F321" s="55"/>
      <c r="G321" s="68" t="str">
        <f t="shared" si="8"/>
        <v/>
      </c>
      <c r="H321" s="68" t="str">
        <f t="shared" si="9"/>
        <v/>
      </c>
      <c r="I321" s="53" t="str">
        <f>IFERROR(VLOOKUP(B321,'👥 بيانات الموظفين'!B:Q,16,0)-SUMIFS(H$5:H321,B$5:B321,B321,F$5:F321,"معتمدة"),"")</f>
        <v/>
      </c>
      <c r="J321" s="53"/>
      <c r="K321" s="53"/>
      <c r="L321" s="98"/>
    </row>
    <row r="322" spans="1:12" ht="22.15" customHeight="1" x14ac:dyDescent="0.2">
      <c r="A322" s="57" t="str">
        <f>IF(B322&lt;&gt;"",318,"")</f>
        <v/>
      </c>
      <c r="B322" s="57"/>
      <c r="C322" s="57" t="str">
        <f>IFERROR(VLOOKUP(B322,'👥 بيانات الموظفين'!B:C,2,0),"")</f>
        <v/>
      </c>
      <c r="D322" s="57"/>
      <c r="E322" s="59"/>
      <c r="F322" s="59"/>
      <c r="G322" s="69" t="str">
        <f t="shared" si="8"/>
        <v/>
      </c>
      <c r="H322" s="69" t="str">
        <f t="shared" si="9"/>
        <v/>
      </c>
      <c r="I322" s="57" t="str">
        <f>IFERROR(VLOOKUP(B322,'👥 بيانات الموظفين'!B:Q,16,0)-SUMIFS(H$5:H322,B$5:B322,B322,F$5:F322,"معتمدة"),"")</f>
        <v/>
      </c>
      <c r="J322" s="57"/>
      <c r="K322" s="57"/>
      <c r="L322" s="99"/>
    </row>
    <row r="323" spans="1:12" ht="22.15" customHeight="1" x14ac:dyDescent="0.2">
      <c r="A323" s="53" t="str">
        <f>IF(B323&lt;&gt;"",319,"")</f>
        <v/>
      </c>
      <c r="B323" s="53"/>
      <c r="C323" s="53" t="str">
        <f>IFERROR(VLOOKUP(B323,'👥 بيانات الموظفين'!B:C,2,0),"")</f>
        <v/>
      </c>
      <c r="D323" s="53"/>
      <c r="E323" s="55"/>
      <c r="F323" s="55"/>
      <c r="G323" s="68" t="str">
        <f t="shared" si="8"/>
        <v/>
      </c>
      <c r="H323" s="68" t="str">
        <f t="shared" si="9"/>
        <v/>
      </c>
      <c r="I323" s="53" t="str">
        <f>IFERROR(VLOOKUP(B323,'👥 بيانات الموظفين'!B:Q,16,0)-SUMIFS(H$5:H323,B$5:B323,B323,F$5:F323,"معتمدة"),"")</f>
        <v/>
      </c>
      <c r="J323" s="53"/>
      <c r="K323" s="53"/>
      <c r="L323" s="98"/>
    </row>
    <row r="324" spans="1:12" ht="22.15" customHeight="1" x14ac:dyDescent="0.2">
      <c r="A324" s="57" t="str">
        <f>IF(B324&lt;&gt;"",320,"")</f>
        <v/>
      </c>
      <c r="B324" s="57"/>
      <c r="C324" s="57" t="str">
        <f>IFERROR(VLOOKUP(B324,'👥 بيانات الموظفين'!B:C,2,0),"")</f>
        <v/>
      </c>
      <c r="D324" s="57"/>
      <c r="E324" s="59"/>
      <c r="F324" s="59"/>
      <c r="G324" s="69" t="str">
        <f t="shared" si="8"/>
        <v/>
      </c>
      <c r="H324" s="69" t="str">
        <f t="shared" si="9"/>
        <v/>
      </c>
      <c r="I324" s="57" t="str">
        <f>IFERROR(VLOOKUP(B324,'👥 بيانات الموظفين'!B:Q,16,0)-SUMIFS(H$5:H324,B$5:B324,B324,F$5:F324,"معتمدة"),"")</f>
        <v/>
      </c>
      <c r="J324" s="57"/>
      <c r="K324" s="57"/>
      <c r="L324" s="99"/>
    </row>
    <row r="325" spans="1:12" ht="22.15" customHeight="1" x14ac:dyDescent="0.2">
      <c r="A325" s="53" t="str">
        <f>IF(B325&lt;&gt;"",321,"")</f>
        <v/>
      </c>
      <c r="B325" s="53"/>
      <c r="C325" s="53" t="str">
        <f>IFERROR(VLOOKUP(B325,'👥 بيانات الموظفين'!B:C,2,0),"")</f>
        <v/>
      </c>
      <c r="D325" s="53"/>
      <c r="E325" s="55"/>
      <c r="F325" s="55"/>
      <c r="G325" s="68" t="str">
        <f t="shared" ref="G325:G388" si="10">IFERROR(IF(AND(E325&lt;&gt;"",F325&lt;&gt;""),F325-E325+1,""),"")</f>
        <v/>
      </c>
      <c r="H325" s="68" t="str">
        <f t="shared" ref="H325:H388" si="11">IF(AND(E325&lt;&gt;"",G325&lt;&gt;""),NETWORKDAYS(E325,G325),"")</f>
        <v/>
      </c>
      <c r="I325" s="53" t="str">
        <f>IFERROR(VLOOKUP(B325,'👥 بيانات الموظفين'!B:Q,16,0)-SUMIFS(H$5:H325,B$5:B325,B325,F$5:F325,"معتمدة"),"")</f>
        <v/>
      </c>
      <c r="J325" s="53"/>
      <c r="K325" s="53"/>
      <c r="L325" s="98"/>
    </row>
    <row r="326" spans="1:12" ht="22.15" customHeight="1" x14ac:dyDescent="0.2">
      <c r="A326" s="57" t="str">
        <f>IF(B326&lt;&gt;"",322,"")</f>
        <v/>
      </c>
      <c r="B326" s="57"/>
      <c r="C326" s="57" t="str">
        <f>IFERROR(VLOOKUP(B326,'👥 بيانات الموظفين'!B:C,2,0),"")</f>
        <v/>
      </c>
      <c r="D326" s="57"/>
      <c r="E326" s="59"/>
      <c r="F326" s="59"/>
      <c r="G326" s="69" t="str">
        <f t="shared" si="10"/>
        <v/>
      </c>
      <c r="H326" s="69" t="str">
        <f t="shared" si="11"/>
        <v/>
      </c>
      <c r="I326" s="57" t="str">
        <f>IFERROR(VLOOKUP(B326,'👥 بيانات الموظفين'!B:Q,16,0)-SUMIFS(H$5:H326,B$5:B326,B326,F$5:F326,"معتمدة"),"")</f>
        <v/>
      </c>
      <c r="J326" s="57"/>
      <c r="K326" s="57"/>
      <c r="L326" s="99"/>
    </row>
    <row r="327" spans="1:12" ht="22.15" customHeight="1" x14ac:dyDescent="0.2">
      <c r="A327" s="53" t="str">
        <f>IF(B327&lt;&gt;"",323,"")</f>
        <v/>
      </c>
      <c r="B327" s="53"/>
      <c r="C327" s="53" t="str">
        <f>IFERROR(VLOOKUP(B327,'👥 بيانات الموظفين'!B:C,2,0),"")</f>
        <v/>
      </c>
      <c r="D327" s="53"/>
      <c r="E327" s="55"/>
      <c r="F327" s="55"/>
      <c r="G327" s="68" t="str">
        <f t="shared" si="10"/>
        <v/>
      </c>
      <c r="H327" s="68" t="str">
        <f t="shared" si="11"/>
        <v/>
      </c>
      <c r="I327" s="53" t="str">
        <f>IFERROR(VLOOKUP(B327,'👥 بيانات الموظفين'!B:Q,16,0)-SUMIFS(H$5:H327,B$5:B327,B327,F$5:F327,"معتمدة"),"")</f>
        <v/>
      </c>
      <c r="J327" s="53"/>
      <c r="K327" s="53"/>
      <c r="L327" s="98"/>
    </row>
    <row r="328" spans="1:12" ht="22.15" customHeight="1" x14ac:dyDescent="0.2">
      <c r="A328" s="57" t="str">
        <f>IF(B328&lt;&gt;"",324,"")</f>
        <v/>
      </c>
      <c r="B328" s="57"/>
      <c r="C328" s="57" t="str">
        <f>IFERROR(VLOOKUP(B328,'👥 بيانات الموظفين'!B:C,2,0),"")</f>
        <v/>
      </c>
      <c r="D328" s="57"/>
      <c r="E328" s="59"/>
      <c r="F328" s="59"/>
      <c r="G328" s="69" t="str">
        <f t="shared" si="10"/>
        <v/>
      </c>
      <c r="H328" s="69" t="str">
        <f t="shared" si="11"/>
        <v/>
      </c>
      <c r="I328" s="57" t="str">
        <f>IFERROR(VLOOKUP(B328,'👥 بيانات الموظفين'!B:Q,16,0)-SUMIFS(H$5:H328,B$5:B328,B328,F$5:F328,"معتمدة"),"")</f>
        <v/>
      </c>
      <c r="J328" s="57"/>
      <c r="K328" s="57"/>
      <c r="L328" s="99"/>
    </row>
    <row r="329" spans="1:12" ht="22.15" customHeight="1" x14ac:dyDescent="0.2">
      <c r="A329" s="53" t="str">
        <f>IF(B329&lt;&gt;"",325,"")</f>
        <v/>
      </c>
      <c r="B329" s="53"/>
      <c r="C329" s="53" t="str">
        <f>IFERROR(VLOOKUP(B329,'👥 بيانات الموظفين'!B:C,2,0),"")</f>
        <v/>
      </c>
      <c r="D329" s="53"/>
      <c r="E329" s="55"/>
      <c r="F329" s="55"/>
      <c r="G329" s="68" t="str">
        <f t="shared" si="10"/>
        <v/>
      </c>
      <c r="H329" s="68" t="str">
        <f t="shared" si="11"/>
        <v/>
      </c>
      <c r="I329" s="53" t="str">
        <f>IFERROR(VLOOKUP(B329,'👥 بيانات الموظفين'!B:Q,16,0)-SUMIFS(H$5:H329,B$5:B329,B329,F$5:F329,"معتمدة"),"")</f>
        <v/>
      </c>
      <c r="J329" s="53"/>
      <c r="K329" s="53"/>
      <c r="L329" s="98"/>
    </row>
    <row r="330" spans="1:12" ht="22.15" customHeight="1" x14ac:dyDescent="0.2">
      <c r="A330" s="57" t="str">
        <f>IF(B330&lt;&gt;"",326,"")</f>
        <v/>
      </c>
      <c r="B330" s="57"/>
      <c r="C330" s="57" t="str">
        <f>IFERROR(VLOOKUP(B330,'👥 بيانات الموظفين'!B:C,2,0),"")</f>
        <v/>
      </c>
      <c r="D330" s="57"/>
      <c r="E330" s="59"/>
      <c r="F330" s="59"/>
      <c r="G330" s="69" t="str">
        <f t="shared" si="10"/>
        <v/>
      </c>
      <c r="H330" s="69" t="str">
        <f t="shared" si="11"/>
        <v/>
      </c>
      <c r="I330" s="57" t="str">
        <f>IFERROR(VLOOKUP(B330,'👥 بيانات الموظفين'!B:Q,16,0)-SUMIFS(H$5:H330,B$5:B330,B330,F$5:F330,"معتمدة"),"")</f>
        <v/>
      </c>
      <c r="J330" s="57"/>
      <c r="K330" s="57"/>
      <c r="L330" s="99"/>
    </row>
    <row r="331" spans="1:12" ht="22.15" customHeight="1" x14ac:dyDescent="0.2">
      <c r="A331" s="53" t="str">
        <f>IF(B331&lt;&gt;"",327,"")</f>
        <v/>
      </c>
      <c r="B331" s="53"/>
      <c r="C331" s="53" t="str">
        <f>IFERROR(VLOOKUP(B331,'👥 بيانات الموظفين'!B:C,2,0),"")</f>
        <v/>
      </c>
      <c r="D331" s="53"/>
      <c r="E331" s="55"/>
      <c r="F331" s="55"/>
      <c r="G331" s="68" t="str">
        <f t="shared" si="10"/>
        <v/>
      </c>
      <c r="H331" s="68" t="str">
        <f t="shared" si="11"/>
        <v/>
      </c>
      <c r="I331" s="53" t="str">
        <f>IFERROR(VLOOKUP(B331,'👥 بيانات الموظفين'!B:Q,16,0)-SUMIFS(H$5:H331,B$5:B331,B331,F$5:F331,"معتمدة"),"")</f>
        <v/>
      </c>
      <c r="J331" s="53"/>
      <c r="K331" s="53"/>
      <c r="L331" s="98"/>
    </row>
    <row r="332" spans="1:12" ht="22.15" customHeight="1" x14ac:dyDescent="0.2">
      <c r="A332" s="57" t="str">
        <f>IF(B332&lt;&gt;"",328,"")</f>
        <v/>
      </c>
      <c r="B332" s="57"/>
      <c r="C332" s="57" t="str">
        <f>IFERROR(VLOOKUP(B332,'👥 بيانات الموظفين'!B:C,2,0),"")</f>
        <v/>
      </c>
      <c r="D332" s="57"/>
      <c r="E332" s="59"/>
      <c r="F332" s="59"/>
      <c r="G332" s="69" t="str">
        <f t="shared" si="10"/>
        <v/>
      </c>
      <c r="H332" s="69" t="str">
        <f t="shared" si="11"/>
        <v/>
      </c>
      <c r="I332" s="57" t="str">
        <f>IFERROR(VLOOKUP(B332,'👥 بيانات الموظفين'!B:Q,16,0)-SUMIFS(H$5:H332,B$5:B332,B332,F$5:F332,"معتمدة"),"")</f>
        <v/>
      </c>
      <c r="J332" s="57"/>
      <c r="K332" s="57"/>
      <c r="L332" s="99"/>
    </row>
    <row r="333" spans="1:12" ht="22.15" customHeight="1" x14ac:dyDescent="0.2">
      <c r="A333" s="53" t="str">
        <f>IF(B333&lt;&gt;"",329,"")</f>
        <v/>
      </c>
      <c r="B333" s="53"/>
      <c r="C333" s="53" t="str">
        <f>IFERROR(VLOOKUP(B333,'👥 بيانات الموظفين'!B:C,2,0),"")</f>
        <v/>
      </c>
      <c r="D333" s="53"/>
      <c r="E333" s="55"/>
      <c r="F333" s="55"/>
      <c r="G333" s="68" t="str">
        <f t="shared" si="10"/>
        <v/>
      </c>
      <c r="H333" s="68" t="str">
        <f t="shared" si="11"/>
        <v/>
      </c>
      <c r="I333" s="53" t="str">
        <f>IFERROR(VLOOKUP(B333,'👥 بيانات الموظفين'!B:Q,16,0)-SUMIFS(H$5:H333,B$5:B333,B333,F$5:F333,"معتمدة"),"")</f>
        <v/>
      </c>
      <c r="J333" s="53"/>
      <c r="K333" s="53"/>
      <c r="L333" s="98"/>
    </row>
    <row r="334" spans="1:12" ht="22.15" customHeight="1" x14ac:dyDescent="0.2">
      <c r="A334" s="57" t="str">
        <f>IF(B334&lt;&gt;"",330,"")</f>
        <v/>
      </c>
      <c r="B334" s="57"/>
      <c r="C334" s="57" t="str">
        <f>IFERROR(VLOOKUP(B334,'👥 بيانات الموظفين'!B:C,2,0),"")</f>
        <v/>
      </c>
      <c r="D334" s="57"/>
      <c r="E334" s="59"/>
      <c r="F334" s="59"/>
      <c r="G334" s="69" t="str">
        <f t="shared" si="10"/>
        <v/>
      </c>
      <c r="H334" s="69" t="str">
        <f t="shared" si="11"/>
        <v/>
      </c>
      <c r="I334" s="57" t="str">
        <f>IFERROR(VLOOKUP(B334,'👥 بيانات الموظفين'!B:Q,16,0)-SUMIFS(H$5:H334,B$5:B334,B334,F$5:F334,"معتمدة"),"")</f>
        <v/>
      </c>
      <c r="J334" s="57"/>
      <c r="K334" s="57"/>
      <c r="L334" s="99"/>
    </row>
    <row r="335" spans="1:12" ht="22.15" customHeight="1" x14ac:dyDescent="0.2">
      <c r="A335" s="53" t="str">
        <f>IF(B335&lt;&gt;"",331,"")</f>
        <v/>
      </c>
      <c r="B335" s="53"/>
      <c r="C335" s="53" t="str">
        <f>IFERROR(VLOOKUP(B335,'👥 بيانات الموظفين'!B:C,2,0),"")</f>
        <v/>
      </c>
      <c r="D335" s="53"/>
      <c r="E335" s="55"/>
      <c r="F335" s="55"/>
      <c r="G335" s="68" t="str">
        <f t="shared" si="10"/>
        <v/>
      </c>
      <c r="H335" s="68" t="str">
        <f t="shared" si="11"/>
        <v/>
      </c>
      <c r="I335" s="53" t="str">
        <f>IFERROR(VLOOKUP(B335,'👥 بيانات الموظفين'!B:Q,16,0)-SUMIFS(H$5:H335,B$5:B335,B335,F$5:F335,"معتمدة"),"")</f>
        <v/>
      </c>
      <c r="J335" s="53"/>
      <c r="K335" s="53"/>
      <c r="L335" s="98"/>
    </row>
    <row r="336" spans="1:12" ht="22.15" customHeight="1" x14ac:dyDescent="0.2">
      <c r="A336" s="57" t="str">
        <f>IF(B336&lt;&gt;"",332,"")</f>
        <v/>
      </c>
      <c r="B336" s="57"/>
      <c r="C336" s="57" t="str">
        <f>IFERROR(VLOOKUP(B336,'👥 بيانات الموظفين'!B:C,2,0),"")</f>
        <v/>
      </c>
      <c r="D336" s="57"/>
      <c r="E336" s="59"/>
      <c r="F336" s="59"/>
      <c r="G336" s="69" t="str">
        <f t="shared" si="10"/>
        <v/>
      </c>
      <c r="H336" s="69" t="str">
        <f t="shared" si="11"/>
        <v/>
      </c>
      <c r="I336" s="57" t="str">
        <f>IFERROR(VLOOKUP(B336,'👥 بيانات الموظفين'!B:Q,16,0)-SUMIFS(H$5:H336,B$5:B336,B336,F$5:F336,"معتمدة"),"")</f>
        <v/>
      </c>
      <c r="J336" s="57"/>
      <c r="K336" s="57"/>
      <c r="L336" s="99"/>
    </row>
    <row r="337" spans="1:12" ht="22.15" customHeight="1" x14ac:dyDescent="0.2">
      <c r="A337" s="53" t="str">
        <f>IF(B337&lt;&gt;"",333,"")</f>
        <v/>
      </c>
      <c r="B337" s="53"/>
      <c r="C337" s="53" t="str">
        <f>IFERROR(VLOOKUP(B337,'👥 بيانات الموظفين'!B:C,2,0),"")</f>
        <v/>
      </c>
      <c r="D337" s="53"/>
      <c r="E337" s="55"/>
      <c r="F337" s="55"/>
      <c r="G337" s="68" t="str">
        <f t="shared" si="10"/>
        <v/>
      </c>
      <c r="H337" s="68" t="str">
        <f t="shared" si="11"/>
        <v/>
      </c>
      <c r="I337" s="53" t="str">
        <f>IFERROR(VLOOKUP(B337,'👥 بيانات الموظفين'!B:Q,16,0)-SUMIFS(H$5:H337,B$5:B337,B337,F$5:F337,"معتمدة"),"")</f>
        <v/>
      </c>
      <c r="J337" s="53"/>
      <c r="K337" s="53"/>
      <c r="L337" s="98"/>
    </row>
    <row r="338" spans="1:12" ht="22.15" customHeight="1" x14ac:dyDescent="0.2">
      <c r="A338" s="57" t="str">
        <f>IF(B338&lt;&gt;"",334,"")</f>
        <v/>
      </c>
      <c r="B338" s="57"/>
      <c r="C338" s="57" t="str">
        <f>IFERROR(VLOOKUP(B338,'👥 بيانات الموظفين'!B:C,2,0),"")</f>
        <v/>
      </c>
      <c r="D338" s="57"/>
      <c r="E338" s="59"/>
      <c r="F338" s="59"/>
      <c r="G338" s="69" t="str">
        <f t="shared" si="10"/>
        <v/>
      </c>
      <c r="H338" s="69" t="str">
        <f t="shared" si="11"/>
        <v/>
      </c>
      <c r="I338" s="57" t="str">
        <f>IFERROR(VLOOKUP(B338,'👥 بيانات الموظفين'!B:Q,16,0)-SUMIFS(H$5:H338,B$5:B338,B338,F$5:F338,"معتمدة"),"")</f>
        <v/>
      </c>
      <c r="J338" s="57"/>
      <c r="K338" s="57"/>
      <c r="L338" s="99"/>
    </row>
    <row r="339" spans="1:12" ht="22.15" customHeight="1" x14ac:dyDescent="0.2">
      <c r="A339" s="53" t="str">
        <f>IF(B339&lt;&gt;"",335,"")</f>
        <v/>
      </c>
      <c r="B339" s="53"/>
      <c r="C339" s="53" t="str">
        <f>IFERROR(VLOOKUP(B339,'👥 بيانات الموظفين'!B:C,2,0),"")</f>
        <v/>
      </c>
      <c r="D339" s="53"/>
      <c r="E339" s="55"/>
      <c r="F339" s="55"/>
      <c r="G339" s="68" t="str">
        <f t="shared" si="10"/>
        <v/>
      </c>
      <c r="H339" s="68" t="str">
        <f t="shared" si="11"/>
        <v/>
      </c>
      <c r="I339" s="53" t="str">
        <f>IFERROR(VLOOKUP(B339,'👥 بيانات الموظفين'!B:Q,16,0)-SUMIFS(H$5:H339,B$5:B339,B339,F$5:F339,"معتمدة"),"")</f>
        <v/>
      </c>
      <c r="J339" s="53"/>
      <c r="K339" s="53"/>
      <c r="L339" s="98"/>
    </row>
    <row r="340" spans="1:12" ht="22.15" customHeight="1" x14ac:dyDescent="0.2">
      <c r="A340" s="57" t="str">
        <f>IF(B340&lt;&gt;"",336,"")</f>
        <v/>
      </c>
      <c r="B340" s="57"/>
      <c r="C340" s="57" t="str">
        <f>IFERROR(VLOOKUP(B340,'👥 بيانات الموظفين'!B:C,2,0),"")</f>
        <v/>
      </c>
      <c r="D340" s="57"/>
      <c r="E340" s="59"/>
      <c r="F340" s="59"/>
      <c r="G340" s="69" t="str">
        <f t="shared" si="10"/>
        <v/>
      </c>
      <c r="H340" s="69" t="str">
        <f t="shared" si="11"/>
        <v/>
      </c>
      <c r="I340" s="57" t="str">
        <f>IFERROR(VLOOKUP(B340,'👥 بيانات الموظفين'!B:Q,16,0)-SUMIFS(H$5:H340,B$5:B340,B340,F$5:F340,"معتمدة"),"")</f>
        <v/>
      </c>
      <c r="J340" s="57"/>
      <c r="K340" s="57"/>
      <c r="L340" s="99"/>
    </row>
    <row r="341" spans="1:12" ht="22.15" customHeight="1" x14ac:dyDescent="0.2">
      <c r="A341" s="53" t="str">
        <f>IF(B341&lt;&gt;"",337,"")</f>
        <v/>
      </c>
      <c r="B341" s="53"/>
      <c r="C341" s="53" t="str">
        <f>IFERROR(VLOOKUP(B341,'👥 بيانات الموظفين'!B:C,2,0),"")</f>
        <v/>
      </c>
      <c r="D341" s="53"/>
      <c r="E341" s="55"/>
      <c r="F341" s="55"/>
      <c r="G341" s="68" t="str">
        <f t="shared" si="10"/>
        <v/>
      </c>
      <c r="H341" s="68" t="str">
        <f t="shared" si="11"/>
        <v/>
      </c>
      <c r="I341" s="53" t="str">
        <f>IFERROR(VLOOKUP(B341,'👥 بيانات الموظفين'!B:Q,16,0)-SUMIFS(H$5:H341,B$5:B341,B341,F$5:F341,"معتمدة"),"")</f>
        <v/>
      </c>
      <c r="J341" s="53"/>
      <c r="K341" s="53"/>
      <c r="L341" s="98"/>
    </row>
    <row r="342" spans="1:12" ht="22.15" customHeight="1" x14ac:dyDescent="0.2">
      <c r="A342" s="57" t="str">
        <f>IF(B342&lt;&gt;"",338,"")</f>
        <v/>
      </c>
      <c r="B342" s="57"/>
      <c r="C342" s="57" t="str">
        <f>IFERROR(VLOOKUP(B342,'👥 بيانات الموظفين'!B:C,2,0),"")</f>
        <v/>
      </c>
      <c r="D342" s="57"/>
      <c r="E342" s="59"/>
      <c r="F342" s="59"/>
      <c r="G342" s="69" t="str">
        <f t="shared" si="10"/>
        <v/>
      </c>
      <c r="H342" s="69" t="str">
        <f t="shared" si="11"/>
        <v/>
      </c>
      <c r="I342" s="57" t="str">
        <f>IFERROR(VLOOKUP(B342,'👥 بيانات الموظفين'!B:Q,16,0)-SUMIFS(H$5:H342,B$5:B342,B342,F$5:F342,"معتمدة"),"")</f>
        <v/>
      </c>
      <c r="J342" s="57"/>
      <c r="K342" s="57"/>
      <c r="L342" s="99"/>
    </row>
    <row r="343" spans="1:12" ht="22.15" customHeight="1" x14ac:dyDescent="0.2">
      <c r="A343" s="53" t="str">
        <f>IF(B343&lt;&gt;"",339,"")</f>
        <v/>
      </c>
      <c r="B343" s="53"/>
      <c r="C343" s="53" t="str">
        <f>IFERROR(VLOOKUP(B343,'👥 بيانات الموظفين'!B:C,2,0),"")</f>
        <v/>
      </c>
      <c r="D343" s="53"/>
      <c r="E343" s="55"/>
      <c r="F343" s="55"/>
      <c r="G343" s="68" t="str">
        <f t="shared" si="10"/>
        <v/>
      </c>
      <c r="H343" s="68" t="str">
        <f t="shared" si="11"/>
        <v/>
      </c>
      <c r="I343" s="53" t="str">
        <f>IFERROR(VLOOKUP(B343,'👥 بيانات الموظفين'!B:Q,16,0)-SUMIFS(H$5:H343,B$5:B343,B343,F$5:F343,"معتمدة"),"")</f>
        <v/>
      </c>
      <c r="J343" s="53"/>
      <c r="K343" s="53"/>
      <c r="L343" s="98"/>
    </row>
    <row r="344" spans="1:12" ht="22.15" customHeight="1" x14ac:dyDescent="0.2">
      <c r="A344" s="57" t="str">
        <f>IF(B344&lt;&gt;"",340,"")</f>
        <v/>
      </c>
      <c r="B344" s="57"/>
      <c r="C344" s="57" t="str">
        <f>IFERROR(VLOOKUP(B344,'👥 بيانات الموظفين'!B:C,2,0),"")</f>
        <v/>
      </c>
      <c r="D344" s="57"/>
      <c r="E344" s="59"/>
      <c r="F344" s="59"/>
      <c r="G344" s="69" t="str">
        <f t="shared" si="10"/>
        <v/>
      </c>
      <c r="H344" s="69" t="str">
        <f t="shared" si="11"/>
        <v/>
      </c>
      <c r="I344" s="57" t="str">
        <f>IFERROR(VLOOKUP(B344,'👥 بيانات الموظفين'!B:Q,16,0)-SUMIFS(H$5:H344,B$5:B344,B344,F$5:F344,"معتمدة"),"")</f>
        <v/>
      </c>
      <c r="J344" s="57"/>
      <c r="K344" s="57"/>
      <c r="L344" s="99"/>
    </row>
    <row r="345" spans="1:12" ht="22.15" customHeight="1" x14ac:dyDescent="0.2">
      <c r="A345" s="53" t="str">
        <f>IF(B345&lt;&gt;"",341,"")</f>
        <v/>
      </c>
      <c r="B345" s="53"/>
      <c r="C345" s="53" t="str">
        <f>IFERROR(VLOOKUP(B345,'👥 بيانات الموظفين'!B:C,2,0),"")</f>
        <v/>
      </c>
      <c r="D345" s="53"/>
      <c r="E345" s="55"/>
      <c r="F345" s="55"/>
      <c r="G345" s="68" t="str">
        <f t="shared" si="10"/>
        <v/>
      </c>
      <c r="H345" s="68" t="str">
        <f t="shared" si="11"/>
        <v/>
      </c>
      <c r="I345" s="53" t="str">
        <f>IFERROR(VLOOKUP(B345,'👥 بيانات الموظفين'!B:Q,16,0)-SUMIFS(H$5:H345,B$5:B345,B345,F$5:F345,"معتمدة"),"")</f>
        <v/>
      </c>
      <c r="J345" s="53"/>
      <c r="K345" s="53"/>
      <c r="L345" s="98"/>
    </row>
    <row r="346" spans="1:12" ht="22.15" customHeight="1" x14ac:dyDescent="0.2">
      <c r="A346" s="57" t="str">
        <f>IF(B346&lt;&gt;"",342,"")</f>
        <v/>
      </c>
      <c r="B346" s="57"/>
      <c r="C346" s="57" t="str">
        <f>IFERROR(VLOOKUP(B346,'👥 بيانات الموظفين'!B:C,2,0),"")</f>
        <v/>
      </c>
      <c r="D346" s="57"/>
      <c r="E346" s="59"/>
      <c r="F346" s="59"/>
      <c r="G346" s="69" t="str">
        <f t="shared" si="10"/>
        <v/>
      </c>
      <c r="H346" s="69" t="str">
        <f t="shared" si="11"/>
        <v/>
      </c>
      <c r="I346" s="57" t="str">
        <f>IFERROR(VLOOKUP(B346,'👥 بيانات الموظفين'!B:Q,16,0)-SUMIFS(H$5:H346,B$5:B346,B346,F$5:F346,"معتمدة"),"")</f>
        <v/>
      </c>
      <c r="J346" s="57"/>
      <c r="K346" s="57"/>
      <c r="L346" s="99"/>
    </row>
    <row r="347" spans="1:12" ht="22.15" customHeight="1" x14ac:dyDescent="0.2">
      <c r="A347" s="53" t="str">
        <f>IF(B347&lt;&gt;"",343,"")</f>
        <v/>
      </c>
      <c r="B347" s="53"/>
      <c r="C347" s="53" t="str">
        <f>IFERROR(VLOOKUP(B347,'👥 بيانات الموظفين'!B:C,2,0),"")</f>
        <v/>
      </c>
      <c r="D347" s="53"/>
      <c r="E347" s="55"/>
      <c r="F347" s="55"/>
      <c r="G347" s="68" t="str">
        <f t="shared" si="10"/>
        <v/>
      </c>
      <c r="H347" s="68" t="str">
        <f t="shared" si="11"/>
        <v/>
      </c>
      <c r="I347" s="53" t="str">
        <f>IFERROR(VLOOKUP(B347,'👥 بيانات الموظفين'!B:Q,16,0)-SUMIFS(H$5:H347,B$5:B347,B347,F$5:F347,"معتمدة"),"")</f>
        <v/>
      </c>
      <c r="J347" s="53"/>
      <c r="K347" s="53"/>
      <c r="L347" s="98"/>
    </row>
    <row r="348" spans="1:12" ht="22.15" customHeight="1" x14ac:dyDescent="0.2">
      <c r="A348" s="57" t="str">
        <f>IF(B348&lt;&gt;"",344,"")</f>
        <v/>
      </c>
      <c r="B348" s="57"/>
      <c r="C348" s="57" t="str">
        <f>IFERROR(VLOOKUP(B348,'👥 بيانات الموظفين'!B:C,2,0),"")</f>
        <v/>
      </c>
      <c r="D348" s="57"/>
      <c r="E348" s="59"/>
      <c r="F348" s="59"/>
      <c r="G348" s="69" t="str">
        <f t="shared" si="10"/>
        <v/>
      </c>
      <c r="H348" s="69" t="str">
        <f t="shared" si="11"/>
        <v/>
      </c>
      <c r="I348" s="57" t="str">
        <f>IFERROR(VLOOKUP(B348,'👥 بيانات الموظفين'!B:Q,16,0)-SUMIFS(H$5:H348,B$5:B348,B348,F$5:F348,"معتمدة"),"")</f>
        <v/>
      </c>
      <c r="J348" s="57"/>
      <c r="K348" s="57"/>
      <c r="L348" s="99"/>
    </row>
    <row r="349" spans="1:12" ht="22.15" customHeight="1" x14ac:dyDescent="0.2">
      <c r="A349" s="53" t="str">
        <f>IF(B349&lt;&gt;"",345,"")</f>
        <v/>
      </c>
      <c r="B349" s="53"/>
      <c r="C349" s="53" t="str">
        <f>IFERROR(VLOOKUP(B349,'👥 بيانات الموظفين'!B:C,2,0),"")</f>
        <v/>
      </c>
      <c r="D349" s="53"/>
      <c r="E349" s="55"/>
      <c r="F349" s="55"/>
      <c r="G349" s="68" t="str">
        <f t="shared" si="10"/>
        <v/>
      </c>
      <c r="H349" s="68" t="str">
        <f t="shared" si="11"/>
        <v/>
      </c>
      <c r="I349" s="53" t="str">
        <f>IFERROR(VLOOKUP(B349,'👥 بيانات الموظفين'!B:Q,16,0)-SUMIFS(H$5:H349,B$5:B349,B349,F$5:F349,"معتمدة"),"")</f>
        <v/>
      </c>
      <c r="J349" s="53"/>
      <c r="K349" s="53"/>
      <c r="L349" s="98"/>
    </row>
    <row r="350" spans="1:12" ht="22.15" customHeight="1" x14ac:dyDescent="0.2">
      <c r="A350" s="57" t="str">
        <f>IF(B350&lt;&gt;"",346,"")</f>
        <v/>
      </c>
      <c r="B350" s="57"/>
      <c r="C350" s="57" t="str">
        <f>IFERROR(VLOOKUP(B350,'👥 بيانات الموظفين'!B:C,2,0),"")</f>
        <v/>
      </c>
      <c r="D350" s="57"/>
      <c r="E350" s="59"/>
      <c r="F350" s="59"/>
      <c r="G350" s="69" t="str">
        <f t="shared" si="10"/>
        <v/>
      </c>
      <c r="H350" s="69" t="str">
        <f t="shared" si="11"/>
        <v/>
      </c>
      <c r="I350" s="57" t="str">
        <f>IFERROR(VLOOKUP(B350,'👥 بيانات الموظفين'!B:Q,16,0)-SUMIFS(H$5:H350,B$5:B350,B350,F$5:F350,"معتمدة"),"")</f>
        <v/>
      </c>
      <c r="J350" s="57"/>
      <c r="K350" s="57"/>
      <c r="L350" s="99"/>
    </row>
    <row r="351" spans="1:12" ht="22.15" customHeight="1" x14ac:dyDescent="0.2">
      <c r="A351" s="53" t="str">
        <f>IF(B351&lt;&gt;"",347,"")</f>
        <v/>
      </c>
      <c r="B351" s="53"/>
      <c r="C351" s="53" t="str">
        <f>IFERROR(VLOOKUP(B351,'👥 بيانات الموظفين'!B:C,2,0),"")</f>
        <v/>
      </c>
      <c r="D351" s="53"/>
      <c r="E351" s="55"/>
      <c r="F351" s="55"/>
      <c r="G351" s="68" t="str">
        <f t="shared" si="10"/>
        <v/>
      </c>
      <c r="H351" s="68" t="str">
        <f t="shared" si="11"/>
        <v/>
      </c>
      <c r="I351" s="53" t="str">
        <f>IFERROR(VLOOKUP(B351,'👥 بيانات الموظفين'!B:Q,16,0)-SUMIFS(H$5:H351,B$5:B351,B351,F$5:F351,"معتمدة"),"")</f>
        <v/>
      </c>
      <c r="J351" s="53"/>
      <c r="K351" s="53"/>
      <c r="L351" s="98"/>
    </row>
    <row r="352" spans="1:12" ht="22.15" customHeight="1" x14ac:dyDescent="0.2">
      <c r="A352" s="57" t="str">
        <f>IF(B352&lt;&gt;"",348,"")</f>
        <v/>
      </c>
      <c r="B352" s="57"/>
      <c r="C352" s="57" t="str">
        <f>IFERROR(VLOOKUP(B352,'👥 بيانات الموظفين'!B:C,2,0),"")</f>
        <v/>
      </c>
      <c r="D352" s="57"/>
      <c r="E352" s="59"/>
      <c r="F352" s="59"/>
      <c r="G352" s="69" t="str">
        <f t="shared" si="10"/>
        <v/>
      </c>
      <c r="H352" s="69" t="str">
        <f t="shared" si="11"/>
        <v/>
      </c>
      <c r="I352" s="57" t="str">
        <f>IFERROR(VLOOKUP(B352,'👥 بيانات الموظفين'!B:Q,16,0)-SUMIFS(H$5:H352,B$5:B352,B352,F$5:F352,"معتمدة"),"")</f>
        <v/>
      </c>
      <c r="J352" s="57"/>
      <c r="K352" s="57"/>
      <c r="L352" s="99"/>
    </row>
    <row r="353" spans="1:12" ht="22.15" customHeight="1" x14ac:dyDescent="0.2">
      <c r="A353" s="53" t="str">
        <f>IF(B353&lt;&gt;"",349,"")</f>
        <v/>
      </c>
      <c r="B353" s="53"/>
      <c r="C353" s="53" t="str">
        <f>IFERROR(VLOOKUP(B353,'👥 بيانات الموظفين'!B:C,2,0),"")</f>
        <v/>
      </c>
      <c r="D353" s="53"/>
      <c r="E353" s="55"/>
      <c r="F353" s="55"/>
      <c r="G353" s="68" t="str">
        <f t="shared" si="10"/>
        <v/>
      </c>
      <c r="H353" s="68" t="str">
        <f t="shared" si="11"/>
        <v/>
      </c>
      <c r="I353" s="53" t="str">
        <f>IFERROR(VLOOKUP(B353,'👥 بيانات الموظفين'!B:Q,16,0)-SUMIFS(H$5:H353,B$5:B353,B353,F$5:F353,"معتمدة"),"")</f>
        <v/>
      </c>
      <c r="J353" s="53"/>
      <c r="K353" s="53"/>
      <c r="L353" s="98"/>
    </row>
    <row r="354" spans="1:12" ht="22.15" customHeight="1" x14ac:dyDescent="0.2">
      <c r="A354" s="57" t="str">
        <f>IF(B354&lt;&gt;"",350,"")</f>
        <v/>
      </c>
      <c r="B354" s="57"/>
      <c r="C354" s="57" t="str">
        <f>IFERROR(VLOOKUP(B354,'👥 بيانات الموظفين'!B:C,2,0),"")</f>
        <v/>
      </c>
      <c r="D354" s="57"/>
      <c r="E354" s="59"/>
      <c r="F354" s="59"/>
      <c r="G354" s="69" t="str">
        <f t="shared" si="10"/>
        <v/>
      </c>
      <c r="H354" s="69" t="str">
        <f t="shared" si="11"/>
        <v/>
      </c>
      <c r="I354" s="57" t="str">
        <f>IFERROR(VLOOKUP(B354,'👥 بيانات الموظفين'!B:Q,16,0)-SUMIFS(H$5:H354,B$5:B354,B354,F$5:F354,"معتمدة"),"")</f>
        <v/>
      </c>
      <c r="J354" s="57"/>
      <c r="K354" s="57"/>
      <c r="L354" s="99"/>
    </row>
    <row r="355" spans="1:12" ht="22.15" customHeight="1" x14ac:dyDescent="0.2">
      <c r="A355" s="53" t="str">
        <f>IF(B355&lt;&gt;"",351,"")</f>
        <v/>
      </c>
      <c r="B355" s="53"/>
      <c r="C355" s="53" t="str">
        <f>IFERROR(VLOOKUP(B355,'👥 بيانات الموظفين'!B:C,2,0),"")</f>
        <v/>
      </c>
      <c r="D355" s="53"/>
      <c r="E355" s="55"/>
      <c r="F355" s="55"/>
      <c r="G355" s="68" t="str">
        <f t="shared" si="10"/>
        <v/>
      </c>
      <c r="H355" s="68" t="str">
        <f t="shared" si="11"/>
        <v/>
      </c>
      <c r="I355" s="53" t="str">
        <f>IFERROR(VLOOKUP(B355,'👥 بيانات الموظفين'!B:Q,16,0)-SUMIFS(H$5:H355,B$5:B355,B355,F$5:F355,"معتمدة"),"")</f>
        <v/>
      </c>
      <c r="J355" s="53"/>
      <c r="K355" s="53"/>
      <c r="L355" s="98"/>
    </row>
    <row r="356" spans="1:12" ht="22.15" customHeight="1" x14ac:dyDescent="0.2">
      <c r="A356" s="57" t="str">
        <f>IF(B356&lt;&gt;"",352,"")</f>
        <v/>
      </c>
      <c r="B356" s="57"/>
      <c r="C356" s="57" t="str">
        <f>IFERROR(VLOOKUP(B356,'👥 بيانات الموظفين'!B:C,2,0),"")</f>
        <v/>
      </c>
      <c r="D356" s="57"/>
      <c r="E356" s="59"/>
      <c r="F356" s="59"/>
      <c r="G356" s="69" t="str">
        <f t="shared" si="10"/>
        <v/>
      </c>
      <c r="H356" s="69" t="str">
        <f t="shared" si="11"/>
        <v/>
      </c>
      <c r="I356" s="57" t="str">
        <f>IFERROR(VLOOKUP(B356,'👥 بيانات الموظفين'!B:Q,16,0)-SUMIFS(H$5:H356,B$5:B356,B356,F$5:F356,"معتمدة"),"")</f>
        <v/>
      </c>
      <c r="J356" s="57"/>
      <c r="K356" s="57"/>
      <c r="L356" s="99"/>
    </row>
    <row r="357" spans="1:12" ht="22.15" customHeight="1" x14ac:dyDescent="0.2">
      <c r="A357" s="53" t="str">
        <f>IF(B357&lt;&gt;"",353,"")</f>
        <v/>
      </c>
      <c r="B357" s="53"/>
      <c r="C357" s="53" t="str">
        <f>IFERROR(VLOOKUP(B357,'👥 بيانات الموظفين'!B:C,2,0),"")</f>
        <v/>
      </c>
      <c r="D357" s="53"/>
      <c r="E357" s="55"/>
      <c r="F357" s="55"/>
      <c r="G357" s="68" t="str">
        <f t="shared" si="10"/>
        <v/>
      </c>
      <c r="H357" s="68" t="str">
        <f t="shared" si="11"/>
        <v/>
      </c>
      <c r="I357" s="53" t="str">
        <f>IFERROR(VLOOKUP(B357,'👥 بيانات الموظفين'!B:Q,16,0)-SUMIFS(H$5:H357,B$5:B357,B357,F$5:F357,"معتمدة"),"")</f>
        <v/>
      </c>
      <c r="J357" s="53"/>
      <c r="K357" s="53"/>
      <c r="L357" s="98"/>
    </row>
    <row r="358" spans="1:12" ht="22.15" customHeight="1" x14ac:dyDescent="0.2">
      <c r="A358" s="57" t="str">
        <f>IF(B358&lt;&gt;"",354,"")</f>
        <v/>
      </c>
      <c r="B358" s="57"/>
      <c r="C358" s="57" t="str">
        <f>IFERROR(VLOOKUP(B358,'👥 بيانات الموظفين'!B:C,2,0),"")</f>
        <v/>
      </c>
      <c r="D358" s="57"/>
      <c r="E358" s="59"/>
      <c r="F358" s="59"/>
      <c r="G358" s="69" t="str">
        <f t="shared" si="10"/>
        <v/>
      </c>
      <c r="H358" s="69" t="str">
        <f t="shared" si="11"/>
        <v/>
      </c>
      <c r="I358" s="57" t="str">
        <f>IFERROR(VLOOKUP(B358,'👥 بيانات الموظفين'!B:Q,16,0)-SUMIFS(H$5:H358,B$5:B358,B358,F$5:F358,"معتمدة"),"")</f>
        <v/>
      </c>
      <c r="J358" s="57"/>
      <c r="K358" s="57"/>
      <c r="L358" s="99"/>
    </row>
    <row r="359" spans="1:12" ht="22.15" customHeight="1" x14ac:dyDescent="0.2">
      <c r="A359" s="53" t="str">
        <f>IF(B359&lt;&gt;"",355,"")</f>
        <v/>
      </c>
      <c r="B359" s="53"/>
      <c r="C359" s="53" t="str">
        <f>IFERROR(VLOOKUP(B359,'👥 بيانات الموظفين'!B:C,2,0),"")</f>
        <v/>
      </c>
      <c r="D359" s="53"/>
      <c r="E359" s="55"/>
      <c r="F359" s="55"/>
      <c r="G359" s="68" t="str">
        <f t="shared" si="10"/>
        <v/>
      </c>
      <c r="H359" s="68" t="str">
        <f t="shared" si="11"/>
        <v/>
      </c>
      <c r="I359" s="53" t="str">
        <f>IFERROR(VLOOKUP(B359,'👥 بيانات الموظفين'!B:Q,16,0)-SUMIFS(H$5:H359,B$5:B359,B359,F$5:F359,"معتمدة"),"")</f>
        <v/>
      </c>
      <c r="J359" s="53"/>
      <c r="K359" s="53"/>
      <c r="L359" s="98"/>
    </row>
    <row r="360" spans="1:12" ht="22.15" customHeight="1" x14ac:dyDescent="0.2">
      <c r="A360" s="57" t="str">
        <f>IF(B360&lt;&gt;"",356,"")</f>
        <v/>
      </c>
      <c r="B360" s="57"/>
      <c r="C360" s="57" t="str">
        <f>IFERROR(VLOOKUP(B360,'👥 بيانات الموظفين'!B:C,2,0),"")</f>
        <v/>
      </c>
      <c r="D360" s="57"/>
      <c r="E360" s="59"/>
      <c r="F360" s="59"/>
      <c r="G360" s="69" t="str">
        <f t="shared" si="10"/>
        <v/>
      </c>
      <c r="H360" s="69" t="str">
        <f t="shared" si="11"/>
        <v/>
      </c>
      <c r="I360" s="57" t="str">
        <f>IFERROR(VLOOKUP(B360,'👥 بيانات الموظفين'!B:Q,16,0)-SUMIFS(H$5:H360,B$5:B360,B360,F$5:F360,"معتمدة"),"")</f>
        <v/>
      </c>
      <c r="J360" s="57"/>
      <c r="K360" s="57"/>
      <c r="L360" s="99"/>
    </row>
    <row r="361" spans="1:12" ht="22.15" customHeight="1" x14ac:dyDescent="0.2">
      <c r="A361" s="53" t="str">
        <f>IF(B361&lt;&gt;"",357,"")</f>
        <v/>
      </c>
      <c r="B361" s="53"/>
      <c r="C361" s="53" t="str">
        <f>IFERROR(VLOOKUP(B361,'👥 بيانات الموظفين'!B:C,2,0),"")</f>
        <v/>
      </c>
      <c r="D361" s="53"/>
      <c r="E361" s="55"/>
      <c r="F361" s="55"/>
      <c r="G361" s="68" t="str">
        <f t="shared" si="10"/>
        <v/>
      </c>
      <c r="H361" s="68" t="str">
        <f t="shared" si="11"/>
        <v/>
      </c>
      <c r="I361" s="53" t="str">
        <f>IFERROR(VLOOKUP(B361,'👥 بيانات الموظفين'!B:Q,16,0)-SUMIFS(H$5:H361,B$5:B361,B361,F$5:F361,"معتمدة"),"")</f>
        <v/>
      </c>
      <c r="J361" s="53"/>
      <c r="K361" s="53"/>
      <c r="L361" s="98"/>
    </row>
    <row r="362" spans="1:12" ht="22.15" customHeight="1" x14ac:dyDescent="0.2">
      <c r="A362" s="57" t="str">
        <f>IF(B362&lt;&gt;"",358,"")</f>
        <v/>
      </c>
      <c r="B362" s="57"/>
      <c r="C362" s="57" t="str">
        <f>IFERROR(VLOOKUP(B362,'👥 بيانات الموظفين'!B:C,2,0),"")</f>
        <v/>
      </c>
      <c r="D362" s="57"/>
      <c r="E362" s="59"/>
      <c r="F362" s="59"/>
      <c r="G362" s="69" t="str">
        <f t="shared" si="10"/>
        <v/>
      </c>
      <c r="H362" s="69" t="str">
        <f t="shared" si="11"/>
        <v/>
      </c>
      <c r="I362" s="57" t="str">
        <f>IFERROR(VLOOKUP(B362,'👥 بيانات الموظفين'!B:Q,16,0)-SUMIFS(H$5:H362,B$5:B362,B362,F$5:F362,"معتمدة"),"")</f>
        <v/>
      </c>
      <c r="J362" s="57"/>
      <c r="K362" s="57"/>
      <c r="L362" s="99"/>
    </row>
    <row r="363" spans="1:12" ht="22.15" customHeight="1" x14ac:dyDescent="0.2">
      <c r="A363" s="53" t="str">
        <f>IF(B363&lt;&gt;"",359,"")</f>
        <v/>
      </c>
      <c r="B363" s="53"/>
      <c r="C363" s="53" t="str">
        <f>IFERROR(VLOOKUP(B363,'👥 بيانات الموظفين'!B:C,2,0),"")</f>
        <v/>
      </c>
      <c r="D363" s="53"/>
      <c r="E363" s="55"/>
      <c r="F363" s="55"/>
      <c r="G363" s="68" t="str">
        <f t="shared" si="10"/>
        <v/>
      </c>
      <c r="H363" s="68" t="str">
        <f t="shared" si="11"/>
        <v/>
      </c>
      <c r="I363" s="53" t="str">
        <f>IFERROR(VLOOKUP(B363,'👥 بيانات الموظفين'!B:Q,16,0)-SUMIFS(H$5:H363,B$5:B363,B363,F$5:F363,"معتمدة"),"")</f>
        <v/>
      </c>
      <c r="J363" s="53"/>
      <c r="K363" s="53"/>
      <c r="L363" s="98"/>
    </row>
    <row r="364" spans="1:12" ht="22.15" customHeight="1" x14ac:dyDescent="0.2">
      <c r="A364" s="57" t="str">
        <f>IF(B364&lt;&gt;"",360,"")</f>
        <v/>
      </c>
      <c r="B364" s="57"/>
      <c r="C364" s="57" t="str">
        <f>IFERROR(VLOOKUP(B364,'👥 بيانات الموظفين'!B:C,2,0),"")</f>
        <v/>
      </c>
      <c r="D364" s="57"/>
      <c r="E364" s="59"/>
      <c r="F364" s="59"/>
      <c r="G364" s="69" t="str">
        <f t="shared" si="10"/>
        <v/>
      </c>
      <c r="H364" s="69" t="str">
        <f t="shared" si="11"/>
        <v/>
      </c>
      <c r="I364" s="57" t="str">
        <f>IFERROR(VLOOKUP(B364,'👥 بيانات الموظفين'!B:Q,16,0)-SUMIFS(H$5:H364,B$5:B364,B364,F$5:F364,"معتمدة"),"")</f>
        <v/>
      </c>
      <c r="J364" s="57"/>
      <c r="K364" s="57"/>
      <c r="L364" s="99"/>
    </row>
    <row r="365" spans="1:12" ht="22.15" customHeight="1" x14ac:dyDescent="0.2">
      <c r="A365" s="53" t="str">
        <f>IF(B365&lt;&gt;"",361,"")</f>
        <v/>
      </c>
      <c r="B365" s="53"/>
      <c r="C365" s="53" t="str">
        <f>IFERROR(VLOOKUP(B365,'👥 بيانات الموظفين'!B:C,2,0),"")</f>
        <v/>
      </c>
      <c r="D365" s="53"/>
      <c r="E365" s="55"/>
      <c r="F365" s="55"/>
      <c r="G365" s="68" t="str">
        <f t="shared" si="10"/>
        <v/>
      </c>
      <c r="H365" s="68" t="str">
        <f t="shared" si="11"/>
        <v/>
      </c>
      <c r="I365" s="53" t="str">
        <f>IFERROR(VLOOKUP(B365,'👥 بيانات الموظفين'!B:Q,16,0)-SUMIFS(H$5:H365,B$5:B365,B365,F$5:F365,"معتمدة"),"")</f>
        <v/>
      </c>
      <c r="J365" s="53"/>
      <c r="K365" s="53"/>
      <c r="L365" s="98"/>
    </row>
    <row r="366" spans="1:12" ht="22.15" customHeight="1" x14ac:dyDescent="0.2">
      <c r="A366" s="57" t="str">
        <f>IF(B366&lt;&gt;"",362,"")</f>
        <v/>
      </c>
      <c r="B366" s="57"/>
      <c r="C366" s="57" t="str">
        <f>IFERROR(VLOOKUP(B366,'👥 بيانات الموظفين'!B:C,2,0),"")</f>
        <v/>
      </c>
      <c r="D366" s="57"/>
      <c r="E366" s="59"/>
      <c r="F366" s="59"/>
      <c r="G366" s="69" t="str">
        <f t="shared" si="10"/>
        <v/>
      </c>
      <c r="H366" s="69" t="str">
        <f t="shared" si="11"/>
        <v/>
      </c>
      <c r="I366" s="57" t="str">
        <f>IFERROR(VLOOKUP(B366,'👥 بيانات الموظفين'!B:Q,16,0)-SUMIFS(H$5:H366,B$5:B366,B366,F$5:F366,"معتمدة"),"")</f>
        <v/>
      </c>
      <c r="J366" s="57"/>
      <c r="K366" s="57"/>
      <c r="L366" s="99"/>
    </row>
    <row r="367" spans="1:12" ht="22.15" customHeight="1" x14ac:dyDescent="0.2">
      <c r="A367" s="53" t="str">
        <f>IF(B367&lt;&gt;"",363,"")</f>
        <v/>
      </c>
      <c r="B367" s="53"/>
      <c r="C367" s="53" t="str">
        <f>IFERROR(VLOOKUP(B367,'👥 بيانات الموظفين'!B:C,2,0),"")</f>
        <v/>
      </c>
      <c r="D367" s="53"/>
      <c r="E367" s="55"/>
      <c r="F367" s="55"/>
      <c r="G367" s="68" t="str">
        <f t="shared" si="10"/>
        <v/>
      </c>
      <c r="H367" s="68" t="str">
        <f t="shared" si="11"/>
        <v/>
      </c>
      <c r="I367" s="53" t="str">
        <f>IFERROR(VLOOKUP(B367,'👥 بيانات الموظفين'!B:Q,16,0)-SUMIFS(H$5:H367,B$5:B367,B367,F$5:F367,"معتمدة"),"")</f>
        <v/>
      </c>
      <c r="J367" s="53"/>
      <c r="K367" s="53"/>
      <c r="L367" s="98"/>
    </row>
    <row r="368" spans="1:12" ht="22.15" customHeight="1" x14ac:dyDescent="0.2">
      <c r="A368" s="57" t="str">
        <f>IF(B368&lt;&gt;"",364,"")</f>
        <v/>
      </c>
      <c r="B368" s="57"/>
      <c r="C368" s="57" t="str">
        <f>IFERROR(VLOOKUP(B368,'👥 بيانات الموظفين'!B:C,2,0),"")</f>
        <v/>
      </c>
      <c r="D368" s="57"/>
      <c r="E368" s="59"/>
      <c r="F368" s="59"/>
      <c r="G368" s="69" t="str">
        <f t="shared" si="10"/>
        <v/>
      </c>
      <c r="H368" s="69" t="str">
        <f t="shared" si="11"/>
        <v/>
      </c>
      <c r="I368" s="57" t="str">
        <f>IFERROR(VLOOKUP(B368,'👥 بيانات الموظفين'!B:Q,16,0)-SUMIFS(H$5:H368,B$5:B368,B368,F$5:F368,"معتمدة"),"")</f>
        <v/>
      </c>
      <c r="J368" s="57"/>
      <c r="K368" s="57"/>
      <c r="L368" s="99"/>
    </row>
    <row r="369" spans="1:12" ht="22.15" customHeight="1" x14ac:dyDescent="0.2">
      <c r="A369" s="53" t="str">
        <f>IF(B369&lt;&gt;"",365,"")</f>
        <v/>
      </c>
      <c r="B369" s="53"/>
      <c r="C369" s="53" t="str">
        <f>IFERROR(VLOOKUP(B369,'👥 بيانات الموظفين'!B:C,2,0),"")</f>
        <v/>
      </c>
      <c r="D369" s="53"/>
      <c r="E369" s="55"/>
      <c r="F369" s="55"/>
      <c r="G369" s="68" t="str">
        <f t="shared" si="10"/>
        <v/>
      </c>
      <c r="H369" s="68" t="str">
        <f t="shared" si="11"/>
        <v/>
      </c>
      <c r="I369" s="53" t="str">
        <f>IFERROR(VLOOKUP(B369,'👥 بيانات الموظفين'!B:Q,16,0)-SUMIFS(H$5:H369,B$5:B369,B369,F$5:F369,"معتمدة"),"")</f>
        <v/>
      </c>
      <c r="J369" s="53"/>
      <c r="K369" s="53"/>
      <c r="L369" s="98"/>
    </row>
    <row r="370" spans="1:12" ht="22.15" customHeight="1" x14ac:dyDescent="0.2">
      <c r="A370" s="57" t="str">
        <f>IF(B370&lt;&gt;"",366,"")</f>
        <v/>
      </c>
      <c r="B370" s="57"/>
      <c r="C370" s="57" t="str">
        <f>IFERROR(VLOOKUP(B370,'👥 بيانات الموظفين'!B:C,2,0),"")</f>
        <v/>
      </c>
      <c r="D370" s="57"/>
      <c r="E370" s="59"/>
      <c r="F370" s="59"/>
      <c r="G370" s="69" t="str">
        <f t="shared" si="10"/>
        <v/>
      </c>
      <c r="H370" s="69" t="str">
        <f t="shared" si="11"/>
        <v/>
      </c>
      <c r="I370" s="57" t="str">
        <f>IFERROR(VLOOKUP(B370,'👥 بيانات الموظفين'!B:Q,16,0)-SUMIFS(H$5:H370,B$5:B370,B370,F$5:F370,"معتمدة"),"")</f>
        <v/>
      </c>
      <c r="J370" s="57"/>
      <c r="K370" s="57"/>
      <c r="L370" s="99"/>
    </row>
    <row r="371" spans="1:12" ht="22.15" customHeight="1" x14ac:dyDescent="0.2">
      <c r="A371" s="53" t="str">
        <f>IF(B371&lt;&gt;"",367,"")</f>
        <v/>
      </c>
      <c r="B371" s="53"/>
      <c r="C371" s="53" t="str">
        <f>IFERROR(VLOOKUP(B371,'👥 بيانات الموظفين'!B:C,2,0),"")</f>
        <v/>
      </c>
      <c r="D371" s="53"/>
      <c r="E371" s="55"/>
      <c r="F371" s="55"/>
      <c r="G371" s="68" t="str">
        <f t="shared" si="10"/>
        <v/>
      </c>
      <c r="H371" s="68" t="str">
        <f t="shared" si="11"/>
        <v/>
      </c>
      <c r="I371" s="53" t="str">
        <f>IFERROR(VLOOKUP(B371,'👥 بيانات الموظفين'!B:Q,16,0)-SUMIFS(H$5:H371,B$5:B371,B371,F$5:F371,"معتمدة"),"")</f>
        <v/>
      </c>
      <c r="J371" s="53"/>
      <c r="K371" s="53"/>
      <c r="L371" s="98"/>
    </row>
    <row r="372" spans="1:12" ht="22.15" customHeight="1" x14ac:dyDescent="0.2">
      <c r="A372" s="57" t="str">
        <f>IF(B372&lt;&gt;"",368,"")</f>
        <v/>
      </c>
      <c r="B372" s="57"/>
      <c r="C372" s="57" t="str">
        <f>IFERROR(VLOOKUP(B372,'👥 بيانات الموظفين'!B:C,2,0),"")</f>
        <v/>
      </c>
      <c r="D372" s="57"/>
      <c r="E372" s="59"/>
      <c r="F372" s="59"/>
      <c r="G372" s="69" t="str">
        <f t="shared" si="10"/>
        <v/>
      </c>
      <c r="H372" s="69" t="str">
        <f t="shared" si="11"/>
        <v/>
      </c>
      <c r="I372" s="57" t="str">
        <f>IFERROR(VLOOKUP(B372,'👥 بيانات الموظفين'!B:Q,16,0)-SUMIFS(H$5:H372,B$5:B372,B372,F$5:F372,"معتمدة"),"")</f>
        <v/>
      </c>
      <c r="J372" s="57"/>
      <c r="K372" s="57"/>
      <c r="L372" s="99"/>
    </row>
    <row r="373" spans="1:12" ht="22.15" customHeight="1" x14ac:dyDescent="0.2">
      <c r="A373" s="53" t="str">
        <f>IF(B373&lt;&gt;"",369,"")</f>
        <v/>
      </c>
      <c r="B373" s="53"/>
      <c r="C373" s="53" t="str">
        <f>IFERROR(VLOOKUP(B373,'👥 بيانات الموظفين'!B:C,2,0),"")</f>
        <v/>
      </c>
      <c r="D373" s="53"/>
      <c r="E373" s="55"/>
      <c r="F373" s="55"/>
      <c r="G373" s="68" t="str">
        <f t="shared" si="10"/>
        <v/>
      </c>
      <c r="H373" s="68" t="str">
        <f t="shared" si="11"/>
        <v/>
      </c>
      <c r="I373" s="53" t="str">
        <f>IFERROR(VLOOKUP(B373,'👥 بيانات الموظفين'!B:Q,16,0)-SUMIFS(H$5:H373,B$5:B373,B373,F$5:F373,"معتمدة"),"")</f>
        <v/>
      </c>
      <c r="J373" s="53"/>
      <c r="K373" s="53"/>
      <c r="L373" s="98"/>
    </row>
    <row r="374" spans="1:12" ht="22.15" customHeight="1" x14ac:dyDescent="0.2">
      <c r="A374" s="57" t="str">
        <f>IF(B374&lt;&gt;"",370,"")</f>
        <v/>
      </c>
      <c r="B374" s="57"/>
      <c r="C374" s="57" t="str">
        <f>IFERROR(VLOOKUP(B374,'👥 بيانات الموظفين'!B:C,2,0),"")</f>
        <v/>
      </c>
      <c r="D374" s="57"/>
      <c r="E374" s="59"/>
      <c r="F374" s="59"/>
      <c r="G374" s="69" t="str">
        <f t="shared" si="10"/>
        <v/>
      </c>
      <c r="H374" s="69" t="str">
        <f t="shared" si="11"/>
        <v/>
      </c>
      <c r="I374" s="57" t="str">
        <f>IFERROR(VLOOKUP(B374,'👥 بيانات الموظفين'!B:Q,16,0)-SUMIFS(H$5:H374,B$5:B374,B374,F$5:F374,"معتمدة"),"")</f>
        <v/>
      </c>
      <c r="J374" s="57"/>
      <c r="K374" s="57"/>
      <c r="L374" s="99"/>
    </row>
    <row r="375" spans="1:12" ht="22.15" customHeight="1" x14ac:dyDescent="0.2">
      <c r="A375" s="53" t="str">
        <f>IF(B375&lt;&gt;"",371,"")</f>
        <v/>
      </c>
      <c r="B375" s="53"/>
      <c r="C375" s="53" t="str">
        <f>IFERROR(VLOOKUP(B375,'👥 بيانات الموظفين'!B:C,2,0),"")</f>
        <v/>
      </c>
      <c r="D375" s="53"/>
      <c r="E375" s="55"/>
      <c r="F375" s="55"/>
      <c r="G375" s="68" t="str">
        <f t="shared" si="10"/>
        <v/>
      </c>
      <c r="H375" s="68" t="str">
        <f t="shared" si="11"/>
        <v/>
      </c>
      <c r="I375" s="53" t="str">
        <f>IFERROR(VLOOKUP(B375,'👥 بيانات الموظفين'!B:Q,16,0)-SUMIFS(H$5:H375,B$5:B375,B375,F$5:F375,"معتمدة"),"")</f>
        <v/>
      </c>
      <c r="J375" s="53"/>
      <c r="K375" s="53"/>
      <c r="L375" s="98"/>
    </row>
    <row r="376" spans="1:12" ht="22.15" customHeight="1" x14ac:dyDescent="0.2">
      <c r="A376" s="57" t="str">
        <f>IF(B376&lt;&gt;"",372,"")</f>
        <v/>
      </c>
      <c r="B376" s="57"/>
      <c r="C376" s="57" t="str">
        <f>IFERROR(VLOOKUP(B376,'👥 بيانات الموظفين'!B:C,2,0),"")</f>
        <v/>
      </c>
      <c r="D376" s="57"/>
      <c r="E376" s="59"/>
      <c r="F376" s="59"/>
      <c r="G376" s="69" t="str">
        <f t="shared" si="10"/>
        <v/>
      </c>
      <c r="H376" s="69" t="str">
        <f t="shared" si="11"/>
        <v/>
      </c>
      <c r="I376" s="57" t="str">
        <f>IFERROR(VLOOKUP(B376,'👥 بيانات الموظفين'!B:Q,16,0)-SUMIFS(H$5:H376,B$5:B376,B376,F$5:F376,"معتمدة"),"")</f>
        <v/>
      </c>
      <c r="J376" s="57"/>
      <c r="K376" s="57"/>
      <c r="L376" s="99"/>
    </row>
    <row r="377" spans="1:12" ht="22.15" customHeight="1" x14ac:dyDescent="0.2">
      <c r="A377" s="53" t="str">
        <f>IF(B377&lt;&gt;"",373,"")</f>
        <v/>
      </c>
      <c r="B377" s="53"/>
      <c r="C377" s="53" t="str">
        <f>IFERROR(VLOOKUP(B377,'👥 بيانات الموظفين'!B:C,2,0),"")</f>
        <v/>
      </c>
      <c r="D377" s="53"/>
      <c r="E377" s="55"/>
      <c r="F377" s="55"/>
      <c r="G377" s="68" t="str">
        <f t="shared" si="10"/>
        <v/>
      </c>
      <c r="H377" s="68" t="str">
        <f t="shared" si="11"/>
        <v/>
      </c>
      <c r="I377" s="53" t="str">
        <f>IFERROR(VLOOKUP(B377,'👥 بيانات الموظفين'!B:Q,16,0)-SUMIFS(H$5:H377,B$5:B377,B377,F$5:F377,"معتمدة"),"")</f>
        <v/>
      </c>
      <c r="J377" s="53"/>
      <c r="K377" s="53"/>
      <c r="L377" s="98"/>
    </row>
    <row r="378" spans="1:12" ht="22.15" customHeight="1" x14ac:dyDescent="0.2">
      <c r="A378" s="57" t="str">
        <f>IF(B378&lt;&gt;"",374,"")</f>
        <v/>
      </c>
      <c r="B378" s="57"/>
      <c r="C378" s="57" t="str">
        <f>IFERROR(VLOOKUP(B378,'👥 بيانات الموظفين'!B:C,2,0),"")</f>
        <v/>
      </c>
      <c r="D378" s="57"/>
      <c r="E378" s="59"/>
      <c r="F378" s="59"/>
      <c r="G378" s="69" t="str">
        <f t="shared" si="10"/>
        <v/>
      </c>
      <c r="H378" s="69" t="str">
        <f t="shared" si="11"/>
        <v/>
      </c>
      <c r="I378" s="57" t="str">
        <f>IFERROR(VLOOKUP(B378,'👥 بيانات الموظفين'!B:Q,16,0)-SUMIFS(H$5:H378,B$5:B378,B378,F$5:F378,"معتمدة"),"")</f>
        <v/>
      </c>
      <c r="J378" s="57"/>
      <c r="K378" s="57"/>
      <c r="L378" s="99"/>
    </row>
    <row r="379" spans="1:12" ht="22.15" customHeight="1" x14ac:dyDescent="0.2">
      <c r="A379" s="53" t="str">
        <f>IF(B379&lt;&gt;"",375,"")</f>
        <v/>
      </c>
      <c r="B379" s="53"/>
      <c r="C379" s="53" t="str">
        <f>IFERROR(VLOOKUP(B379,'👥 بيانات الموظفين'!B:C,2,0),"")</f>
        <v/>
      </c>
      <c r="D379" s="53"/>
      <c r="E379" s="55"/>
      <c r="F379" s="55"/>
      <c r="G379" s="68" t="str">
        <f t="shared" si="10"/>
        <v/>
      </c>
      <c r="H379" s="68" t="str">
        <f t="shared" si="11"/>
        <v/>
      </c>
      <c r="I379" s="53" t="str">
        <f>IFERROR(VLOOKUP(B379,'👥 بيانات الموظفين'!B:Q,16,0)-SUMIFS(H$5:H379,B$5:B379,B379,F$5:F379,"معتمدة"),"")</f>
        <v/>
      </c>
      <c r="J379" s="53"/>
      <c r="K379" s="53"/>
      <c r="L379" s="98"/>
    </row>
    <row r="380" spans="1:12" ht="22.15" customHeight="1" x14ac:dyDescent="0.2">
      <c r="A380" s="57" t="str">
        <f>IF(B380&lt;&gt;"",376,"")</f>
        <v/>
      </c>
      <c r="B380" s="57"/>
      <c r="C380" s="57" t="str">
        <f>IFERROR(VLOOKUP(B380,'👥 بيانات الموظفين'!B:C,2,0),"")</f>
        <v/>
      </c>
      <c r="D380" s="57"/>
      <c r="E380" s="59"/>
      <c r="F380" s="59"/>
      <c r="G380" s="69" t="str">
        <f t="shared" si="10"/>
        <v/>
      </c>
      <c r="H380" s="69" t="str">
        <f t="shared" si="11"/>
        <v/>
      </c>
      <c r="I380" s="57" t="str">
        <f>IFERROR(VLOOKUP(B380,'👥 بيانات الموظفين'!B:Q,16,0)-SUMIFS(H$5:H380,B$5:B380,B380,F$5:F380,"معتمدة"),"")</f>
        <v/>
      </c>
      <c r="J380" s="57"/>
      <c r="K380" s="57"/>
      <c r="L380" s="99"/>
    </row>
    <row r="381" spans="1:12" ht="22.15" customHeight="1" x14ac:dyDescent="0.2">
      <c r="A381" s="53" t="str">
        <f>IF(B381&lt;&gt;"",377,"")</f>
        <v/>
      </c>
      <c r="B381" s="53"/>
      <c r="C381" s="53" t="str">
        <f>IFERROR(VLOOKUP(B381,'👥 بيانات الموظفين'!B:C,2,0),"")</f>
        <v/>
      </c>
      <c r="D381" s="53"/>
      <c r="E381" s="55"/>
      <c r="F381" s="55"/>
      <c r="G381" s="68" t="str">
        <f t="shared" si="10"/>
        <v/>
      </c>
      <c r="H381" s="68" t="str">
        <f t="shared" si="11"/>
        <v/>
      </c>
      <c r="I381" s="53" t="str">
        <f>IFERROR(VLOOKUP(B381,'👥 بيانات الموظفين'!B:Q,16,0)-SUMIFS(H$5:H381,B$5:B381,B381,F$5:F381,"معتمدة"),"")</f>
        <v/>
      </c>
      <c r="J381" s="53"/>
      <c r="K381" s="53"/>
      <c r="L381" s="98"/>
    </row>
    <row r="382" spans="1:12" ht="22.15" customHeight="1" x14ac:dyDescent="0.2">
      <c r="A382" s="57" t="str">
        <f>IF(B382&lt;&gt;"",378,"")</f>
        <v/>
      </c>
      <c r="B382" s="57"/>
      <c r="C382" s="57" t="str">
        <f>IFERROR(VLOOKUP(B382,'👥 بيانات الموظفين'!B:C,2,0),"")</f>
        <v/>
      </c>
      <c r="D382" s="57"/>
      <c r="E382" s="59"/>
      <c r="F382" s="59"/>
      <c r="G382" s="69" t="str">
        <f t="shared" si="10"/>
        <v/>
      </c>
      <c r="H382" s="69" t="str">
        <f t="shared" si="11"/>
        <v/>
      </c>
      <c r="I382" s="57" t="str">
        <f>IFERROR(VLOOKUP(B382,'👥 بيانات الموظفين'!B:Q,16,0)-SUMIFS(H$5:H382,B$5:B382,B382,F$5:F382,"معتمدة"),"")</f>
        <v/>
      </c>
      <c r="J382" s="57"/>
      <c r="K382" s="57"/>
      <c r="L382" s="99"/>
    </row>
    <row r="383" spans="1:12" ht="22.15" customHeight="1" x14ac:dyDescent="0.2">
      <c r="A383" s="53" t="str">
        <f>IF(B383&lt;&gt;"",379,"")</f>
        <v/>
      </c>
      <c r="B383" s="53"/>
      <c r="C383" s="53" t="str">
        <f>IFERROR(VLOOKUP(B383,'👥 بيانات الموظفين'!B:C,2,0),"")</f>
        <v/>
      </c>
      <c r="D383" s="53"/>
      <c r="E383" s="55"/>
      <c r="F383" s="55"/>
      <c r="G383" s="68" t="str">
        <f t="shared" si="10"/>
        <v/>
      </c>
      <c r="H383" s="68" t="str">
        <f t="shared" si="11"/>
        <v/>
      </c>
      <c r="I383" s="53" t="str">
        <f>IFERROR(VLOOKUP(B383,'👥 بيانات الموظفين'!B:Q,16,0)-SUMIFS(H$5:H383,B$5:B383,B383,F$5:F383,"معتمدة"),"")</f>
        <v/>
      </c>
      <c r="J383" s="53"/>
      <c r="K383" s="53"/>
      <c r="L383" s="98"/>
    </row>
    <row r="384" spans="1:12" ht="22.15" customHeight="1" x14ac:dyDescent="0.2">
      <c r="A384" s="57" t="str">
        <f>IF(B384&lt;&gt;"",380,"")</f>
        <v/>
      </c>
      <c r="B384" s="57"/>
      <c r="C384" s="57" t="str">
        <f>IFERROR(VLOOKUP(B384,'👥 بيانات الموظفين'!B:C,2,0),"")</f>
        <v/>
      </c>
      <c r="D384" s="57"/>
      <c r="E384" s="59"/>
      <c r="F384" s="59"/>
      <c r="G384" s="69" t="str">
        <f t="shared" si="10"/>
        <v/>
      </c>
      <c r="H384" s="69" t="str">
        <f t="shared" si="11"/>
        <v/>
      </c>
      <c r="I384" s="57" t="str">
        <f>IFERROR(VLOOKUP(B384,'👥 بيانات الموظفين'!B:Q,16,0)-SUMIFS(H$5:H384,B$5:B384,B384,F$5:F384,"معتمدة"),"")</f>
        <v/>
      </c>
      <c r="J384" s="57"/>
      <c r="K384" s="57"/>
      <c r="L384" s="99"/>
    </row>
    <row r="385" spans="1:12" ht="22.15" customHeight="1" x14ac:dyDescent="0.2">
      <c r="A385" s="53" t="str">
        <f>IF(B385&lt;&gt;"",381,"")</f>
        <v/>
      </c>
      <c r="B385" s="53"/>
      <c r="C385" s="53" t="str">
        <f>IFERROR(VLOOKUP(B385,'👥 بيانات الموظفين'!B:C,2,0),"")</f>
        <v/>
      </c>
      <c r="D385" s="53"/>
      <c r="E385" s="55"/>
      <c r="F385" s="55"/>
      <c r="G385" s="68" t="str">
        <f t="shared" si="10"/>
        <v/>
      </c>
      <c r="H385" s="68" t="str">
        <f t="shared" si="11"/>
        <v/>
      </c>
      <c r="I385" s="53" t="str">
        <f>IFERROR(VLOOKUP(B385,'👥 بيانات الموظفين'!B:Q,16,0)-SUMIFS(H$5:H385,B$5:B385,B385,F$5:F385,"معتمدة"),"")</f>
        <v/>
      </c>
      <c r="J385" s="53"/>
      <c r="K385" s="53"/>
      <c r="L385" s="98"/>
    </row>
    <row r="386" spans="1:12" ht="22.15" customHeight="1" x14ac:dyDescent="0.2">
      <c r="A386" s="57" t="str">
        <f>IF(B386&lt;&gt;"",382,"")</f>
        <v/>
      </c>
      <c r="B386" s="57"/>
      <c r="C386" s="57" t="str">
        <f>IFERROR(VLOOKUP(B386,'👥 بيانات الموظفين'!B:C,2,0),"")</f>
        <v/>
      </c>
      <c r="D386" s="57"/>
      <c r="E386" s="59"/>
      <c r="F386" s="59"/>
      <c r="G386" s="69" t="str">
        <f t="shared" si="10"/>
        <v/>
      </c>
      <c r="H386" s="69" t="str">
        <f t="shared" si="11"/>
        <v/>
      </c>
      <c r="I386" s="57" t="str">
        <f>IFERROR(VLOOKUP(B386,'👥 بيانات الموظفين'!B:Q,16,0)-SUMIFS(H$5:H386,B$5:B386,B386,F$5:F386,"معتمدة"),"")</f>
        <v/>
      </c>
      <c r="J386" s="57"/>
      <c r="K386" s="57"/>
      <c r="L386" s="99"/>
    </row>
    <row r="387" spans="1:12" ht="22.15" customHeight="1" x14ac:dyDescent="0.2">
      <c r="A387" s="53" t="str">
        <f>IF(B387&lt;&gt;"",383,"")</f>
        <v/>
      </c>
      <c r="B387" s="53"/>
      <c r="C387" s="53" t="str">
        <f>IFERROR(VLOOKUP(B387,'👥 بيانات الموظفين'!B:C,2,0),"")</f>
        <v/>
      </c>
      <c r="D387" s="53"/>
      <c r="E387" s="55"/>
      <c r="F387" s="55"/>
      <c r="G387" s="68" t="str">
        <f t="shared" si="10"/>
        <v/>
      </c>
      <c r="H387" s="68" t="str">
        <f t="shared" si="11"/>
        <v/>
      </c>
      <c r="I387" s="53" t="str">
        <f>IFERROR(VLOOKUP(B387,'👥 بيانات الموظفين'!B:Q,16,0)-SUMIFS(H$5:H387,B$5:B387,B387,F$5:F387,"معتمدة"),"")</f>
        <v/>
      </c>
      <c r="J387" s="53"/>
      <c r="K387" s="53"/>
      <c r="L387" s="98"/>
    </row>
    <row r="388" spans="1:12" ht="22.15" customHeight="1" x14ac:dyDescent="0.2">
      <c r="A388" s="57" t="str">
        <f>IF(B388&lt;&gt;"",384,"")</f>
        <v/>
      </c>
      <c r="B388" s="57"/>
      <c r="C388" s="57" t="str">
        <f>IFERROR(VLOOKUP(B388,'👥 بيانات الموظفين'!B:C,2,0),"")</f>
        <v/>
      </c>
      <c r="D388" s="57"/>
      <c r="E388" s="59"/>
      <c r="F388" s="59"/>
      <c r="G388" s="69" t="str">
        <f t="shared" si="10"/>
        <v/>
      </c>
      <c r="H388" s="69" t="str">
        <f t="shared" si="11"/>
        <v/>
      </c>
      <c r="I388" s="57" t="str">
        <f>IFERROR(VLOOKUP(B388,'👥 بيانات الموظفين'!B:Q,16,0)-SUMIFS(H$5:H388,B$5:B388,B388,F$5:F388,"معتمدة"),"")</f>
        <v/>
      </c>
      <c r="J388" s="57"/>
      <c r="K388" s="57"/>
      <c r="L388" s="99"/>
    </row>
    <row r="389" spans="1:12" ht="22.15" customHeight="1" x14ac:dyDescent="0.2">
      <c r="A389" s="53" t="str">
        <f>IF(B389&lt;&gt;"",385,"")</f>
        <v/>
      </c>
      <c r="B389" s="53"/>
      <c r="C389" s="53" t="str">
        <f>IFERROR(VLOOKUP(B389,'👥 بيانات الموظفين'!B:C,2,0),"")</f>
        <v/>
      </c>
      <c r="D389" s="53"/>
      <c r="E389" s="55"/>
      <c r="F389" s="55"/>
      <c r="G389" s="68" t="str">
        <f t="shared" ref="G389:G452" si="12">IFERROR(IF(AND(E389&lt;&gt;"",F389&lt;&gt;""),F389-E389+1,""),"")</f>
        <v/>
      </c>
      <c r="H389" s="68" t="str">
        <f t="shared" ref="H389:H452" si="13">IF(AND(E389&lt;&gt;"",G389&lt;&gt;""),NETWORKDAYS(E389,G389),"")</f>
        <v/>
      </c>
      <c r="I389" s="53" t="str">
        <f>IFERROR(VLOOKUP(B389,'👥 بيانات الموظفين'!B:Q,16,0)-SUMIFS(H$5:H389,B$5:B389,B389,F$5:F389,"معتمدة"),"")</f>
        <v/>
      </c>
      <c r="J389" s="53"/>
      <c r="K389" s="53"/>
      <c r="L389" s="98"/>
    </row>
    <row r="390" spans="1:12" ht="22.15" customHeight="1" x14ac:dyDescent="0.2">
      <c r="A390" s="57" t="str">
        <f>IF(B390&lt;&gt;"",386,"")</f>
        <v/>
      </c>
      <c r="B390" s="57"/>
      <c r="C390" s="57" t="str">
        <f>IFERROR(VLOOKUP(B390,'👥 بيانات الموظفين'!B:C,2,0),"")</f>
        <v/>
      </c>
      <c r="D390" s="57"/>
      <c r="E390" s="59"/>
      <c r="F390" s="59"/>
      <c r="G390" s="69" t="str">
        <f t="shared" si="12"/>
        <v/>
      </c>
      <c r="H390" s="69" t="str">
        <f t="shared" si="13"/>
        <v/>
      </c>
      <c r="I390" s="57" t="str">
        <f>IFERROR(VLOOKUP(B390,'👥 بيانات الموظفين'!B:Q,16,0)-SUMIFS(H$5:H390,B$5:B390,B390,F$5:F390,"معتمدة"),"")</f>
        <v/>
      </c>
      <c r="J390" s="57"/>
      <c r="K390" s="57"/>
      <c r="L390" s="99"/>
    </row>
    <row r="391" spans="1:12" ht="22.15" customHeight="1" x14ac:dyDescent="0.2">
      <c r="A391" s="53" t="str">
        <f>IF(B391&lt;&gt;"",387,"")</f>
        <v/>
      </c>
      <c r="B391" s="53"/>
      <c r="C391" s="53" t="str">
        <f>IFERROR(VLOOKUP(B391,'👥 بيانات الموظفين'!B:C,2,0),"")</f>
        <v/>
      </c>
      <c r="D391" s="53"/>
      <c r="E391" s="55"/>
      <c r="F391" s="55"/>
      <c r="G391" s="68" t="str">
        <f t="shared" si="12"/>
        <v/>
      </c>
      <c r="H391" s="68" t="str">
        <f t="shared" si="13"/>
        <v/>
      </c>
      <c r="I391" s="53" t="str">
        <f>IFERROR(VLOOKUP(B391,'👥 بيانات الموظفين'!B:Q,16,0)-SUMIFS(H$5:H391,B$5:B391,B391,F$5:F391,"معتمدة"),"")</f>
        <v/>
      </c>
      <c r="J391" s="53"/>
      <c r="K391" s="53"/>
      <c r="L391" s="98"/>
    </row>
    <row r="392" spans="1:12" ht="22.15" customHeight="1" x14ac:dyDescent="0.2">
      <c r="A392" s="57" t="str">
        <f>IF(B392&lt;&gt;"",388,"")</f>
        <v/>
      </c>
      <c r="B392" s="57"/>
      <c r="C392" s="57" t="str">
        <f>IFERROR(VLOOKUP(B392,'👥 بيانات الموظفين'!B:C,2,0),"")</f>
        <v/>
      </c>
      <c r="D392" s="57"/>
      <c r="E392" s="59"/>
      <c r="F392" s="59"/>
      <c r="G392" s="69" t="str">
        <f t="shared" si="12"/>
        <v/>
      </c>
      <c r="H392" s="69" t="str">
        <f t="shared" si="13"/>
        <v/>
      </c>
      <c r="I392" s="57" t="str">
        <f>IFERROR(VLOOKUP(B392,'👥 بيانات الموظفين'!B:Q,16,0)-SUMIFS(H$5:H392,B$5:B392,B392,F$5:F392,"معتمدة"),"")</f>
        <v/>
      </c>
      <c r="J392" s="57"/>
      <c r="K392" s="57"/>
      <c r="L392" s="99"/>
    </row>
    <row r="393" spans="1:12" ht="22.15" customHeight="1" x14ac:dyDescent="0.2">
      <c r="A393" s="53" t="str">
        <f>IF(B393&lt;&gt;"",389,"")</f>
        <v/>
      </c>
      <c r="B393" s="53"/>
      <c r="C393" s="53" t="str">
        <f>IFERROR(VLOOKUP(B393,'👥 بيانات الموظفين'!B:C,2,0),"")</f>
        <v/>
      </c>
      <c r="D393" s="53"/>
      <c r="E393" s="55"/>
      <c r="F393" s="55"/>
      <c r="G393" s="68" t="str">
        <f t="shared" si="12"/>
        <v/>
      </c>
      <c r="H393" s="68" t="str">
        <f t="shared" si="13"/>
        <v/>
      </c>
      <c r="I393" s="53" t="str">
        <f>IFERROR(VLOOKUP(B393,'👥 بيانات الموظفين'!B:Q,16,0)-SUMIFS(H$5:H393,B$5:B393,B393,F$5:F393,"معتمدة"),"")</f>
        <v/>
      </c>
      <c r="J393" s="53"/>
      <c r="K393" s="53"/>
      <c r="L393" s="98"/>
    </row>
    <row r="394" spans="1:12" ht="22.15" customHeight="1" x14ac:dyDescent="0.2">
      <c r="A394" s="57" t="str">
        <f>IF(B394&lt;&gt;"",390,"")</f>
        <v/>
      </c>
      <c r="B394" s="57"/>
      <c r="C394" s="57" t="str">
        <f>IFERROR(VLOOKUP(B394,'👥 بيانات الموظفين'!B:C,2,0),"")</f>
        <v/>
      </c>
      <c r="D394" s="57"/>
      <c r="E394" s="59"/>
      <c r="F394" s="59"/>
      <c r="G394" s="69" t="str">
        <f t="shared" si="12"/>
        <v/>
      </c>
      <c r="H394" s="69" t="str">
        <f t="shared" si="13"/>
        <v/>
      </c>
      <c r="I394" s="57" t="str">
        <f>IFERROR(VLOOKUP(B394,'👥 بيانات الموظفين'!B:Q,16,0)-SUMIFS(H$5:H394,B$5:B394,B394,F$5:F394,"معتمدة"),"")</f>
        <v/>
      </c>
      <c r="J394" s="57"/>
      <c r="K394" s="57"/>
      <c r="L394" s="99"/>
    </row>
    <row r="395" spans="1:12" ht="22.15" customHeight="1" x14ac:dyDescent="0.2">
      <c r="A395" s="53" t="str">
        <f>IF(B395&lt;&gt;"",391,"")</f>
        <v/>
      </c>
      <c r="B395" s="53"/>
      <c r="C395" s="53" t="str">
        <f>IFERROR(VLOOKUP(B395,'👥 بيانات الموظفين'!B:C,2,0),"")</f>
        <v/>
      </c>
      <c r="D395" s="53"/>
      <c r="E395" s="55"/>
      <c r="F395" s="55"/>
      <c r="G395" s="68" t="str">
        <f t="shared" si="12"/>
        <v/>
      </c>
      <c r="H395" s="68" t="str">
        <f t="shared" si="13"/>
        <v/>
      </c>
      <c r="I395" s="53" t="str">
        <f>IFERROR(VLOOKUP(B395,'👥 بيانات الموظفين'!B:Q,16,0)-SUMIFS(H$5:H395,B$5:B395,B395,F$5:F395,"معتمدة"),"")</f>
        <v/>
      </c>
      <c r="J395" s="53"/>
      <c r="K395" s="53"/>
      <c r="L395" s="98"/>
    </row>
    <row r="396" spans="1:12" ht="22.15" customHeight="1" x14ac:dyDescent="0.2">
      <c r="A396" s="57" t="str">
        <f>IF(B396&lt;&gt;"",392,"")</f>
        <v/>
      </c>
      <c r="B396" s="57"/>
      <c r="C396" s="57" t="str">
        <f>IFERROR(VLOOKUP(B396,'👥 بيانات الموظفين'!B:C,2,0),"")</f>
        <v/>
      </c>
      <c r="D396" s="57"/>
      <c r="E396" s="59"/>
      <c r="F396" s="59"/>
      <c r="G396" s="69" t="str">
        <f t="shared" si="12"/>
        <v/>
      </c>
      <c r="H396" s="69" t="str">
        <f t="shared" si="13"/>
        <v/>
      </c>
      <c r="I396" s="57" t="str">
        <f>IFERROR(VLOOKUP(B396,'👥 بيانات الموظفين'!B:Q,16,0)-SUMIFS(H$5:H396,B$5:B396,B396,F$5:F396,"معتمدة"),"")</f>
        <v/>
      </c>
      <c r="J396" s="57"/>
      <c r="K396" s="57"/>
      <c r="L396" s="99"/>
    </row>
    <row r="397" spans="1:12" ht="22.15" customHeight="1" x14ac:dyDescent="0.2">
      <c r="A397" s="53" t="str">
        <f>IF(B397&lt;&gt;"",393,"")</f>
        <v/>
      </c>
      <c r="B397" s="53"/>
      <c r="C397" s="53" t="str">
        <f>IFERROR(VLOOKUP(B397,'👥 بيانات الموظفين'!B:C,2,0),"")</f>
        <v/>
      </c>
      <c r="D397" s="53"/>
      <c r="E397" s="55"/>
      <c r="F397" s="55"/>
      <c r="G397" s="68" t="str">
        <f t="shared" si="12"/>
        <v/>
      </c>
      <c r="H397" s="68" t="str">
        <f t="shared" si="13"/>
        <v/>
      </c>
      <c r="I397" s="53" t="str">
        <f>IFERROR(VLOOKUP(B397,'👥 بيانات الموظفين'!B:Q,16,0)-SUMIFS(H$5:H397,B$5:B397,B397,F$5:F397,"معتمدة"),"")</f>
        <v/>
      </c>
      <c r="J397" s="53"/>
      <c r="K397" s="53"/>
      <c r="L397" s="98"/>
    </row>
    <row r="398" spans="1:12" ht="22.15" customHeight="1" x14ac:dyDescent="0.2">
      <c r="A398" s="57" t="str">
        <f>IF(B398&lt;&gt;"",394,"")</f>
        <v/>
      </c>
      <c r="B398" s="57"/>
      <c r="C398" s="57" t="str">
        <f>IFERROR(VLOOKUP(B398,'👥 بيانات الموظفين'!B:C,2,0),"")</f>
        <v/>
      </c>
      <c r="D398" s="57"/>
      <c r="E398" s="59"/>
      <c r="F398" s="59"/>
      <c r="G398" s="69" t="str">
        <f t="shared" si="12"/>
        <v/>
      </c>
      <c r="H398" s="69" t="str">
        <f t="shared" si="13"/>
        <v/>
      </c>
      <c r="I398" s="57" t="str">
        <f>IFERROR(VLOOKUP(B398,'👥 بيانات الموظفين'!B:Q,16,0)-SUMIFS(H$5:H398,B$5:B398,B398,F$5:F398,"معتمدة"),"")</f>
        <v/>
      </c>
      <c r="J398" s="57"/>
      <c r="K398" s="57"/>
      <c r="L398" s="99"/>
    </row>
    <row r="399" spans="1:12" ht="22.15" customHeight="1" x14ac:dyDescent="0.2">
      <c r="A399" s="53" t="str">
        <f>IF(B399&lt;&gt;"",395,"")</f>
        <v/>
      </c>
      <c r="B399" s="53"/>
      <c r="C399" s="53" t="str">
        <f>IFERROR(VLOOKUP(B399,'👥 بيانات الموظفين'!B:C,2,0),"")</f>
        <v/>
      </c>
      <c r="D399" s="53"/>
      <c r="E399" s="55"/>
      <c r="F399" s="55"/>
      <c r="G399" s="68" t="str">
        <f t="shared" si="12"/>
        <v/>
      </c>
      <c r="H399" s="68" t="str">
        <f t="shared" si="13"/>
        <v/>
      </c>
      <c r="I399" s="53" t="str">
        <f>IFERROR(VLOOKUP(B399,'👥 بيانات الموظفين'!B:Q,16,0)-SUMIFS(H$5:H399,B$5:B399,B399,F$5:F399,"معتمدة"),"")</f>
        <v/>
      </c>
      <c r="J399" s="53"/>
      <c r="K399" s="53"/>
      <c r="L399" s="98"/>
    </row>
    <row r="400" spans="1:12" ht="22.15" customHeight="1" x14ac:dyDescent="0.2">
      <c r="A400" s="57" t="str">
        <f>IF(B400&lt;&gt;"",396,"")</f>
        <v/>
      </c>
      <c r="B400" s="57"/>
      <c r="C400" s="57" t="str">
        <f>IFERROR(VLOOKUP(B400,'👥 بيانات الموظفين'!B:C,2,0),"")</f>
        <v/>
      </c>
      <c r="D400" s="57"/>
      <c r="E400" s="59"/>
      <c r="F400" s="59"/>
      <c r="G400" s="69" t="str">
        <f t="shared" si="12"/>
        <v/>
      </c>
      <c r="H400" s="69" t="str">
        <f t="shared" si="13"/>
        <v/>
      </c>
      <c r="I400" s="57" t="str">
        <f>IFERROR(VLOOKUP(B400,'👥 بيانات الموظفين'!B:Q,16,0)-SUMIFS(H$5:H400,B$5:B400,B400,F$5:F400,"معتمدة"),"")</f>
        <v/>
      </c>
      <c r="J400" s="57"/>
      <c r="K400" s="57"/>
      <c r="L400" s="99"/>
    </row>
    <row r="401" spans="1:12" ht="22.15" customHeight="1" x14ac:dyDescent="0.2">
      <c r="A401" s="53" t="str">
        <f>IF(B401&lt;&gt;"",397,"")</f>
        <v/>
      </c>
      <c r="B401" s="53"/>
      <c r="C401" s="53" t="str">
        <f>IFERROR(VLOOKUP(B401,'👥 بيانات الموظفين'!B:C,2,0),"")</f>
        <v/>
      </c>
      <c r="D401" s="53"/>
      <c r="E401" s="55"/>
      <c r="F401" s="55"/>
      <c r="G401" s="68" t="str">
        <f t="shared" si="12"/>
        <v/>
      </c>
      <c r="H401" s="68" t="str">
        <f t="shared" si="13"/>
        <v/>
      </c>
      <c r="I401" s="53" t="str">
        <f>IFERROR(VLOOKUP(B401,'👥 بيانات الموظفين'!B:Q,16,0)-SUMIFS(H$5:H401,B$5:B401,B401,F$5:F401,"معتمدة"),"")</f>
        <v/>
      </c>
      <c r="J401" s="53"/>
      <c r="K401" s="53"/>
      <c r="L401" s="98"/>
    </row>
    <row r="402" spans="1:12" ht="22.15" customHeight="1" x14ac:dyDescent="0.2">
      <c r="A402" s="57" t="str">
        <f>IF(B402&lt;&gt;"",398,"")</f>
        <v/>
      </c>
      <c r="B402" s="57"/>
      <c r="C402" s="57" t="str">
        <f>IFERROR(VLOOKUP(B402,'👥 بيانات الموظفين'!B:C,2,0),"")</f>
        <v/>
      </c>
      <c r="D402" s="57"/>
      <c r="E402" s="59"/>
      <c r="F402" s="59"/>
      <c r="G402" s="69" t="str">
        <f t="shared" si="12"/>
        <v/>
      </c>
      <c r="H402" s="69" t="str">
        <f t="shared" si="13"/>
        <v/>
      </c>
      <c r="I402" s="57" t="str">
        <f>IFERROR(VLOOKUP(B402,'👥 بيانات الموظفين'!B:Q,16,0)-SUMIFS(H$5:H402,B$5:B402,B402,F$5:F402,"معتمدة"),"")</f>
        <v/>
      </c>
      <c r="J402" s="57"/>
      <c r="K402" s="57"/>
      <c r="L402" s="99"/>
    </row>
    <row r="403" spans="1:12" ht="22.15" customHeight="1" x14ac:dyDescent="0.2">
      <c r="A403" s="53" t="str">
        <f>IF(B403&lt;&gt;"",399,"")</f>
        <v/>
      </c>
      <c r="B403" s="53"/>
      <c r="C403" s="53" t="str">
        <f>IFERROR(VLOOKUP(B403,'👥 بيانات الموظفين'!B:C,2,0),"")</f>
        <v/>
      </c>
      <c r="D403" s="53"/>
      <c r="E403" s="55"/>
      <c r="F403" s="55"/>
      <c r="G403" s="68" t="str">
        <f t="shared" si="12"/>
        <v/>
      </c>
      <c r="H403" s="68" t="str">
        <f t="shared" si="13"/>
        <v/>
      </c>
      <c r="I403" s="53" t="str">
        <f>IFERROR(VLOOKUP(B403,'👥 بيانات الموظفين'!B:Q,16,0)-SUMIFS(H$5:H403,B$5:B403,B403,F$5:F403,"معتمدة"),"")</f>
        <v/>
      </c>
      <c r="J403" s="53"/>
      <c r="K403" s="53"/>
      <c r="L403" s="98"/>
    </row>
    <row r="404" spans="1:12" ht="22.15" customHeight="1" x14ac:dyDescent="0.2">
      <c r="A404" s="57" t="str">
        <f>IF(B404&lt;&gt;"",400,"")</f>
        <v/>
      </c>
      <c r="B404" s="57"/>
      <c r="C404" s="57" t="str">
        <f>IFERROR(VLOOKUP(B404,'👥 بيانات الموظفين'!B:C,2,0),"")</f>
        <v/>
      </c>
      <c r="D404" s="57"/>
      <c r="E404" s="59"/>
      <c r="F404" s="59"/>
      <c r="G404" s="69" t="str">
        <f t="shared" si="12"/>
        <v/>
      </c>
      <c r="H404" s="69" t="str">
        <f t="shared" si="13"/>
        <v/>
      </c>
      <c r="I404" s="57" t="str">
        <f>IFERROR(VLOOKUP(B404,'👥 بيانات الموظفين'!B:Q,16,0)-SUMIFS(H$5:H404,B$5:B404,B404,F$5:F404,"معتمدة"),"")</f>
        <v/>
      </c>
      <c r="J404" s="57"/>
      <c r="K404" s="57"/>
      <c r="L404" s="99"/>
    </row>
    <row r="405" spans="1:12" ht="22.15" customHeight="1" x14ac:dyDescent="0.2">
      <c r="A405" s="53" t="str">
        <f>IF(B405&lt;&gt;"",401,"")</f>
        <v/>
      </c>
      <c r="B405" s="53"/>
      <c r="C405" s="53" t="str">
        <f>IFERROR(VLOOKUP(B405,'👥 بيانات الموظفين'!B:C,2,0),"")</f>
        <v/>
      </c>
      <c r="D405" s="53"/>
      <c r="E405" s="55"/>
      <c r="F405" s="55"/>
      <c r="G405" s="68" t="str">
        <f t="shared" si="12"/>
        <v/>
      </c>
      <c r="H405" s="68" t="str">
        <f t="shared" si="13"/>
        <v/>
      </c>
      <c r="I405" s="53" t="str">
        <f>IFERROR(VLOOKUP(B405,'👥 بيانات الموظفين'!B:Q,16,0)-SUMIFS(H$5:H405,B$5:B405,B405,F$5:F405,"معتمدة"),"")</f>
        <v/>
      </c>
      <c r="J405" s="53"/>
      <c r="K405" s="53"/>
      <c r="L405" s="98"/>
    </row>
    <row r="406" spans="1:12" ht="22.15" customHeight="1" x14ac:dyDescent="0.2">
      <c r="A406" s="57" t="str">
        <f>IF(B406&lt;&gt;"",402,"")</f>
        <v/>
      </c>
      <c r="B406" s="57"/>
      <c r="C406" s="57" t="str">
        <f>IFERROR(VLOOKUP(B406,'👥 بيانات الموظفين'!B:C,2,0),"")</f>
        <v/>
      </c>
      <c r="D406" s="57"/>
      <c r="E406" s="59"/>
      <c r="F406" s="59"/>
      <c r="G406" s="69" t="str">
        <f t="shared" si="12"/>
        <v/>
      </c>
      <c r="H406" s="69" t="str">
        <f t="shared" si="13"/>
        <v/>
      </c>
      <c r="I406" s="57" t="str">
        <f>IFERROR(VLOOKUP(B406,'👥 بيانات الموظفين'!B:Q,16,0)-SUMIFS(H$5:H406,B$5:B406,B406,F$5:F406,"معتمدة"),"")</f>
        <v/>
      </c>
      <c r="J406" s="57"/>
      <c r="K406" s="57"/>
      <c r="L406" s="99"/>
    </row>
    <row r="407" spans="1:12" ht="22.15" customHeight="1" x14ac:dyDescent="0.2">
      <c r="A407" s="53" t="str">
        <f>IF(B407&lt;&gt;"",403,"")</f>
        <v/>
      </c>
      <c r="B407" s="53"/>
      <c r="C407" s="53" t="str">
        <f>IFERROR(VLOOKUP(B407,'👥 بيانات الموظفين'!B:C,2,0),"")</f>
        <v/>
      </c>
      <c r="D407" s="53"/>
      <c r="E407" s="55"/>
      <c r="F407" s="55"/>
      <c r="G407" s="68" t="str">
        <f t="shared" si="12"/>
        <v/>
      </c>
      <c r="H407" s="68" t="str">
        <f t="shared" si="13"/>
        <v/>
      </c>
      <c r="I407" s="53" t="str">
        <f>IFERROR(VLOOKUP(B407,'👥 بيانات الموظفين'!B:Q,16,0)-SUMIFS(H$5:H407,B$5:B407,B407,F$5:F407,"معتمدة"),"")</f>
        <v/>
      </c>
      <c r="J407" s="53"/>
      <c r="K407" s="53"/>
      <c r="L407" s="98"/>
    </row>
    <row r="408" spans="1:12" ht="22.15" customHeight="1" x14ac:dyDescent="0.2">
      <c r="A408" s="57" t="str">
        <f>IF(B408&lt;&gt;"",404,"")</f>
        <v/>
      </c>
      <c r="B408" s="57"/>
      <c r="C408" s="57" t="str">
        <f>IFERROR(VLOOKUP(B408,'👥 بيانات الموظفين'!B:C,2,0),"")</f>
        <v/>
      </c>
      <c r="D408" s="57"/>
      <c r="E408" s="59"/>
      <c r="F408" s="59"/>
      <c r="G408" s="69" t="str">
        <f t="shared" si="12"/>
        <v/>
      </c>
      <c r="H408" s="69" t="str">
        <f t="shared" si="13"/>
        <v/>
      </c>
      <c r="I408" s="57" t="str">
        <f>IFERROR(VLOOKUP(B408,'👥 بيانات الموظفين'!B:Q,16,0)-SUMIFS(H$5:H408,B$5:B408,B408,F$5:F408,"معتمدة"),"")</f>
        <v/>
      </c>
      <c r="J408" s="57"/>
      <c r="K408" s="57"/>
      <c r="L408" s="99"/>
    </row>
    <row r="409" spans="1:12" ht="22.15" customHeight="1" x14ac:dyDescent="0.2">
      <c r="A409" s="53" t="str">
        <f>IF(B409&lt;&gt;"",405,"")</f>
        <v/>
      </c>
      <c r="B409" s="53"/>
      <c r="C409" s="53" t="str">
        <f>IFERROR(VLOOKUP(B409,'👥 بيانات الموظفين'!B:C,2,0),"")</f>
        <v/>
      </c>
      <c r="D409" s="53"/>
      <c r="E409" s="55"/>
      <c r="F409" s="55"/>
      <c r="G409" s="68" t="str">
        <f t="shared" si="12"/>
        <v/>
      </c>
      <c r="H409" s="68" t="str">
        <f t="shared" si="13"/>
        <v/>
      </c>
      <c r="I409" s="53" t="str">
        <f>IFERROR(VLOOKUP(B409,'👥 بيانات الموظفين'!B:Q,16,0)-SUMIFS(H$5:H409,B$5:B409,B409,F$5:F409,"معتمدة"),"")</f>
        <v/>
      </c>
      <c r="J409" s="53"/>
      <c r="K409" s="53"/>
      <c r="L409" s="98"/>
    </row>
    <row r="410" spans="1:12" ht="22.15" customHeight="1" x14ac:dyDescent="0.2">
      <c r="A410" s="57" t="str">
        <f>IF(B410&lt;&gt;"",406,"")</f>
        <v/>
      </c>
      <c r="B410" s="57"/>
      <c r="C410" s="57" t="str">
        <f>IFERROR(VLOOKUP(B410,'👥 بيانات الموظفين'!B:C,2,0),"")</f>
        <v/>
      </c>
      <c r="D410" s="57"/>
      <c r="E410" s="59"/>
      <c r="F410" s="59"/>
      <c r="G410" s="69" t="str">
        <f t="shared" si="12"/>
        <v/>
      </c>
      <c r="H410" s="69" t="str">
        <f t="shared" si="13"/>
        <v/>
      </c>
      <c r="I410" s="57" t="str">
        <f>IFERROR(VLOOKUP(B410,'👥 بيانات الموظفين'!B:Q,16,0)-SUMIFS(H$5:H410,B$5:B410,B410,F$5:F410,"معتمدة"),"")</f>
        <v/>
      </c>
      <c r="J410" s="57"/>
      <c r="K410" s="57"/>
      <c r="L410" s="99"/>
    </row>
    <row r="411" spans="1:12" ht="22.15" customHeight="1" x14ac:dyDescent="0.2">
      <c r="A411" s="53" t="str">
        <f>IF(B411&lt;&gt;"",407,"")</f>
        <v/>
      </c>
      <c r="B411" s="53"/>
      <c r="C411" s="53" t="str">
        <f>IFERROR(VLOOKUP(B411,'👥 بيانات الموظفين'!B:C,2,0),"")</f>
        <v/>
      </c>
      <c r="D411" s="53"/>
      <c r="E411" s="55"/>
      <c r="F411" s="55"/>
      <c r="G411" s="68" t="str">
        <f t="shared" si="12"/>
        <v/>
      </c>
      <c r="H411" s="68" t="str">
        <f t="shared" si="13"/>
        <v/>
      </c>
      <c r="I411" s="53" t="str">
        <f>IFERROR(VLOOKUP(B411,'👥 بيانات الموظفين'!B:Q,16,0)-SUMIFS(H$5:H411,B$5:B411,B411,F$5:F411,"معتمدة"),"")</f>
        <v/>
      </c>
      <c r="J411" s="53"/>
      <c r="K411" s="53"/>
      <c r="L411" s="98"/>
    </row>
    <row r="412" spans="1:12" ht="22.15" customHeight="1" x14ac:dyDescent="0.2">
      <c r="A412" s="57" t="str">
        <f>IF(B412&lt;&gt;"",408,"")</f>
        <v/>
      </c>
      <c r="B412" s="57"/>
      <c r="C412" s="57" t="str">
        <f>IFERROR(VLOOKUP(B412,'👥 بيانات الموظفين'!B:C,2,0),"")</f>
        <v/>
      </c>
      <c r="D412" s="57"/>
      <c r="E412" s="59"/>
      <c r="F412" s="59"/>
      <c r="G412" s="69" t="str">
        <f t="shared" si="12"/>
        <v/>
      </c>
      <c r="H412" s="69" t="str">
        <f t="shared" si="13"/>
        <v/>
      </c>
      <c r="I412" s="57" t="str">
        <f>IFERROR(VLOOKUP(B412,'👥 بيانات الموظفين'!B:Q,16,0)-SUMIFS(H$5:H412,B$5:B412,B412,F$5:F412,"معتمدة"),"")</f>
        <v/>
      </c>
      <c r="J412" s="57"/>
      <c r="K412" s="57"/>
      <c r="L412" s="99"/>
    </row>
    <row r="413" spans="1:12" ht="22.15" customHeight="1" x14ac:dyDescent="0.2">
      <c r="A413" s="53" t="str">
        <f>IF(B413&lt;&gt;"",409,"")</f>
        <v/>
      </c>
      <c r="B413" s="53"/>
      <c r="C413" s="53" t="str">
        <f>IFERROR(VLOOKUP(B413,'👥 بيانات الموظفين'!B:C,2,0),"")</f>
        <v/>
      </c>
      <c r="D413" s="53"/>
      <c r="E413" s="55"/>
      <c r="F413" s="55"/>
      <c r="G413" s="68" t="str">
        <f t="shared" si="12"/>
        <v/>
      </c>
      <c r="H413" s="68" t="str">
        <f t="shared" si="13"/>
        <v/>
      </c>
      <c r="I413" s="53" t="str">
        <f>IFERROR(VLOOKUP(B413,'👥 بيانات الموظفين'!B:Q,16,0)-SUMIFS(H$5:H413,B$5:B413,B413,F$5:F413,"معتمدة"),"")</f>
        <v/>
      </c>
      <c r="J413" s="53"/>
      <c r="K413" s="53"/>
      <c r="L413" s="98"/>
    </row>
    <row r="414" spans="1:12" ht="22.15" customHeight="1" x14ac:dyDescent="0.2">
      <c r="A414" s="57" t="str">
        <f>IF(B414&lt;&gt;"",410,"")</f>
        <v/>
      </c>
      <c r="B414" s="57"/>
      <c r="C414" s="57" t="str">
        <f>IFERROR(VLOOKUP(B414,'👥 بيانات الموظفين'!B:C,2,0),"")</f>
        <v/>
      </c>
      <c r="D414" s="57"/>
      <c r="E414" s="59"/>
      <c r="F414" s="59"/>
      <c r="G414" s="69" t="str">
        <f t="shared" si="12"/>
        <v/>
      </c>
      <c r="H414" s="69" t="str">
        <f t="shared" si="13"/>
        <v/>
      </c>
      <c r="I414" s="57" t="str">
        <f>IFERROR(VLOOKUP(B414,'👥 بيانات الموظفين'!B:Q,16,0)-SUMIFS(H$5:H414,B$5:B414,B414,F$5:F414,"معتمدة"),"")</f>
        <v/>
      </c>
      <c r="J414" s="57"/>
      <c r="K414" s="57"/>
      <c r="L414" s="99"/>
    </row>
    <row r="415" spans="1:12" ht="22.15" customHeight="1" x14ac:dyDescent="0.2">
      <c r="A415" s="53" t="str">
        <f>IF(B415&lt;&gt;"",411,"")</f>
        <v/>
      </c>
      <c r="B415" s="53"/>
      <c r="C415" s="53" t="str">
        <f>IFERROR(VLOOKUP(B415,'👥 بيانات الموظفين'!B:C,2,0),"")</f>
        <v/>
      </c>
      <c r="D415" s="53"/>
      <c r="E415" s="55"/>
      <c r="F415" s="55"/>
      <c r="G415" s="68" t="str">
        <f t="shared" si="12"/>
        <v/>
      </c>
      <c r="H415" s="68" t="str">
        <f t="shared" si="13"/>
        <v/>
      </c>
      <c r="I415" s="53" t="str">
        <f>IFERROR(VLOOKUP(B415,'👥 بيانات الموظفين'!B:Q,16,0)-SUMIFS(H$5:H415,B$5:B415,B415,F$5:F415,"معتمدة"),"")</f>
        <v/>
      </c>
      <c r="J415" s="53"/>
      <c r="K415" s="53"/>
      <c r="L415" s="98"/>
    </row>
    <row r="416" spans="1:12" ht="22.15" customHeight="1" x14ac:dyDescent="0.2">
      <c r="A416" s="57" t="str">
        <f>IF(B416&lt;&gt;"",412,"")</f>
        <v/>
      </c>
      <c r="B416" s="57"/>
      <c r="C416" s="57" t="str">
        <f>IFERROR(VLOOKUP(B416,'👥 بيانات الموظفين'!B:C,2,0),"")</f>
        <v/>
      </c>
      <c r="D416" s="57"/>
      <c r="E416" s="59"/>
      <c r="F416" s="59"/>
      <c r="G416" s="69" t="str">
        <f t="shared" si="12"/>
        <v/>
      </c>
      <c r="H416" s="69" t="str">
        <f t="shared" si="13"/>
        <v/>
      </c>
      <c r="I416" s="57" t="str">
        <f>IFERROR(VLOOKUP(B416,'👥 بيانات الموظفين'!B:Q,16,0)-SUMIFS(H$5:H416,B$5:B416,B416,F$5:F416,"معتمدة"),"")</f>
        <v/>
      </c>
      <c r="J416" s="57"/>
      <c r="K416" s="57"/>
      <c r="L416" s="99"/>
    </row>
    <row r="417" spans="1:12" ht="22.15" customHeight="1" x14ac:dyDescent="0.2">
      <c r="A417" s="53" t="str">
        <f>IF(B417&lt;&gt;"",413,"")</f>
        <v/>
      </c>
      <c r="B417" s="53"/>
      <c r="C417" s="53" t="str">
        <f>IFERROR(VLOOKUP(B417,'👥 بيانات الموظفين'!B:C,2,0),"")</f>
        <v/>
      </c>
      <c r="D417" s="53"/>
      <c r="E417" s="55"/>
      <c r="F417" s="55"/>
      <c r="G417" s="68" t="str">
        <f t="shared" si="12"/>
        <v/>
      </c>
      <c r="H417" s="68" t="str">
        <f t="shared" si="13"/>
        <v/>
      </c>
      <c r="I417" s="53" t="str">
        <f>IFERROR(VLOOKUP(B417,'👥 بيانات الموظفين'!B:Q,16,0)-SUMIFS(H$5:H417,B$5:B417,B417,F$5:F417,"معتمدة"),"")</f>
        <v/>
      </c>
      <c r="J417" s="53"/>
      <c r="K417" s="53"/>
      <c r="L417" s="98"/>
    </row>
    <row r="418" spans="1:12" ht="22.15" customHeight="1" x14ac:dyDescent="0.2">
      <c r="A418" s="57" t="str">
        <f>IF(B418&lt;&gt;"",414,"")</f>
        <v/>
      </c>
      <c r="B418" s="57"/>
      <c r="C418" s="57" t="str">
        <f>IFERROR(VLOOKUP(B418,'👥 بيانات الموظفين'!B:C,2,0),"")</f>
        <v/>
      </c>
      <c r="D418" s="57"/>
      <c r="E418" s="59"/>
      <c r="F418" s="59"/>
      <c r="G418" s="69" t="str">
        <f t="shared" si="12"/>
        <v/>
      </c>
      <c r="H418" s="69" t="str">
        <f t="shared" si="13"/>
        <v/>
      </c>
      <c r="I418" s="57" t="str">
        <f>IFERROR(VLOOKUP(B418,'👥 بيانات الموظفين'!B:Q,16,0)-SUMIFS(H$5:H418,B$5:B418,B418,F$5:F418,"معتمدة"),"")</f>
        <v/>
      </c>
      <c r="J418" s="57"/>
      <c r="K418" s="57"/>
      <c r="L418" s="99"/>
    </row>
    <row r="419" spans="1:12" ht="22.15" customHeight="1" x14ac:dyDescent="0.2">
      <c r="A419" s="53" t="str">
        <f>IF(B419&lt;&gt;"",415,"")</f>
        <v/>
      </c>
      <c r="B419" s="53"/>
      <c r="C419" s="53" t="str">
        <f>IFERROR(VLOOKUP(B419,'👥 بيانات الموظفين'!B:C,2,0),"")</f>
        <v/>
      </c>
      <c r="D419" s="53"/>
      <c r="E419" s="55"/>
      <c r="F419" s="55"/>
      <c r="G419" s="68" t="str">
        <f t="shared" si="12"/>
        <v/>
      </c>
      <c r="H419" s="68" t="str">
        <f t="shared" si="13"/>
        <v/>
      </c>
      <c r="I419" s="53" t="str">
        <f>IFERROR(VLOOKUP(B419,'👥 بيانات الموظفين'!B:Q,16,0)-SUMIFS(H$5:H419,B$5:B419,B419,F$5:F419,"معتمدة"),"")</f>
        <v/>
      </c>
      <c r="J419" s="53"/>
      <c r="K419" s="53"/>
      <c r="L419" s="98"/>
    </row>
    <row r="420" spans="1:12" ht="22.15" customHeight="1" x14ac:dyDescent="0.2">
      <c r="A420" s="57" t="str">
        <f>IF(B420&lt;&gt;"",416,"")</f>
        <v/>
      </c>
      <c r="B420" s="57"/>
      <c r="C420" s="57" t="str">
        <f>IFERROR(VLOOKUP(B420,'👥 بيانات الموظفين'!B:C,2,0),"")</f>
        <v/>
      </c>
      <c r="D420" s="57"/>
      <c r="E420" s="59"/>
      <c r="F420" s="59"/>
      <c r="G420" s="69" t="str">
        <f t="shared" si="12"/>
        <v/>
      </c>
      <c r="H420" s="69" t="str">
        <f t="shared" si="13"/>
        <v/>
      </c>
      <c r="I420" s="57" t="str">
        <f>IFERROR(VLOOKUP(B420,'👥 بيانات الموظفين'!B:Q,16,0)-SUMIFS(H$5:H420,B$5:B420,B420,F$5:F420,"معتمدة"),"")</f>
        <v/>
      </c>
      <c r="J420" s="57"/>
      <c r="K420" s="57"/>
      <c r="L420" s="99"/>
    </row>
    <row r="421" spans="1:12" ht="22.15" customHeight="1" x14ac:dyDescent="0.2">
      <c r="A421" s="53" t="str">
        <f>IF(B421&lt;&gt;"",417,"")</f>
        <v/>
      </c>
      <c r="B421" s="53"/>
      <c r="C421" s="53" t="str">
        <f>IFERROR(VLOOKUP(B421,'👥 بيانات الموظفين'!B:C,2,0),"")</f>
        <v/>
      </c>
      <c r="D421" s="53"/>
      <c r="E421" s="55"/>
      <c r="F421" s="55"/>
      <c r="G421" s="68" t="str">
        <f t="shared" si="12"/>
        <v/>
      </c>
      <c r="H421" s="68" t="str">
        <f t="shared" si="13"/>
        <v/>
      </c>
      <c r="I421" s="53" t="str">
        <f>IFERROR(VLOOKUP(B421,'👥 بيانات الموظفين'!B:Q,16,0)-SUMIFS(H$5:H421,B$5:B421,B421,F$5:F421,"معتمدة"),"")</f>
        <v/>
      </c>
      <c r="J421" s="53"/>
      <c r="K421" s="53"/>
      <c r="L421" s="98"/>
    </row>
    <row r="422" spans="1:12" ht="22.15" customHeight="1" x14ac:dyDescent="0.2">
      <c r="A422" s="57" t="str">
        <f>IF(B422&lt;&gt;"",418,"")</f>
        <v/>
      </c>
      <c r="B422" s="57"/>
      <c r="C422" s="57" t="str">
        <f>IFERROR(VLOOKUP(B422,'👥 بيانات الموظفين'!B:C,2,0),"")</f>
        <v/>
      </c>
      <c r="D422" s="57"/>
      <c r="E422" s="59"/>
      <c r="F422" s="59"/>
      <c r="G422" s="69" t="str">
        <f t="shared" si="12"/>
        <v/>
      </c>
      <c r="H422" s="69" t="str">
        <f t="shared" si="13"/>
        <v/>
      </c>
      <c r="I422" s="57" t="str">
        <f>IFERROR(VLOOKUP(B422,'👥 بيانات الموظفين'!B:Q,16,0)-SUMIFS(H$5:H422,B$5:B422,B422,F$5:F422,"معتمدة"),"")</f>
        <v/>
      </c>
      <c r="J422" s="57"/>
      <c r="K422" s="57"/>
      <c r="L422" s="99"/>
    </row>
    <row r="423" spans="1:12" ht="22.15" customHeight="1" x14ac:dyDescent="0.2">
      <c r="A423" s="53" t="str">
        <f>IF(B423&lt;&gt;"",419,"")</f>
        <v/>
      </c>
      <c r="B423" s="53"/>
      <c r="C423" s="53" t="str">
        <f>IFERROR(VLOOKUP(B423,'👥 بيانات الموظفين'!B:C,2,0),"")</f>
        <v/>
      </c>
      <c r="D423" s="53"/>
      <c r="E423" s="55"/>
      <c r="F423" s="55"/>
      <c r="G423" s="68" t="str">
        <f t="shared" si="12"/>
        <v/>
      </c>
      <c r="H423" s="68" t="str">
        <f t="shared" si="13"/>
        <v/>
      </c>
      <c r="I423" s="53" t="str">
        <f>IFERROR(VLOOKUP(B423,'👥 بيانات الموظفين'!B:Q,16,0)-SUMIFS(H$5:H423,B$5:B423,B423,F$5:F423,"معتمدة"),"")</f>
        <v/>
      </c>
      <c r="J423" s="53"/>
      <c r="K423" s="53"/>
      <c r="L423" s="98"/>
    </row>
    <row r="424" spans="1:12" ht="22.15" customHeight="1" x14ac:dyDescent="0.2">
      <c r="A424" s="57" t="str">
        <f>IF(B424&lt;&gt;"",420,"")</f>
        <v/>
      </c>
      <c r="B424" s="57"/>
      <c r="C424" s="57" t="str">
        <f>IFERROR(VLOOKUP(B424,'👥 بيانات الموظفين'!B:C,2,0),"")</f>
        <v/>
      </c>
      <c r="D424" s="57"/>
      <c r="E424" s="59"/>
      <c r="F424" s="59"/>
      <c r="G424" s="69" t="str">
        <f t="shared" si="12"/>
        <v/>
      </c>
      <c r="H424" s="69" t="str">
        <f t="shared" si="13"/>
        <v/>
      </c>
      <c r="I424" s="57" t="str">
        <f>IFERROR(VLOOKUP(B424,'👥 بيانات الموظفين'!B:Q,16,0)-SUMIFS(H$5:H424,B$5:B424,B424,F$5:F424,"معتمدة"),"")</f>
        <v/>
      </c>
      <c r="J424" s="57"/>
      <c r="K424" s="57"/>
      <c r="L424" s="99"/>
    </row>
    <row r="425" spans="1:12" ht="22.15" customHeight="1" x14ac:dyDescent="0.2">
      <c r="A425" s="53" t="str">
        <f>IF(B425&lt;&gt;"",421,"")</f>
        <v/>
      </c>
      <c r="B425" s="53"/>
      <c r="C425" s="53" t="str">
        <f>IFERROR(VLOOKUP(B425,'👥 بيانات الموظفين'!B:C,2,0),"")</f>
        <v/>
      </c>
      <c r="D425" s="53"/>
      <c r="E425" s="55"/>
      <c r="F425" s="55"/>
      <c r="G425" s="68" t="str">
        <f t="shared" si="12"/>
        <v/>
      </c>
      <c r="H425" s="68" t="str">
        <f t="shared" si="13"/>
        <v/>
      </c>
      <c r="I425" s="53" t="str">
        <f>IFERROR(VLOOKUP(B425,'👥 بيانات الموظفين'!B:Q,16,0)-SUMIFS(H$5:H425,B$5:B425,B425,F$5:F425,"معتمدة"),"")</f>
        <v/>
      </c>
      <c r="J425" s="53"/>
      <c r="K425" s="53"/>
      <c r="L425" s="98"/>
    </row>
    <row r="426" spans="1:12" ht="22.15" customHeight="1" x14ac:dyDescent="0.2">
      <c r="A426" s="57" t="str">
        <f>IF(B426&lt;&gt;"",422,"")</f>
        <v/>
      </c>
      <c r="B426" s="57"/>
      <c r="C426" s="57" t="str">
        <f>IFERROR(VLOOKUP(B426,'👥 بيانات الموظفين'!B:C,2,0),"")</f>
        <v/>
      </c>
      <c r="D426" s="57"/>
      <c r="E426" s="59"/>
      <c r="F426" s="59"/>
      <c r="G426" s="69" t="str">
        <f t="shared" si="12"/>
        <v/>
      </c>
      <c r="H426" s="69" t="str">
        <f t="shared" si="13"/>
        <v/>
      </c>
      <c r="I426" s="57" t="str">
        <f>IFERROR(VLOOKUP(B426,'👥 بيانات الموظفين'!B:Q,16,0)-SUMIFS(H$5:H426,B$5:B426,B426,F$5:F426,"معتمدة"),"")</f>
        <v/>
      </c>
      <c r="J426" s="57"/>
      <c r="K426" s="57"/>
      <c r="L426" s="99"/>
    </row>
    <row r="427" spans="1:12" ht="22.15" customHeight="1" x14ac:dyDescent="0.2">
      <c r="A427" s="53" t="str">
        <f>IF(B427&lt;&gt;"",423,"")</f>
        <v/>
      </c>
      <c r="B427" s="53"/>
      <c r="C427" s="53" t="str">
        <f>IFERROR(VLOOKUP(B427,'👥 بيانات الموظفين'!B:C,2,0),"")</f>
        <v/>
      </c>
      <c r="D427" s="53"/>
      <c r="E427" s="55"/>
      <c r="F427" s="55"/>
      <c r="G427" s="68" t="str">
        <f t="shared" si="12"/>
        <v/>
      </c>
      <c r="H427" s="68" t="str">
        <f t="shared" si="13"/>
        <v/>
      </c>
      <c r="I427" s="53" t="str">
        <f>IFERROR(VLOOKUP(B427,'👥 بيانات الموظفين'!B:Q,16,0)-SUMIFS(H$5:H427,B$5:B427,B427,F$5:F427,"معتمدة"),"")</f>
        <v/>
      </c>
      <c r="J427" s="53"/>
      <c r="K427" s="53"/>
      <c r="L427" s="98"/>
    </row>
    <row r="428" spans="1:12" ht="22.15" customHeight="1" x14ac:dyDescent="0.2">
      <c r="A428" s="57" t="str">
        <f>IF(B428&lt;&gt;"",424,"")</f>
        <v/>
      </c>
      <c r="B428" s="57"/>
      <c r="C428" s="57" t="str">
        <f>IFERROR(VLOOKUP(B428,'👥 بيانات الموظفين'!B:C,2,0),"")</f>
        <v/>
      </c>
      <c r="D428" s="57"/>
      <c r="E428" s="59"/>
      <c r="F428" s="59"/>
      <c r="G428" s="69" t="str">
        <f t="shared" si="12"/>
        <v/>
      </c>
      <c r="H428" s="69" t="str">
        <f t="shared" si="13"/>
        <v/>
      </c>
      <c r="I428" s="57" t="str">
        <f>IFERROR(VLOOKUP(B428,'👥 بيانات الموظفين'!B:Q,16,0)-SUMIFS(H$5:H428,B$5:B428,B428,F$5:F428,"معتمدة"),"")</f>
        <v/>
      </c>
      <c r="J428" s="57"/>
      <c r="K428" s="57"/>
      <c r="L428" s="99"/>
    </row>
    <row r="429" spans="1:12" ht="22.15" customHeight="1" x14ac:dyDescent="0.2">
      <c r="A429" s="53" t="str">
        <f>IF(B429&lt;&gt;"",425,"")</f>
        <v/>
      </c>
      <c r="B429" s="53"/>
      <c r="C429" s="53" t="str">
        <f>IFERROR(VLOOKUP(B429,'👥 بيانات الموظفين'!B:C,2,0),"")</f>
        <v/>
      </c>
      <c r="D429" s="53"/>
      <c r="E429" s="55"/>
      <c r="F429" s="55"/>
      <c r="G429" s="68" t="str">
        <f t="shared" si="12"/>
        <v/>
      </c>
      <c r="H429" s="68" t="str">
        <f t="shared" si="13"/>
        <v/>
      </c>
      <c r="I429" s="53" t="str">
        <f>IFERROR(VLOOKUP(B429,'👥 بيانات الموظفين'!B:Q,16,0)-SUMIFS(H$5:H429,B$5:B429,B429,F$5:F429,"معتمدة"),"")</f>
        <v/>
      </c>
      <c r="J429" s="53"/>
      <c r="K429" s="53"/>
      <c r="L429" s="98"/>
    </row>
    <row r="430" spans="1:12" ht="22.15" customHeight="1" x14ac:dyDescent="0.2">
      <c r="A430" s="57" t="str">
        <f>IF(B430&lt;&gt;"",426,"")</f>
        <v/>
      </c>
      <c r="B430" s="57"/>
      <c r="C430" s="57" t="str">
        <f>IFERROR(VLOOKUP(B430,'👥 بيانات الموظفين'!B:C,2,0),"")</f>
        <v/>
      </c>
      <c r="D430" s="57"/>
      <c r="E430" s="59"/>
      <c r="F430" s="59"/>
      <c r="G430" s="69" t="str">
        <f t="shared" si="12"/>
        <v/>
      </c>
      <c r="H430" s="69" t="str">
        <f t="shared" si="13"/>
        <v/>
      </c>
      <c r="I430" s="57" t="str">
        <f>IFERROR(VLOOKUP(B430,'👥 بيانات الموظفين'!B:Q,16,0)-SUMIFS(H$5:H430,B$5:B430,B430,F$5:F430,"معتمدة"),"")</f>
        <v/>
      </c>
      <c r="J430" s="57"/>
      <c r="K430" s="57"/>
      <c r="L430" s="99"/>
    </row>
    <row r="431" spans="1:12" ht="22.15" customHeight="1" x14ac:dyDescent="0.2">
      <c r="A431" s="53" t="str">
        <f>IF(B431&lt;&gt;"",427,"")</f>
        <v/>
      </c>
      <c r="B431" s="53"/>
      <c r="C431" s="53" t="str">
        <f>IFERROR(VLOOKUP(B431,'👥 بيانات الموظفين'!B:C,2,0),"")</f>
        <v/>
      </c>
      <c r="D431" s="53"/>
      <c r="E431" s="55"/>
      <c r="F431" s="55"/>
      <c r="G431" s="68" t="str">
        <f t="shared" si="12"/>
        <v/>
      </c>
      <c r="H431" s="68" t="str">
        <f t="shared" si="13"/>
        <v/>
      </c>
      <c r="I431" s="53" t="str">
        <f>IFERROR(VLOOKUP(B431,'👥 بيانات الموظفين'!B:Q,16,0)-SUMIFS(H$5:H431,B$5:B431,B431,F$5:F431,"معتمدة"),"")</f>
        <v/>
      </c>
      <c r="J431" s="53"/>
      <c r="K431" s="53"/>
      <c r="L431" s="98"/>
    </row>
    <row r="432" spans="1:12" ht="22.15" customHeight="1" x14ac:dyDescent="0.2">
      <c r="A432" s="57" t="str">
        <f>IF(B432&lt;&gt;"",428,"")</f>
        <v/>
      </c>
      <c r="B432" s="57"/>
      <c r="C432" s="57" t="str">
        <f>IFERROR(VLOOKUP(B432,'👥 بيانات الموظفين'!B:C,2,0),"")</f>
        <v/>
      </c>
      <c r="D432" s="57"/>
      <c r="E432" s="59"/>
      <c r="F432" s="59"/>
      <c r="G432" s="69" t="str">
        <f t="shared" si="12"/>
        <v/>
      </c>
      <c r="H432" s="69" t="str">
        <f t="shared" si="13"/>
        <v/>
      </c>
      <c r="I432" s="57" t="str">
        <f>IFERROR(VLOOKUP(B432,'👥 بيانات الموظفين'!B:Q,16,0)-SUMIFS(H$5:H432,B$5:B432,B432,F$5:F432,"معتمدة"),"")</f>
        <v/>
      </c>
      <c r="J432" s="57"/>
      <c r="K432" s="57"/>
      <c r="L432" s="99"/>
    </row>
    <row r="433" spans="1:12" ht="22.15" customHeight="1" x14ac:dyDescent="0.2">
      <c r="A433" s="53" t="str">
        <f>IF(B433&lt;&gt;"",429,"")</f>
        <v/>
      </c>
      <c r="B433" s="53"/>
      <c r="C433" s="53" t="str">
        <f>IFERROR(VLOOKUP(B433,'👥 بيانات الموظفين'!B:C,2,0),"")</f>
        <v/>
      </c>
      <c r="D433" s="53"/>
      <c r="E433" s="55"/>
      <c r="F433" s="55"/>
      <c r="G433" s="68" t="str">
        <f t="shared" si="12"/>
        <v/>
      </c>
      <c r="H433" s="68" t="str">
        <f t="shared" si="13"/>
        <v/>
      </c>
      <c r="I433" s="53" t="str">
        <f>IFERROR(VLOOKUP(B433,'👥 بيانات الموظفين'!B:Q,16,0)-SUMIFS(H$5:H433,B$5:B433,B433,F$5:F433,"معتمدة"),"")</f>
        <v/>
      </c>
      <c r="J433" s="53"/>
      <c r="K433" s="53"/>
      <c r="L433" s="98"/>
    </row>
    <row r="434" spans="1:12" ht="22.15" customHeight="1" x14ac:dyDescent="0.2">
      <c r="A434" s="57" t="str">
        <f>IF(B434&lt;&gt;"",430,"")</f>
        <v/>
      </c>
      <c r="B434" s="57"/>
      <c r="C434" s="57" t="str">
        <f>IFERROR(VLOOKUP(B434,'👥 بيانات الموظفين'!B:C,2,0),"")</f>
        <v/>
      </c>
      <c r="D434" s="57"/>
      <c r="E434" s="59"/>
      <c r="F434" s="59"/>
      <c r="G434" s="69" t="str">
        <f t="shared" si="12"/>
        <v/>
      </c>
      <c r="H434" s="69" t="str">
        <f t="shared" si="13"/>
        <v/>
      </c>
      <c r="I434" s="57" t="str">
        <f>IFERROR(VLOOKUP(B434,'👥 بيانات الموظفين'!B:Q,16,0)-SUMIFS(H$5:H434,B$5:B434,B434,F$5:F434,"معتمدة"),"")</f>
        <v/>
      </c>
      <c r="J434" s="57"/>
      <c r="K434" s="57"/>
      <c r="L434" s="99"/>
    </row>
    <row r="435" spans="1:12" ht="22.15" customHeight="1" x14ac:dyDescent="0.2">
      <c r="A435" s="53" t="str">
        <f>IF(B435&lt;&gt;"",431,"")</f>
        <v/>
      </c>
      <c r="B435" s="53"/>
      <c r="C435" s="53" t="str">
        <f>IFERROR(VLOOKUP(B435,'👥 بيانات الموظفين'!B:C,2,0),"")</f>
        <v/>
      </c>
      <c r="D435" s="53"/>
      <c r="E435" s="55"/>
      <c r="F435" s="55"/>
      <c r="G435" s="68" t="str">
        <f t="shared" si="12"/>
        <v/>
      </c>
      <c r="H435" s="68" t="str">
        <f t="shared" si="13"/>
        <v/>
      </c>
      <c r="I435" s="53" t="str">
        <f>IFERROR(VLOOKUP(B435,'👥 بيانات الموظفين'!B:Q,16,0)-SUMIFS(H$5:H435,B$5:B435,B435,F$5:F435,"معتمدة"),"")</f>
        <v/>
      </c>
      <c r="J435" s="53"/>
      <c r="K435" s="53"/>
      <c r="L435" s="98"/>
    </row>
    <row r="436" spans="1:12" ht="22.15" customHeight="1" x14ac:dyDescent="0.2">
      <c r="A436" s="57" t="str">
        <f>IF(B436&lt;&gt;"",432,"")</f>
        <v/>
      </c>
      <c r="B436" s="57"/>
      <c r="C436" s="57" t="str">
        <f>IFERROR(VLOOKUP(B436,'👥 بيانات الموظفين'!B:C,2,0),"")</f>
        <v/>
      </c>
      <c r="D436" s="57"/>
      <c r="E436" s="59"/>
      <c r="F436" s="59"/>
      <c r="G436" s="69" t="str">
        <f t="shared" si="12"/>
        <v/>
      </c>
      <c r="H436" s="69" t="str">
        <f t="shared" si="13"/>
        <v/>
      </c>
      <c r="I436" s="57" t="str">
        <f>IFERROR(VLOOKUP(B436,'👥 بيانات الموظفين'!B:Q,16,0)-SUMIFS(H$5:H436,B$5:B436,B436,F$5:F436,"معتمدة"),"")</f>
        <v/>
      </c>
      <c r="J436" s="57"/>
      <c r="K436" s="57"/>
      <c r="L436" s="99"/>
    </row>
    <row r="437" spans="1:12" ht="22.15" customHeight="1" x14ac:dyDescent="0.2">
      <c r="A437" s="53" t="str">
        <f>IF(B437&lt;&gt;"",433,"")</f>
        <v/>
      </c>
      <c r="B437" s="53"/>
      <c r="C437" s="53" t="str">
        <f>IFERROR(VLOOKUP(B437,'👥 بيانات الموظفين'!B:C,2,0),"")</f>
        <v/>
      </c>
      <c r="D437" s="53"/>
      <c r="E437" s="55"/>
      <c r="F437" s="55"/>
      <c r="G437" s="68" t="str">
        <f t="shared" si="12"/>
        <v/>
      </c>
      <c r="H437" s="68" t="str">
        <f t="shared" si="13"/>
        <v/>
      </c>
      <c r="I437" s="53" t="str">
        <f>IFERROR(VLOOKUP(B437,'👥 بيانات الموظفين'!B:Q,16,0)-SUMIFS(H$5:H437,B$5:B437,B437,F$5:F437,"معتمدة"),"")</f>
        <v/>
      </c>
      <c r="J437" s="53"/>
      <c r="K437" s="53"/>
      <c r="L437" s="98"/>
    </row>
    <row r="438" spans="1:12" ht="22.15" customHeight="1" x14ac:dyDescent="0.2">
      <c r="A438" s="57" t="str">
        <f>IF(B438&lt;&gt;"",434,"")</f>
        <v/>
      </c>
      <c r="B438" s="57"/>
      <c r="C438" s="57" t="str">
        <f>IFERROR(VLOOKUP(B438,'👥 بيانات الموظفين'!B:C,2,0),"")</f>
        <v/>
      </c>
      <c r="D438" s="57"/>
      <c r="E438" s="59"/>
      <c r="F438" s="59"/>
      <c r="G438" s="69" t="str">
        <f t="shared" si="12"/>
        <v/>
      </c>
      <c r="H438" s="69" t="str">
        <f t="shared" si="13"/>
        <v/>
      </c>
      <c r="I438" s="57" t="str">
        <f>IFERROR(VLOOKUP(B438,'👥 بيانات الموظفين'!B:Q,16,0)-SUMIFS(H$5:H438,B$5:B438,B438,F$5:F438,"معتمدة"),"")</f>
        <v/>
      </c>
      <c r="J438" s="57"/>
      <c r="K438" s="57"/>
      <c r="L438" s="99"/>
    </row>
    <row r="439" spans="1:12" ht="22.15" customHeight="1" x14ac:dyDescent="0.2">
      <c r="A439" s="53" t="str">
        <f>IF(B439&lt;&gt;"",435,"")</f>
        <v/>
      </c>
      <c r="B439" s="53"/>
      <c r="C439" s="53" t="str">
        <f>IFERROR(VLOOKUP(B439,'👥 بيانات الموظفين'!B:C,2,0),"")</f>
        <v/>
      </c>
      <c r="D439" s="53"/>
      <c r="E439" s="55"/>
      <c r="F439" s="55"/>
      <c r="G439" s="68" t="str">
        <f t="shared" si="12"/>
        <v/>
      </c>
      <c r="H439" s="68" t="str">
        <f t="shared" si="13"/>
        <v/>
      </c>
      <c r="I439" s="53" t="str">
        <f>IFERROR(VLOOKUP(B439,'👥 بيانات الموظفين'!B:Q,16,0)-SUMIFS(H$5:H439,B$5:B439,B439,F$5:F439,"معتمدة"),"")</f>
        <v/>
      </c>
      <c r="J439" s="53"/>
      <c r="K439" s="53"/>
      <c r="L439" s="98"/>
    </row>
    <row r="440" spans="1:12" ht="22.15" customHeight="1" x14ac:dyDescent="0.2">
      <c r="A440" s="57" t="str">
        <f>IF(B440&lt;&gt;"",436,"")</f>
        <v/>
      </c>
      <c r="B440" s="57"/>
      <c r="C440" s="57" t="str">
        <f>IFERROR(VLOOKUP(B440,'👥 بيانات الموظفين'!B:C,2,0),"")</f>
        <v/>
      </c>
      <c r="D440" s="57"/>
      <c r="E440" s="59"/>
      <c r="F440" s="59"/>
      <c r="G440" s="69" t="str">
        <f t="shared" si="12"/>
        <v/>
      </c>
      <c r="H440" s="69" t="str">
        <f t="shared" si="13"/>
        <v/>
      </c>
      <c r="I440" s="57" t="str">
        <f>IFERROR(VLOOKUP(B440,'👥 بيانات الموظفين'!B:Q,16,0)-SUMIFS(H$5:H440,B$5:B440,B440,F$5:F440,"معتمدة"),"")</f>
        <v/>
      </c>
      <c r="J440" s="57"/>
      <c r="K440" s="57"/>
      <c r="L440" s="99"/>
    </row>
    <row r="441" spans="1:12" ht="22.15" customHeight="1" x14ac:dyDescent="0.2">
      <c r="A441" s="53" t="str">
        <f>IF(B441&lt;&gt;"",437,"")</f>
        <v/>
      </c>
      <c r="B441" s="53"/>
      <c r="C441" s="53" t="str">
        <f>IFERROR(VLOOKUP(B441,'👥 بيانات الموظفين'!B:C,2,0),"")</f>
        <v/>
      </c>
      <c r="D441" s="53"/>
      <c r="E441" s="55"/>
      <c r="F441" s="55"/>
      <c r="G441" s="68" t="str">
        <f t="shared" si="12"/>
        <v/>
      </c>
      <c r="H441" s="68" t="str">
        <f t="shared" si="13"/>
        <v/>
      </c>
      <c r="I441" s="53" t="str">
        <f>IFERROR(VLOOKUP(B441,'👥 بيانات الموظفين'!B:Q,16,0)-SUMIFS(H$5:H441,B$5:B441,B441,F$5:F441,"معتمدة"),"")</f>
        <v/>
      </c>
      <c r="J441" s="53"/>
      <c r="K441" s="53"/>
      <c r="L441" s="98"/>
    </row>
    <row r="442" spans="1:12" ht="22.15" customHeight="1" x14ac:dyDescent="0.2">
      <c r="A442" s="57" t="str">
        <f>IF(B442&lt;&gt;"",438,"")</f>
        <v/>
      </c>
      <c r="B442" s="57"/>
      <c r="C442" s="57" t="str">
        <f>IFERROR(VLOOKUP(B442,'👥 بيانات الموظفين'!B:C,2,0),"")</f>
        <v/>
      </c>
      <c r="D442" s="57"/>
      <c r="E442" s="59"/>
      <c r="F442" s="59"/>
      <c r="G442" s="69" t="str">
        <f t="shared" si="12"/>
        <v/>
      </c>
      <c r="H442" s="69" t="str">
        <f t="shared" si="13"/>
        <v/>
      </c>
      <c r="I442" s="57" t="str">
        <f>IFERROR(VLOOKUP(B442,'👥 بيانات الموظفين'!B:Q,16,0)-SUMIFS(H$5:H442,B$5:B442,B442,F$5:F442,"معتمدة"),"")</f>
        <v/>
      </c>
      <c r="J442" s="57"/>
      <c r="K442" s="57"/>
      <c r="L442" s="99"/>
    </row>
    <row r="443" spans="1:12" ht="22.15" customHeight="1" x14ac:dyDescent="0.2">
      <c r="A443" s="53" t="str">
        <f>IF(B443&lt;&gt;"",439,"")</f>
        <v/>
      </c>
      <c r="B443" s="53"/>
      <c r="C443" s="53" t="str">
        <f>IFERROR(VLOOKUP(B443,'👥 بيانات الموظفين'!B:C,2,0),"")</f>
        <v/>
      </c>
      <c r="D443" s="53"/>
      <c r="E443" s="55"/>
      <c r="F443" s="55"/>
      <c r="G443" s="68" t="str">
        <f t="shared" si="12"/>
        <v/>
      </c>
      <c r="H443" s="68" t="str">
        <f t="shared" si="13"/>
        <v/>
      </c>
      <c r="I443" s="53" t="str">
        <f>IFERROR(VLOOKUP(B443,'👥 بيانات الموظفين'!B:Q,16,0)-SUMIFS(H$5:H443,B$5:B443,B443,F$5:F443,"معتمدة"),"")</f>
        <v/>
      </c>
      <c r="J443" s="53"/>
      <c r="K443" s="53"/>
      <c r="L443" s="98"/>
    </row>
    <row r="444" spans="1:12" ht="22.15" customHeight="1" x14ac:dyDescent="0.2">
      <c r="A444" s="57" t="str">
        <f>IF(B444&lt;&gt;"",440,"")</f>
        <v/>
      </c>
      <c r="B444" s="57"/>
      <c r="C444" s="57" t="str">
        <f>IFERROR(VLOOKUP(B444,'👥 بيانات الموظفين'!B:C,2,0),"")</f>
        <v/>
      </c>
      <c r="D444" s="57"/>
      <c r="E444" s="59"/>
      <c r="F444" s="59"/>
      <c r="G444" s="69" t="str">
        <f t="shared" si="12"/>
        <v/>
      </c>
      <c r="H444" s="69" t="str">
        <f t="shared" si="13"/>
        <v/>
      </c>
      <c r="I444" s="57" t="str">
        <f>IFERROR(VLOOKUP(B444,'👥 بيانات الموظفين'!B:Q,16,0)-SUMIFS(H$5:H444,B$5:B444,B444,F$5:F444,"معتمدة"),"")</f>
        <v/>
      </c>
      <c r="J444" s="57"/>
      <c r="K444" s="57"/>
      <c r="L444" s="99"/>
    </row>
    <row r="445" spans="1:12" ht="22.15" customHeight="1" x14ac:dyDescent="0.2">
      <c r="A445" s="53" t="str">
        <f>IF(B445&lt;&gt;"",441,"")</f>
        <v/>
      </c>
      <c r="B445" s="53"/>
      <c r="C445" s="53" t="str">
        <f>IFERROR(VLOOKUP(B445,'👥 بيانات الموظفين'!B:C,2,0),"")</f>
        <v/>
      </c>
      <c r="D445" s="53"/>
      <c r="E445" s="55"/>
      <c r="F445" s="55"/>
      <c r="G445" s="68" t="str">
        <f t="shared" si="12"/>
        <v/>
      </c>
      <c r="H445" s="68" t="str">
        <f t="shared" si="13"/>
        <v/>
      </c>
      <c r="I445" s="53" t="str">
        <f>IFERROR(VLOOKUP(B445,'👥 بيانات الموظفين'!B:Q,16,0)-SUMIFS(H$5:H445,B$5:B445,B445,F$5:F445,"معتمدة"),"")</f>
        <v/>
      </c>
      <c r="J445" s="53"/>
      <c r="K445" s="53"/>
      <c r="L445" s="98"/>
    </row>
    <row r="446" spans="1:12" ht="22.15" customHeight="1" x14ac:dyDescent="0.2">
      <c r="A446" s="57" t="str">
        <f>IF(B446&lt;&gt;"",442,"")</f>
        <v/>
      </c>
      <c r="B446" s="57"/>
      <c r="C446" s="57" t="str">
        <f>IFERROR(VLOOKUP(B446,'👥 بيانات الموظفين'!B:C,2,0),"")</f>
        <v/>
      </c>
      <c r="D446" s="57"/>
      <c r="E446" s="59"/>
      <c r="F446" s="59"/>
      <c r="G446" s="69" t="str">
        <f t="shared" si="12"/>
        <v/>
      </c>
      <c r="H446" s="69" t="str">
        <f t="shared" si="13"/>
        <v/>
      </c>
      <c r="I446" s="57" t="str">
        <f>IFERROR(VLOOKUP(B446,'👥 بيانات الموظفين'!B:Q,16,0)-SUMIFS(H$5:H446,B$5:B446,B446,F$5:F446,"معتمدة"),"")</f>
        <v/>
      </c>
      <c r="J446" s="57"/>
      <c r="K446" s="57"/>
      <c r="L446" s="99"/>
    </row>
    <row r="447" spans="1:12" ht="22.15" customHeight="1" x14ac:dyDescent="0.2">
      <c r="A447" s="53" t="str">
        <f>IF(B447&lt;&gt;"",443,"")</f>
        <v/>
      </c>
      <c r="B447" s="53"/>
      <c r="C447" s="53" t="str">
        <f>IFERROR(VLOOKUP(B447,'👥 بيانات الموظفين'!B:C,2,0),"")</f>
        <v/>
      </c>
      <c r="D447" s="53"/>
      <c r="E447" s="55"/>
      <c r="F447" s="55"/>
      <c r="G447" s="68" t="str">
        <f t="shared" si="12"/>
        <v/>
      </c>
      <c r="H447" s="68" t="str">
        <f t="shared" si="13"/>
        <v/>
      </c>
      <c r="I447" s="53" t="str">
        <f>IFERROR(VLOOKUP(B447,'👥 بيانات الموظفين'!B:Q,16,0)-SUMIFS(H$5:H447,B$5:B447,B447,F$5:F447,"معتمدة"),"")</f>
        <v/>
      </c>
      <c r="J447" s="53"/>
      <c r="K447" s="53"/>
      <c r="L447" s="98"/>
    </row>
    <row r="448" spans="1:12" ht="22.15" customHeight="1" x14ac:dyDescent="0.2">
      <c r="A448" s="57" t="str">
        <f>IF(B448&lt;&gt;"",444,"")</f>
        <v/>
      </c>
      <c r="B448" s="57"/>
      <c r="C448" s="57" t="str">
        <f>IFERROR(VLOOKUP(B448,'👥 بيانات الموظفين'!B:C,2,0),"")</f>
        <v/>
      </c>
      <c r="D448" s="57"/>
      <c r="E448" s="59"/>
      <c r="F448" s="59"/>
      <c r="G448" s="69" t="str">
        <f t="shared" si="12"/>
        <v/>
      </c>
      <c r="H448" s="69" t="str">
        <f t="shared" si="13"/>
        <v/>
      </c>
      <c r="I448" s="57" t="str">
        <f>IFERROR(VLOOKUP(B448,'👥 بيانات الموظفين'!B:Q,16,0)-SUMIFS(H$5:H448,B$5:B448,B448,F$5:F448,"معتمدة"),"")</f>
        <v/>
      </c>
      <c r="J448" s="57"/>
      <c r="K448" s="57"/>
      <c r="L448" s="99"/>
    </row>
    <row r="449" spans="1:12" ht="22.15" customHeight="1" x14ac:dyDescent="0.2">
      <c r="A449" s="53" t="str">
        <f>IF(B449&lt;&gt;"",445,"")</f>
        <v/>
      </c>
      <c r="B449" s="53"/>
      <c r="C449" s="53" t="str">
        <f>IFERROR(VLOOKUP(B449,'👥 بيانات الموظفين'!B:C,2,0),"")</f>
        <v/>
      </c>
      <c r="D449" s="53"/>
      <c r="E449" s="55"/>
      <c r="F449" s="55"/>
      <c r="G449" s="68" t="str">
        <f t="shared" si="12"/>
        <v/>
      </c>
      <c r="H449" s="68" t="str">
        <f t="shared" si="13"/>
        <v/>
      </c>
      <c r="I449" s="53" t="str">
        <f>IFERROR(VLOOKUP(B449,'👥 بيانات الموظفين'!B:Q,16,0)-SUMIFS(H$5:H449,B$5:B449,B449,F$5:F449,"معتمدة"),"")</f>
        <v/>
      </c>
      <c r="J449" s="53"/>
      <c r="K449" s="53"/>
      <c r="L449" s="98"/>
    </row>
    <row r="450" spans="1:12" ht="22.15" customHeight="1" x14ac:dyDescent="0.2">
      <c r="A450" s="57" t="str">
        <f>IF(B450&lt;&gt;"",446,"")</f>
        <v/>
      </c>
      <c r="B450" s="57"/>
      <c r="C450" s="57" t="str">
        <f>IFERROR(VLOOKUP(B450,'👥 بيانات الموظفين'!B:C,2,0),"")</f>
        <v/>
      </c>
      <c r="D450" s="57"/>
      <c r="E450" s="59"/>
      <c r="F450" s="59"/>
      <c r="G450" s="69" t="str">
        <f t="shared" si="12"/>
        <v/>
      </c>
      <c r="H450" s="69" t="str">
        <f t="shared" si="13"/>
        <v/>
      </c>
      <c r="I450" s="57" t="str">
        <f>IFERROR(VLOOKUP(B450,'👥 بيانات الموظفين'!B:Q,16,0)-SUMIFS(H$5:H450,B$5:B450,B450,F$5:F450,"معتمدة"),"")</f>
        <v/>
      </c>
      <c r="J450" s="57"/>
      <c r="K450" s="57"/>
      <c r="L450" s="99"/>
    </row>
    <row r="451" spans="1:12" ht="22.15" customHeight="1" x14ac:dyDescent="0.2">
      <c r="A451" s="53" t="str">
        <f>IF(B451&lt;&gt;"",447,"")</f>
        <v/>
      </c>
      <c r="B451" s="53"/>
      <c r="C451" s="53" t="str">
        <f>IFERROR(VLOOKUP(B451,'👥 بيانات الموظفين'!B:C,2,0),"")</f>
        <v/>
      </c>
      <c r="D451" s="53"/>
      <c r="E451" s="55"/>
      <c r="F451" s="55"/>
      <c r="G451" s="68" t="str">
        <f t="shared" si="12"/>
        <v/>
      </c>
      <c r="H451" s="68" t="str">
        <f t="shared" si="13"/>
        <v/>
      </c>
      <c r="I451" s="53" t="str">
        <f>IFERROR(VLOOKUP(B451,'👥 بيانات الموظفين'!B:Q,16,0)-SUMIFS(H$5:H451,B$5:B451,B451,F$5:F451,"معتمدة"),"")</f>
        <v/>
      </c>
      <c r="J451" s="53"/>
      <c r="K451" s="53"/>
      <c r="L451" s="98"/>
    </row>
    <row r="452" spans="1:12" ht="22.15" customHeight="1" x14ac:dyDescent="0.2">
      <c r="A452" s="57" t="str">
        <f>IF(B452&lt;&gt;"",448,"")</f>
        <v/>
      </c>
      <c r="B452" s="57"/>
      <c r="C452" s="57" t="str">
        <f>IFERROR(VLOOKUP(B452,'👥 بيانات الموظفين'!B:C,2,0),"")</f>
        <v/>
      </c>
      <c r="D452" s="57"/>
      <c r="E452" s="59"/>
      <c r="F452" s="59"/>
      <c r="G452" s="69" t="str">
        <f t="shared" si="12"/>
        <v/>
      </c>
      <c r="H452" s="69" t="str">
        <f t="shared" si="13"/>
        <v/>
      </c>
      <c r="I452" s="57" t="str">
        <f>IFERROR(VLOOKUP(B452,'👥 بيانات الموظفين'!B:Q,16,0)-SUMIFS(H$5:H452,B$5:B452,B452,F$5:F452,"معتمدة"),"")</f>
        <v/>
      </c>
      <c r="J452" s="57"/>
      <c r="K452" s="57"/>
      <c r="L452" s="99"/>
    </row>
    <row r="453" spans="1:12" ht="22.15" customHeight="1" x14ac:dyDescent="0.2">
      <c r="A453" s="53" t="str">
        <f>IF(B453&lt;&gt;"",449,"")</f>
        <v/>
      </c>
      <c r="B453" s="53"/>
      <c r="C453" s="53" t="str">
        <f>IFERROR(VLOOKUP(B453,'👥 بيانات الموظفين'!B:C,2,0),"")</f>
        <v/>
      </c>
      <c r="D453" s="53"/>
      <c r="E453" s="55"/>
      <c r="F453" s="55"/>
      <c r="G453" s="68" t="str">
        <f t="shared" ref="G453:G504" si="14">IFERROR(IF(AND(E453&lt;&gt;"",F453&lt;&gt;""),F453-E453+1,""),"")</f>
        <v/>
      </c>
      <c r="H453" s="68" t="str">
        <f t="shared" ref="H453:H504" si="15">IF(AND(E453&lt;&gt;"",G453&lt;&gt;""),NETWORKDAYS(E453,G453),"")</f>
        <v/>
      </c>
      <c r="I453" s="53" t="str">
        <f>IFERROR(VLOOKUP(B453,'👥 بيانات الموظفين'!B:Q,16,0)-SUMIFS(H$5:H453,B$5:B453,B453,F$5:F453,"معتمدة"),"")</f>
        <v/>
      </c>
      <c r="J453" s="53"/>
      <c r="K453" s="53"/>
      <c r="L453" s="98"/>
    </row>
    <row r="454" spans="1:12" ht="22.15" customHeight="1" x14ac:dyDescent="0.2">
      <c r="A454" s="57" t="str">
        <f>IF(B454&lt;&gt;"",450,"")</f>
        <v/>
      </c>
      <c r="B454" s="57"/>
      <c r="C454" s="57" t="str">
        <f>IFERROR(VLOOKUP(B454,'👥 بيانات الموظفين'!B:C,2,0),"")</f>
        <v/>
      </c>
      <c r="D454" s="57"/>
      <c r="E454" s="59"/>
      <c r="F454" s="59"/>
      <c r="G454" s="69" t="str">
        <f t="shared" si="14"/>
        <v/>
      </c>
      <c r="H454" s="69" t="str">
        <f t="shared" si="15"/>
        <v/>
      </c>
      <c r="I454" s="57" t="str">
        <f>IFERROR(VLOOKUP(B454,'👥 بيانات الموظفين'!B:Q,16,0)-SUMIFS(H$5:H454,B$5:B454,B454,F$5:F454,"معتمدة"),"")</f>
        <v/>
      </c>
      <c r="J454" s="57"/>
      <c r="K454" s="57"/>
      <c r="L454" s="99"/>
    </row>
    <row r="455" spans="1:12" ht="22.15" customHeight="1" x14ac:dyDescent="0.2">
      <c r="A455" s="53" t="str">
        <f>IF(B455&lt;&gt;"",451,"")</f>
        <v/>
      </c>
      <c r="B455" s="53"/>
      <c r="C455" s="53" t="str">
        <f>IFERROR(VLOOKUP(B455,'👥 بيانات الموظفين'!B:C,2,0),"")</f>
        <v/>
      </c>
      <c r="D455" s="53"/>
      <c r="E455" s="55"/>
      <c r="F455" s="55"/>
      <c r="G455" s="68" t="str">
        <f t="shared" si="14"/>
        <v/>
      </c>
      <c r="H455" s="68" t="str">
        <f t="shared" si="15"/>
        <v/>
      </c>
      <c r="I455" s="53" t="str">
        <f>IFERROR(VLOOKUP(B455,'👥 بيانات الموظفين'!B:Q,16,0)-SUMIFS(H$5:H455,B$5:B455,B455,F$5:F455,"معتمدة"),"")</f>
        <v/>
      </c>
      <c r="J455" s="53"/>
      <c r="K455" s="53"/>
      <c r="L455" s="98"/>
    </row>
    <row r="456" spans="1:12" ht="22.15" customHeight="1" x14ac:dyDescent="0.2">
      <c r="A456" s="57" t="str">
        <f>IF(B456&lt;&gt;"",452,"")</f>
        <v/>
      </c>
      <c r="B456" s="57"/>
      <c r="C456" s="57" t="str">
        <f>IFERROR(VLOOKUP(B456,'👥 بيانات الموظفين'!B:C,2,0),"")</f>
        <v/>
      </c>
      <c r="D456" s="57"/>
      <c r="E456" s="59"/>
      <c r="F456" s="59"/>
      <c r="G456" s="69" t="str">
        <f t="shared" si="14"/>
        <v/>
      </c>
      <c r="H456" s="69" t="str">
        <f t="shared" si="15"/>
        <v/>
      </c>
      <c r="I456" s="57" t="str">
        <f>IFERROR(VLOOKUP(B456,'👥 بيانات الموظفين'!B:Q,16,0)-SUMIFS(H$5:H456,B$5:B456,B456,F$5:F456,"معتمدة"),"")</f>
        <v/>
      </c>
      <c r="J456" s="57"/>
      <c r="K456" s="57"/>
      <c r="L456" s="99"/>
    </row>
    <row r="457" spans="1:12" ht="22.15" customHeight="1" x14ac:dyDescent="0.2">
      <c r="A457" s="53" t="str">
        <f>IF(B457&lt;&gt;"",453,"")</f>
        <v/>
      </c>
      <c r="B457" s="53"/>
      <c r="C457" s="53" t="str">
        <f>IFERROR(VLOOKUP(B457,'👥 بيانات الموظفين'!B:C,2,0),"")</f>
        <v/>
      </c>
      <c r="D457" s="53"/>
      <c r="E457" s="55"/>
      <c r="F457" s="55"/>
      <c r="G457" s="68" t="str">
        <f t="shared" si="14"/>
        <v/>
      </c>
      <c r="H457" s="68" t="str">
        <f t="shared" si="15"/>
        <v/>
      </c>
      <c r="I457" s="53" t="str">
        <f>IFERROR(VLOOKUP(B457,'👥 بيانات الموظفين'!B:Q,16,0)-SUMIFS(H$5:H457,B$5:B457,B457,F$5:F457,"معتمدة"),"")</f>
        <v/>
      </c>
      <c r="J457" s="53"/>
      <c r="K457" s="53"/>
      <c r="L457" s="98"/>
    </row>
    <row r="458" spans="1:12" ht="22.15" customHeight="1" x14ac:dyDescent="0.2">
      <c r="A458" s="57" t="str">
        <f>IF(B458&lt;&gt;"",454,"")</f>
        <v/>
      </c>
      <c r="B458" s="57"/>
      <c r="C458" s="57" t="str">
        <f>IFERROR(VLOOKUP(B458,'👥 بيانات الموظفين'!B:C,2,0),"")</f>
        <v/>
      </c>
      <c r="D458" s="57"/>
      <c r="E458" s="59"/>
      <c r="F458" s="59"/>
      <c r="G458" s="69" t="str">
        <f t="shared" si="14"/>
        <v/>
      </c>
      <c r="H458" s="69" t="str">
        <f t="shared" si="15"/>
        <v/>
      </c>
      <c r="I458" s="57" t="str">
        <f>IFERROR(VLOOKUP(B458,'👥 بيانات الموظفين'!B:Q,16,0)-SUMIFS(H$5:H458,B$5:B458,B458,F$5:F458,"معتمدة"),"")</f>
        <v/>
      </c>
      <c r="J458" s="57"/>
      <c r="K458" s="57"/>
      <c r="L458" s="99"/>
    </row>
    <row r="459" spans="1:12" ht="22.15" customHeight="1" x14ac:dyDescent="0.2">
      <c r="A459" s="53" t="str">
        <f>IF(B459&lt;&gt;"",455,"")</f>
        <v/>
      </c>
      <c r="B459" s="53"/>
      <c r="C459" s="53" t="str">
        <f>IFERROR(VLOOKUP(B459,'👥 بيانات الموظفين'!B:C,2,0),"")</f>
        <v/>
      </c>
      <c r="D459" s="53"/>
      <c r="E459" s="55"/>
      <c r="F459" s="55"/>
      <c r="G459" s="68" t="str">
        <f t="shared" si="14"/>
        <v/>
      </c>
      <c r="H459" s="68" t="str">
        <f t="shared" si="15"/>
        <v/>
      </c>
      <c r="I459" s="53" t="str">
        <f>IFERROR(VLOOKUP(B459,'👥 بيانات الموظفين'!B:Q,16,0)-SUMIFS(H$5:H459,B$5:B459,B459,F$5:F459,"معتمدة"),"")</f>
        <v/>
      </c>
      <c r="J459" s="53"/>
      <c r="K459" s="53"/>
      <c r="L459" s="98"/>
    </row>
    <row r="460" spans="1:12" ht="22.15" customHeight="1" x14ac:dyDescent="0.2">
      <c r="A460" s="57" t="str">
        <f>IF(B460&lt;&gt;"",456,"")</f>
        <v/>
      </c>
      <c r="B460" s="57"/>
      <c r="C460" s="57" t="str">
        <f>IFERROR(VLOOKUP(B460,'👥 بيانات الموظفين'!B:C,2,0),"")</f>
        <v/>
      </c>
      <c r="D460" s="57"/>
      <c r="E460" s="59"/>
      <c r="F460" s="59"/>
      <c r="G460" s="69" t="str">
        <f t="shared" si="14"/>
        <v/>
      </c>
      <c r="H460" s="69" t="str">
        <f t="shared" si="15"/>
        <v/>
      </c>
      <c r="I460" s="57" t="str">
        <f>IFERROR(VLOOKUP(B460,'👥 بيانات الموظفين'!B:Q,16,0)-SUMIFS(H$5:H460,B$5:B460,B460,F$5:F460,"معتمدة"),"")</f>
        <v/>
      </c>
      <c r="J460" s="57"/>
      <c r="K460" s="57"/>
      <c r="L460" s="99"/>
    </row>
    <row r="461" spans="1:12" ht="22.15" customHeight="1" x14ac:dyDescent="0.2">
      <c r="A461" s="53" t="str">
        <f>IF(B461&lt;&gt;"",457,"")</f>
        <v/>
      </c>
      <c r="B461" s="53"/>
      <c r="C461" s="53" t="str">
        <f>IFERROR(VLOOKUP(B461,'👥 بيانات الموظفين'!B:C,2,0),"")</f>
        <v/>
      </c>
      <c r="D461" s="53"/>
      <c r="E461" s="55"/>
      <c r="F461" s="55"/>
      <c r="G461" s="68" t="str">
        <f t="shared" si="14"/>
        <v/>
      </c>
      <c r="H461" s="68" t="str">
        <f t="shared" si="15"/>
        <v/>
      </c>
      <c r="I461" s="53" t="str">
        <f>IFERROR(VLOOKUP(B461,'👥 بيانات الموظفين'!B:Q,16,0)-SUMIFS(H$5:H461,B$5:B461,B461,F$5:F461,"معتمدة"),"")</f>
        <v/>
      </c>
      <c r="J461" s="53"/>
      <c r="K461" s="53"/>
      <c r="L461" s="98"/>
    </row>
    <row r="462" spans="1:12" ht="22.15" customHeight="1" x14ac:dyDescent="0.2">
      <c r="A462" s="57" t="str">
        <f>IF(B462&lt;&gt;"",458,"")</f>
        <v/>
      </c>
      <c r="B462" s="57"/>
      <c r="C462" s="57" t="str">
        <f>IFERROR(VLOOKUP(B462,'👥 بيانات الموظفين'!B:C,2,0),"")</f>
        <v/>
      </c>
      <c r="D462" s="57"/>
      <c r="E462" s="59"/>
      <c r="F462" s="59"/>
      <c r="G462" s="69" t="str">
        <f t="shared" si="14"/>
        <v/>
      </c>
      <c r="H462" s="69" t="str">
        <f t="shared" si="15"/>
        <v/>
      </c>
      <c r="I462" s="57" t="str">
        <f>IFERROR(VLOOKUP(B462,'👥 بيانات الموظفين'!B:Q,16,0)-SUMIFS(H$5:H462,B$5:B462,B462,F$5:F462,"معتمدة"),"")</f>
        <v/>
      </c>
      <c r="J462" s="57"/>
      <c r="K462" s="57"/>
      <c r="L462" s="99"/>
    </row>
    <row r="463" spans="1:12" ht="22.15" customHeight="1" x14ac:dyDescent="0.2">
      <c r="A463" s="53" t="str">
        <f>IF(B463&lt;&gt;"",459,"")</f>
        <v/>
      </c>
      <c r="B463" s="53"/>
      <c r="C463" s="53" t="str">
        <f>IFERROR(VLOOKUP(B463,'👥 بيانات الموظفين'!B:C,2,0),"")</f>
        <v/>
      </c>
      <c r="D463" s="53"/>
      <c r="E463" s="55"/>
      <c r="F463" s="55"/>
      <c r="G463" s="68" t="str">
        <f t="shared" si="14"/>
        <v/>
      </c>
      <c r="H463" s="68" t="str">
        <f t="shared" si="15"/>
        <v/>
      </c>
      <c r="I463" s="53" t="str">
        <f>IFERROR(VLOOKUP(B463,'👥 بيانات الموظفين'!B:Q,16,0)-SUMIFS(H$5:H463,B$5:B463,B463,F$5:F463,"معتمدة"),"")</f>
        <v/>
      </c>
      <c r="J463" s="53"/>
      <c r="K463" s="53"/>
      <c r="L463" s="98"/>
    </row>
    <row r="464" spans="1:12" ht="22.15" customHeight="1" x14ac:dyDescent="0.2">
      <c r="A464" s="57" t="str">
        <f>IF(B464&lt;&gt;"",460,"")</f>
        <v/>
      </c>
      <c r="B464" s="57"/>
      <c r="C464" s="57" t="str">
        <f>IFERROR(VLOOKUP(B464,'👥 بيانات الموظفين'!B:C,2,0),"")</f>
        <v/>
      </c>
      <c r="D464" s="57"/>
      <c r="E464" s="59"/>
      <c r="F464" s="59"/>
      <c r="G464" s="69" t="str">
        <f t="shared" si="14"/>
        <v/>
      </c>
      <c r="H464" s="69" t="str">
        <f t="shared" si="15"/>
        <v/>
      </c>
      <c r="I464" s="57" t="str">
        <f>IFERROR(VLOOKUP(B464,'👥 بيانات الموظفين'!B:Q,16,0)-SUMIFS(H$5:H464,B$5:B464,B464,F$5:F464,"معتمدة"),"")</f>
        <v/>
      </c>
      <c r="J464" s="57"/>
      <c r="K464" s="57"/>
      <c r="L464" s="99"/>
    </row>
    <row r="465" spans="1:12" ht="22.15" customHeight="1" x14ac:dyDescent="0.2">
      <c r="A465" s="53" t="str">
        <f>IF(B465&lt;&gt;"",461,"")</f>
        <v/>
      </c>
      <c r="B465" s="53"/>
      <c r="C465" s="53" t="str">
        <f>IFERROR(VLOOKUP(B465,'👥 بيانات الموظفين'!B:C,2,0),"")</f>
        <v/>
      </c>
      <c r="D465" s="53"/>
      <c r="E465" s="55"/>
      <c r="F465" s="55"/>
      <c r="G465" s="68" t="str">
        <f t="shared" si="14"/>
        <v/>
      </c>
      <c r="H465" s="68" t="str">
        <f t="shared" si="15"/>
        <v/>
      </c>
      <c r="I465" s="53" t="str">
        <f>IFERROR(VLOOKUP(B465,'👥 بيانات الموظفين'!B:Q,16,0)-SUMIFS(H$5:H465,B$5:B465,B465,F$5:F465,"معتمدة"),"")</f>
        <v/>
      </c>
      <c r="J465" s="53"/>
      <c r="K465" s="53"/>
      <c r="L465" s="98"/>
    </row>
    <row r="466" spans="1:12" ht="22.15" customHeight="1" x14ac:dyDescent="0.2">
      <c r="A466" s="57" t="str">
        <f>IF(B466&lt;&gt;"",462,"")</f>
        <v/>
      </c>
      <c r="B466" s="57"/>
      <c r="C466" s="57" t="str">
        <f>IFERROR(VLOOKUP(B466,'👥 بيانات الموظفين'!B:C,2,0),"")</f>
        <v/>
      </c>
      <c r="D466" s="57"/>
      <c r="E466" s="59"/>
      <c r="F466" s="59"/>
      <c r="G466" s="69" t="str">
        <f t="shared" si="14"/>
        <v/>
      </c>
      <c r="H466" s="69" t="str">
        <f t="shared" si="15"/>
        <v/>
      </c>
      <c r="I466" s="57" t="str">
        <f>IFERROR(VLOOKUP(B466,'👥 بيانات الموظفين'!B:Q,16,0)-SUMIFS(H$5:H466,B$5:B466,B466,F$5:F466,"معتمدة"),"")</f>
        <v/>
      </c>
      <c r="J466" s="57"/>
      <c r="K466" s="57"/>
      <c r="L466" s="99"/>
    </row>
    <row r="467" spans="1:12" ht="22.15" customHeight="1" x14ac:dyDescent="0.2">
      <c r="A467" s="53" t="str">
        <f>IF(B467&lt;&gt;"",463,"")</f>
        <v/>
      </c>
      <c r="B467" s="53"/>
      <c r="C467" s="53" t="str">
        <f>IFERROR(VLOOKUP(B467,'👥 بيانات الموظفين'!B:C,2,0),"")</f>
        <v/>
      </c>
      <c r="D467" s="53"/>
      <c r="E467" s="55"/>
      <c r="F467" s="55"/>
      <c r="G467" s="68" t="str">
        <f t="shared" si="14"/>
        <v/>
      </c>
      <c r="H467" s="68" t="str">
        <f t="shared" si="15"/>
        <v/>
      </c>
      <c r="I467" s="53" t="str">
        <f>IFERROR(VLOOKUP(B467,'👥 بيانات الموظفين'!B:Q,16,0)-SUMIFS(H$5:H467,B$5:B467,B467,F$5:F467,"معتمدة"),"")</f>
        <v/>
      </c>
      <c r="J467" s="53"/>
      <c r="K467" s="53"/>
      <c r="L467" s="98"/>
    </row>
    <row r="468" spans="1:12" ht="22.15" customHeight="1" x14ac:dyDescent="0.2">
      <c r="A468" s="57" t="str">
        <f>IF(B468&lt;&gt;"",464,"")</f>
        <v/>
      </c>
      <c r="B468" s="57"/>
      <c r="C468" s="57" t="str">
        <f>IFERROR(VLOOKUP(B468,'👥 بيانات الموظفين'!B:C,2,0),"")</f>
        <v/>
      </c>
      <c r="D468" s="57"/>
      <c r="E468" s="59"/>
      <c r="F468" s="59"/>
      <c r="G468" s="69" t="str">
        <f t="shared" si="14"/>
        <v/>
      </c>
      <c r="H468" s="69" t="str">
        <f t="shared" si="15"/>
        <v/>
      </c>
      <c r="I468" s="57" t="str">
        <f>IFERROR(VLOOKUP(B468,'👥 بيانات الموظفين'!B:Q,16,0)-SUMIFS(H$5:H468,B$5:B468,B468,F$5:F468,"معتمدة"),"")</f>
        <v/>
      </c>
      <c r="J468" s="57"/>
      <c r="K468" s="57"/>
      <c r="L468" s="99"/>
    </row>
    <row r="469" spans="1:12" ht="22.15" customHeight="1" x14ac:dyDescent="0.2">
      <c r="A469" s="53" t="str">
        <f>IF(B469&lt;&gt;"",465,"")</f>
        <v/>
      </c>
      <c r="B469" s="53"/>
      <c r="C469" s="53" t="str">
        <f>IFERROR(VLOOKUP(B469,'👥 بيانات الموظفين'!B:C,2,0),"")</f>
        <v/>
      </c>
      <c r="D469" s="53"/>
      <c r="E469" s="55"/>
      <c r="F469" s="55"/>
      <c r="G469" s="68" t="str">
        <f t="shared" si="14"/>
        <v/>
      </c>
      <c r="H469" s="68" t="str">
        <f t="shared" si="15"/>
        <v/>
      </c>
      <c r="I469" s="53" t="str">
        <f>IFERROR(VLOOKUP(B469,'👥 بيانات الموظفين'!B:Q,16,0)-SUMIFS(H$5:H469,B$5:B469,B469,F$5:F469,"معتمدة"),"")</f>
        <v/>
      </c>
      <c r="J469" s="53"/>
      <c r="K469" s="53"/>
      <c r="L469" s="98"/>
    </row>
    <row r="470" spans="1:12" ht="22.15" customHeight="1" x14ac:dyDescent="0.2">
      <c r="A470" s="57" t="str">
        <f>IF(B470&lt;&gt;"",466,"")</f>
        <v/>
      </c>
      <c r="B470" s="57"/>
      <c r="C470" s="57" t="str">
        <f>IFERROR(VLOOKUP(B470,'👥 بيانات الموظفين'!B:C,2,0),"")</f>
        <v/>
      </c>
      <c r="D470" s="57"/>
      <c r="E470" s="59"/>
      <c r="F470" s="59"/>
      <c r="G470" s="69" t="str">
        <f t="shared" si="14"/>
        <v/>
      </c>
      <c r="H470" s="69" t="str">
        <f t="shared" si="15"/>
        <v/>
      </c>
      <c r="I470" s="57" t="str">
        <f>IFERROR(VLOOKUP(B470,'👥 بيانات الموظفين'!B:Q,16,0)-SUMIFS(H$5:H470,B$5:B470,B470,F$5:F470,"معتمدة"),"")</f>
        <v/>
      </c>
      <c r="J470" s="57"/>
      <c r="K470" s="57"/>
      <c r="L470" s="99"/>
    </row>
    <row r="471" spans="1:12" ht="22.15" customHeight="1" x14ac:dyDescent="0.2">
      <c r="A471" s="53" t="str">
        <f>IF(B471&lt;&gt;"",467,"")</f>
        <v/>
      </c>
      <c r="B471" s="53"/>
      <c r="C471" s="53" t="str">
        <f>IFERROR(VLOOKUP(B471,'👥 بيانات الموظفين'!B:C,2,0),"")</f>
        <v/>
      </c>
      <c r="D471" s="53"/>
      <c r="E471" s="55"/>
      <c r="F471" s="55"/>
      <c r="G471" s="68" t="str">
        <f t="shared" si="14"/>
        <v/>
      </c>
      <c r="H471" s="68" t="str">
        <f t="shared" si="15"/>
        <v/>
      </c>
      <c r="I471" s="53" t="str">
        <f>IFERROR(VLOOKUP(B471,'👥 بيانات الموظفين'!B:Q,16,0)-SUMIFS(H$5:H471,B$5:B471,B471,F$5:F471,"معتمدة"),"")</f>
        <v/>
      </c>
      <c r="J471" s="53"/>
      <c r="K471" s="53"/>
      <c r="L471" s="98"/>
    </row>
    <row r="472" spans="1:12" ht="22.15" customHeight="1" x14ac:dyDescent="0.2">
      <c r="A472" s="57" t="str">
        <f>IF(B472&lt;&gt;"",468,"")</f>
        <v/>
      </c>
      <c r="B472" s="57"/>
      <c r="C472" s="57" t="str">
        <f>IFERROR(VLOOKUP(B472,'👥 بيانات الموظفين'!B:C,2,0),"")</f>
        <v/>
      </c>
      <c r="D472" s="57"/>
      <c r="E472" s="59"/>
      <c r="F472" s="59"/>
      <c r="G472" s="69" t="str">
        <f t="shared" si="14"/>
        <v/>
      </c>
      <c r="H472" s="69" t="str">
        <f t="shared" si="15"/>
        <v/>
      </c>
      <c r="I472" s="57" t="str">
        <f>IFERROR(VLOOKUP(B472,'👥 بيانات الموظفين'!B:Q,16,0)-SUMIFS(H$5:H472,B$5:B472,B472,F$5:F472,"معتمدة"),"")</f>
        <v/>
      </c>
      <c r="J472" s="57"/>
      <c r="K472" s="57"/>
      <c r="L472" s="99"/>
    </row>
    <row r="473" spans="1:12" ht="22.15" customHeight="1" x14ac:dyDescent="0.2">
      <c r="A473" s="53" t="str">
        <f>IF(B473&lt;&gt;"",469,"")</f>
        <v/>
      </c>
      <c r="B473" s="53"/>
      <c r="C473" s="53" t="str">
        <f>IFERROR(VLOOKUP(B473,'👥 بيانات الموظفين'!B:C,2,0),"")</f>
        <v/>
      </c>
      <c r="D473" s="53"/>
      <c r="E473" s="55"/>
      <c r="F473" s="55"/>
      <c r="G473" s="68" t="str">
        <f t="shared" si="14"/>
        <v/>
      </c>
      <c r="H473" s="68" t="str">
        <f t="shared" si="15"/>
        <v/>
      </c>
      <c r="I473" s="53" t="str">
        <f>IFERROR(VLOOKUP(B473,'👥 بيانات الموظفين'!B:Q,16,0)-SUMIFS(H$5:H473,B$5:B473,B473,F$5:F473,"معتمدة"),"")</f>
        <v/>
      </c>
      <c r="J473" s="53"/>
      <c r="K473" s="53"/>
      <c r="L473" s="98"/>
    </row>
    <row r="474" spans="1:12" ht="22.15" customHeight="1" x14ac:dyDescent="0.2">
      <c r="A474" s="57" t="str">
        <f>IF(B474&lt;&gt;"",470,"")</f>
        <v/>
      </c>
      <c r="B474" s="57"/>
      <c r="C474" s="57" t="str">
        <f>IFERROR(VLOOKUP(B474,'👥 بيانات الموظفين'!B:C,2,0),"")</f>
        <v/>
      </c>
      <c r="D474" s="57"/>
      <c r="E474" s="59"/>
      <c r="F474" s="59"/>
      <c r="G474" s="69" t="str">
        <f t="shared" si="14"/>
        <v/>
      </c>
      <c r="H474" s="69" t="str">
        <f t="shared" si="15"/>
        <v/>
      </c>
      <c r="I474" s="57" t="str">
        <f>IFERROR(VLOOKUP(B474,'👥 بيانات الموظفين'!B:Q,16,0)-SUMIFS(H$5:H474,B$5:B474,B474,F$5:F474,"معتمدة"),"")</f>
        <v/>
      </c>
      <c r="J474" s="57"/>
      <c r="K474" s="57"/>
      <c r="L474" s="99"/>
    </row>
    <row r="475" spans="1:12" ht="22.15" customHeight="1" x14ac:dyDescent="0.2">
      <c r="A475" s="53" t="str">
        <f>IF(B475&lt;&gt;"",471,"")</f>
        <v/>
      </c>
      <c r="B475" s="53"/>
      <c r="C475" s="53" t="str">
        <f>IFERROR(VLOOKUP(B475,'👥 بيانات الموظفين'!B:C,2,0),"")</f>
        <v/>
      </c>
      <c r="D475" s="53"/>
      <c r="E475" s="55"/>
      <c r="F475" s="55"/>
      <c r="G475" s="68" t="str">
        <f t="shared" si="14"/>
        <v/>
      </c>
      <c r="H475" s="68" t="str">
        <f t="shared" si="15"/>
        <v/>
      </c>
      <c r="I475" s="53" t="str">
        <f>IFERROR(VLOOKUP(B475,'👥 بيانات الموظفين'!B:Q,16,0)-SUMIFS(H$5:H475,B$5:B475,B475,F$5:F475,"معتمدة"),"")</f>
        <v/>
      </c>
      <c r="J475" s="53"/>
      <c r="K475" s="53"/>
      <c r="L475" s="98"/>
    </row>
    <row r="476" spans="1:12" ht="22.15" customHeight="1" x14ac:dyDescent="0.2">
      <c r="A476" s="57" t="str">
        <f>IF(B476&lt;&gt;"",472,"")</f>
        <v/>
      </c>
      <c r="B476" s="57"/>
      <c r="C476" s="57" t="str">
        <f>IFERROR(VLOOKUP(B476,'👥 بيانات الموظفين'!B:C,2,0),"")</f>
        <v/>
      </c>
      <c r="D476" s="57"/>
      <c r="E476" s="59"/>
      <c r="F476" s="59"/>
      <c r="G476" s="69" t="str">
        <f t="shared" si="14"/>
        <v/>
      </c>
      <c r="H476" s="69" t="str">
        <f t="shared" si="15"/>
        <v/>
      </c>
      <c r="I476" s="57" t="str">
        <f>IFERROR(VLOOKUP(B476,'👥 بيانات الموظفين'!B:Q,16,0)-SUMIFS(H$5:H476,B$5:B476,B476,F$5:F476,"معتمدة"),"")</f>
        <v/>
      </c>
      <c r="J476" s="57"/>
      <c r="K476" s="57"/>
      <c r="L476" s="99"/>
    </row>
    <row r="477" spans="1:12" ht="22.15" customHeight="1" x14ac:dyDescent="0.2">
      <c r="A477" s="53" t="str">
        <f>IF(B477&lt;&gt;"",473,"")</f>
        <v/>
      </c>
      <c r="B477" s="53"/>
      <c r="C477" s="53" t="str">
        <f>IFERROR(VLOOKUP(B477,'👥 بيانات الموظفين'!B:C,2,0),"")</f>
        <v/>
      </c>
      <c r="D477" s="53"/>
      <c r="E477" s="55"/>
      <c r="F477" s="55"/>
      <c r="G477" s="68" t="str">
        <f t="shared" si="14"/>
        <v/>
      </c>
      <c r="H477" s="68" t="str">
        <f t="shared" si="15"/>
        <v/>
      </c>
      <c r="I477" s="53" t="str">
        <f>IFERROR(VLOOKUP(B477,'👥 بيانات الموظفين'!B:Q,16,0)-SUMIFS(H$5:H477,B$5:B477,B477,F$5:F477,"معتمدة"),"")</f>
        <v/>
      </c>
      <c r="J477" s="53"/>
      <c r="K477" s="53"/>
      <c r="L477" s="98"/>
    </row>
    <row r="478" spans="1:12" ht="22.15" customHeight="1" x14ac:dyDescent="0.2">
      <c r="A478" s="57" t="str">
        <f>IF(B478&lt;&gt;"",474,"")</f>
        <v/>
      </c>
      <c r="B478" s="57"/>
      <c r="C478" s="57" t="str">
        <f>IFERROR(VLOOKUP(B478,'👥 بيانات الموظفين'!B:C,2,0),"")</f>
        <v/>
      </c>
      <c r="D478" s="57"/>
      <c r="E478" s="59"/>
      <c r="F478" s="59"/>
      <c r="G478" s="69" t="str">
        <f t="shared" si="14"/>
        <v/>
      </c>
      <c r="H478" s="69" t="str">
        <f t="shared" si="15"/>
        <v/>
      </c>
      <c r="I478" s="57" t="str">
        <f>IFERROR(VLOOKUP(B478,'👥 بيانات الموظفين'!B:Q,16,0)-SUMIFS(H$5:H478,B$5:B478,B478,F$5:F478,"معتمدة"),"")</f>
        <v/>
      </c>
      <c r="J478" s="57"/>
      <c r="K478" s="57"/>
      <c r="L478" s="99"/>
    </row>
    <row r="479" spans="1:12" ht="22.15" customHeight="1" x14ac:dyDescent="0.2">
      <c r="A479" s="53" t="str">
        <f>IF(B479&lt;&gt;"",475,"")</f>
        <v/>
      </c>
      <c r="B479" s="53"/>
      <c r="C479" s="53" t="str">
        <f>IFERROR(VLOOKUP(B479,'👥 بيانات الموظفين'!B:C,2,0),"")</f>
        <v/>
      </c>
      <c r="D479" s="53"/>
      <c r="E479" s="55"/>
      <c r="F479" s="55"/>
      <c r="G479" s="68" t="str">
        <f t="shared" si="14"/>
        <v/>
      </c>
      <c r="H479" s="68" t="str">
        <f t="shared" si="15"/>
        <v/>
      </c>
      <c r="I479" s="53" t="str">
        <f>IFERROR(VLOOKUP(B479,'👥 بيانات الموظفين'!B:Q,16,0)-SUMIFS(H$5:H479,B$5:B479,B479,F$5:F479,"معتمدة"),"")</f>
        <v/>
      </c>
      <c r="J479" s="53"/>
      <c r="K479" s="53"/>
      <c r="L479" s="98"/>
    </row>
    <row r="480" spans="1:12" ht="22.15" customHeight="1" x14ac:dyDescent="0.2">
      <c r="A480" s="57" t="str">
        <f>IF(B480&lt;&gt;"",476,"")</f>
        <v/>
      </c>
      <c r="B480" s="57"/>
      <c r="C480" s="57" t="str">
        <f>IFERROR(VLOOKUP(B480,'👥 بيانات الموظفين'!B:C,2,0),"")</f>
        <v/>
      </c>
      <c r="D480" s="57"/>
      <c r="E480" s="59"/>
      <c r="F480" s="59"/>
      <c r="G480" s="69" t="str">
        <f t="shared" si="14"/>
        <v/>
      </c>
      <c r="H480" s="69" t="str">
        <f t="shared" si="15"/>
        <v/>
      </c>
      <c r="I480" s="57" t="str">
        <f>IFERROR(VLOOKUP(B480,'👥 بيانات الموظفين'!B:Q,16,0)-SUMIFS(H$5:H480,B$5:B480,B480,F$5:F480,"معتمدة"),"")</f>
        <v/>
      </c>
      <c r="J480" s="57"/>
      <c r="K480" s="57"/>
      <c r="L480" s="99"/>
    </row>
    <row r="481" spans="1:12" ht="22.15" customHeight="1" x14ac:dyDescent="0.2">
      <c r="A481" s="53" t="str">
        <f>IF(B481&lt;&gt;"",477,"")</f>
        <v/>
      </c>
      <c r="B481" s="53"/>
      <c r="C481" s="53" t="str">
        <f>IFERROR(VLOOKUP(B481,'👥 بيانات الموظفين'!B:C,2,0),"")</f>
        <v/>
      </c>
      <c r="D481" s="53"/>
      <c r="E481" s="55"/>
      <c r="F481" s="55"/>
      <c r="G481" s="68" t="str">
        <f t="shared" si="14"/>
        <v/>
      </c>
      <c r="H481" s="68" t="str">
        <f t="shared" si="15"/>
        <v/>
      </c>
      <c r="I481" s="53" t="str">
        <f>IFERROR(VLOOKUP(B481,'👥 بيانات الموظفين'!B:Q,16,0)-SUMIFS(H$5:H481,B$5:B481,B481,F$5:F481,"معتمدة"),"")</f>
        <v/>
      </c>
      <c r="J481" s="53"/>
      <c r="K481" s="53"/>
      <c r="L481" s="98"/>
    </row>
    <row r="482" spans="1:12" ht="22.15" customHeight="1" x14ac:dyDescent="0.2">
      <c r="A482" s="57" t="str">
        <f>IF(B482&lt;&gt;"",478,"")</f>
        <v/>
      </c>
      <c r="B482" s="57"/>
      <c r="C482" s="57" t="str">
        <f>IFERROR(VLOOKUP(B482,'👥 بيانات الموظفين'!B:C,2,0),"")</f>
        <v/>
      </c>
      <c r="D482" s="57"/>
      <c r="E482" s="59"/>
      <c r="F482" s="59"/>
      <c r="G482" s="69" t="str">
        <f t="shared" si="14"/>
        <v/>
      </c>
      <c r="H482" s="69" t="str">
        <f t="shared" si="15"/>
        <v/>
      </c>
      <c r="I482" s="57" t="str">
        <f>IFERROR(VLOOKUP(B482,'👥 بيانات الموظفين'!B:Q,16,0)-SUMIFS(H$5:H482,B$5:B482,B482,F$5:F482,"معتمدة"),"")</f>
        <v/>
      </c>
      <c r="J482" s="57"/>
      <c r="K482" s="57"/>
      <c r="L482" s="99"/>
    </row>
    <row r="483" spans="1:12" ht="22.15" customHeight="1" x14ac:dyDescent="0.2">
      <c r="A483" s="53" t="str">
        <f>IF(B483&lt;&gt;"",479,"")</f>
        <v/>
      </c>
      <c r="B483" s="53"/>
      <c r="C483" s="53" t="str">
        <f>IFERROR(VLOOKUP(B483,'👥 بيانات الموظفين'!B:C,2,0),"")</f>
        <v/>
      </c>
      <c r="D483" s="53"/>
      <c r="E483" s="55"/>
      <c r="F483" s="55"/>
      <c r="G483" s="68" t="str">
        <f t="shared" si="14"/>
        <v/>
      </c>
      <c r="H483" s="68" t="str">
        <f t="shared" si="15"/>
        <v/>
      </c>
      <c r="I483" s="53" t="str">
        <f>IFERROR(VLOOKUP(B483,'👥 بيانات الموظفين'!B:Q,16,0)-SUMIFS(H$5:H483,B$5:B483,B483,F$5:F483,"معتمدة"),"")</f>
        <v/>
      </c>
      <c r="J483" s="53"/>
      <c r="K483" s="53"/>
      <c r="L483" s="98"/>
    </row>
    <row r="484" spans="1:12" ht="22.15" customHeight="1" x14ac:dyDescent="0.2">
      <c r="A484" s="57" t="str">
        <f>IF(B484&lt;&gt;"",480,"")</f>
        <v/>
      </c>
      <c r="B484" s="57"/>
      <c r="C484" s="57" t="str">
        <f>IFERROR(VLOOKUP(B484,'👥 بيانات الموظفين'!B:C,2,0),"")</f>
        <v/>
      </c>
      <c r="D484" s="57"/>
      <c r="E484" s="59"/>
      <c r="F484" s="59"/>
      <c r="G484" s="69" t="str">
        <f t="shared" si="14"/>
        <v/>
      </c>
      <c r="H484" s="69" t="str">
        <f t="shared" si="15"/>
        <v/>
      </c>
      <c r="I484" s="57" t="str">
        <f>IFERROR(VLOOKUP(B484,'👥 بيانات الموظفين'!B:Q,16,0)-SUMIFS(H$5:H484,B$5:B484,B484,F$5:F484,"معتمدة"),"")</f>
        <v/>
      </c>
      <c r="J484" s="57"/>
      <c r="K484" s="57"/>
      <c r="L484" s="99"/>
    </row>
    <row r="485" spans="1:12" ht="22.15" customHeight="1" x14ac:dyDescent="0.2">
      <c r="A485" s="53" t="str">
        <f>IF(B485&lt;&gt;"",481,"")</f>
        <v/>
      </c>
      <c r="B485" s="53"/>
      <c r="C485" s="53" t="str">
        <f>IFERROR(VLOOKUP(B485,'👥 بيانات الموظفين'!B:C,2,0),"")</f>
        <v/>
      </c>
      <c r="D485" s="53"/>
      <c r="E485" s="55"/>
      <c r="F485" s="55"/>
      <c r="G485" s="68" t="str">
        <f t="shared" si="14"/>
        <v/>
      </c>
      <c r="H485" s="68" t="str">
        <f t="shared" si="15"/>
        <v/>
      </c>
      <c r="I485" s="53" t="str">
        <f>IFERROR(VLOOKUP(B485,'👥 بيانات الموظفين'!B:Q,16,0)-SUMIFS(H$5:H485,B$5:B485,B485,F$5:F485,"معتمدة"),"")</f>
        <v/>
      </c>
      <c r="J485" s="53"/>
      <c r="K485" s="53"/>
      <c r="L485" s="98"/>
    </row>
    <row r="486" spans="1:12" ht="22.15" customHeight="1" x14ac:dyDescent="0.2">
      <c r="A486" s="57" t="str">
        <f>IF(B486&lt;&gt;"",482,"")</f>
        <v/>
      </c>
      <c r="B486" s="57"/>
      <c r="C486" s="57" t="str">
        <f>IFERROR(VLOOKUP(B486,'👥 بيانات الموظفين'!B:C,2,0),"")</f>
        <v/>
      </c>
      <c r="D486" s="57"/>
      <c r="E486" s="59"/>
      <c r="F486" s="59"/>
      <c r="G486" s="69" t="str">
        <f t="shared" si="14"/>
        <v/>
      </c>
      <c r="H486" s="69" t="str">
        <f t="shared" si="15"/>
        <v/>
      </c>
      <c r="I486" s="57" t="str">
        <f>IFERROR(VLOOKUP(B486,'👥 بيانات الموظفين'!B:Q,16,0)-SUMIFS(H$5:H486,B$5:B486,B486,F$5:F486,"معتمدة"),"")</f>
        <v/>
      </c>
      <c r="J486" s="57"/>
      <c r="K486" s="57"/>
      <c r="L486" s="99"/>
    </row>
    <row r="487" spans="1:12" ht="22.15" customHeight="1" x14ac:dyDescent="0.2">
      <c r="A487" s="53" t="str">
        <f>IF(B487&lt;&gt;"",483,"")</f>
        <v/>
      </c>
      <c r="B487" s="53"/>
      <c r="C487" s="53" t="str">
        <f>IFERROR(VLOOKUP(B487,'👥 بيانات الموظفين'!B:C,2,0),"")</f>
        <v/>
      </c>
      <c r="D487" s="53"/>
      <c r="E487" s="55"/>
      <c r="F487" s="55"/>
      <c r="G487" s="68" t="str">
        <f t="shared" si="14"/>
        <v/>
      </c>
      <c r="H487" s="68" t="str">
        <f t="shared" si="15"/>
        <v/>
      </c>
      <c r="I487" s="53" t="str">
        <f>IFERROR(VLOOKUP(B487,'👥 بيانات الموظفين'!B:Q,16,0)-SUMIFS(H$5:H487,B$5:B487,B487,F$5:F487,"معتمدة"),"")</f>
        <v/>
      </c>
      <c r="J487" s="53"/>
      <c r="K487" s="53"/>
      <c r="L487" s="98"/>
    </row>
    <row r="488" spans="1:12" ht="22.15" customHeight="1" x14ac:dyDescent="0.2">
      <c r="A488" s="57" t="str">
        <f>IF(B488&lt;&gt;"",484,"")</f>
        <v/>
      </c>
      <c r="B488" s="57"/>
      <c r="C488" s="57" t="str">
        <f>IFERROR(VLOOKUP(B488,'👥 بيانات الموظفين'!B:C,2,0),"")</f>
        <v/>
      </c>
      <c r="D488" s="57"/>
      <c r="E488" s="59"/>
      <c r="F488" s="59"/>
      <c r="G488" s="69" t="str">
        <f t="shared" si="14"/>
        <v/>
      </c>
      <c r="H488" s="69" t="str">
        <f t="shared" si="15"/>
        <v/>
      </c>
      <c r="I488" s="57" t="str">
        <f>IFERROR(VLOOKUP(B488,'👥 بيانات الموظفين'!B:Q,16,0)-SUMIFS(H$5:H488,B$5:B488,B488,F$5:F488,"معتمدة"),"")</f>
        <v/>
      </c>
      <c r="J488" s="57"/>
      <c r="K488" s="57"/>
      <c r="L488" s="99"/>
    </row>
    <row r="489" spans="1:12" ht="22.15" customHeight="1" x14ac:dyDescent="0.2">
      <c r="A489" s="53" t="str">
        <f>IF(B489&lt;&gt;"",485,"")</f>
        <v/>
      </c>
      <c r="B489" s="53"/>
      <c r="C489" s="53" t="str">
        <f>IFERROR(VLOOKUP(B489,'👥 بيانات الموظفين'!B:C,2,0),"")</f>
        <v/>
      </c>
      <c r="D489" s="53"/>
      <c r="E489" s="55"/>
      <c r="F489" s="55"/>
      <c r="G489" s="68" t="str">
        <f t="shared" si="14"/>
        <v/>
      </c>
      <c r="H489" s="68" t="str">
        <f t="shared" si="15"/>
        <v/>
      </c>
      <c r="I489" s="53" t="str">
        <f>IFERROR(VLOOKUP(B489,'👥 بيانات الموظفين'!B:Q,16,0)-SUMIFS(H$5:H489,B$5:B489,B489,F$5:F489,"معتمدة"),"")</f>
        <v/>
      </c>
      <c r="J489" s="53"/>
      <c r="K489" s="53"/>
      <c r="L489" s="98"/>
    </row>
    <row r="490" spans="1:12" ht="22.15" customHeight="1" x14ac:dyDescent="0.2">
      <c r="A490" s="57" t="str">
        <f>IF(B490&lt;&gt;"",486,"")</f>
        <v/>
      </c>
      <c r="B490" s="57"/>
      <c r="C490" s="57" t="str">
        <f>IFERROR(VLOOKUP(B490,'👥 بيانات الموظفين'!B:C,2,0),"")</f>
        <v/>
      </c>
      <c r="D490" s="57"/>
      <c r="E490" s="59"/>
      <c r="F490" s="59"/>
      <c r="G490" s="69" t="str">
        <f t="shared" si="14"/>
        <v/>
      </c>
      <c r="H490" s="69" t="str">
        <f t="shared" si="15"/>
        <v/>
      </c>
      <c r="I490" s="57" t="str">
        <f>IFERROR(VLOOKUP(B490,'👥 بيانات الموظفين'!B:Q,16,0)-SUMIFS(H$5:H490,B$5:B490,B490,F$5:F490,"معتمدة"),"")</f>
        <v/>
      </c>
      <c r="J490" s="57"/>
      <c r="K490" s="57"/>
      <c r="L490" s="99"/>
    </row>
    <row r="491" spans="1:12" ht="22.15" customHeight="1" x14ac:dyDescent="0.2">
      <c r="A491" s="53" t="str">
        <f>IF(B491&lt;&gt;"",487,"")</f>
        <v/>
      </c>
      <c r="B491" s="53"/>
      <c r="C491" s="53" t="str">
        <f>IFERROR(VLOOKUP(B491,'👥 بيانات الموظفين'!B:C,2,0),"")</f>
        <v/>
      </c>
      <c r="D491" s="53"/>
      <c r="E491" s="55"/>
      <c r="F491" s="55"/>
      <c r="G491" s="68" t="str">
        <f t="shared" si="14"/>
        <v/>
      </c>
      <c r="H491" s="68" t="str">
        <f t="shared" si="15"/>
        <v/>
      </c>
      <c r="I491" s="53" t="str">
        <f>IFERROR(VLOOKUP(B491,'👥 بيانات الموظفين'!B:Q,16,0)-SUMIFS(H$5:H491,B$5:B491,B491,F$5:F491,"معتمدة"),"")</f>
        <v/>
      </c>
      <c r="J491" s="53"/>
      <c r="K491" s="53"/>
      <c r="L491" s="98"/>
    </row>
    <row r="492" spans="1:12" ht="22.15" customHeight="1" x14ac:dyDescent="0.2">
      <c r="A492" s="57" t="str">
        <f>IF(B492&lt;&gt;"",488,"")</f>
        <v/>
      </c>
      <c r="B492" s="57"/>
      <c r="C492" s="57" t="str">
        <f>IFERROR(VLOOKUP(B492,'👥 بيانات الموظفين'!B:C,2,0),"")</f>
        <v/>
      </c>
      <c r="D492" s="57"/>
      <c r="E492" s="59"/>
      <c r="F492" s="59"/>
      <c r="G492" s="69" t="str">
        <f t="shared" si="14"/>
        <v/>
      </c>
      <c r="H492" s="69" t="str">
        <f t="shared" si="15"/>
        <v/>
      </c>
      <c r="I492" s="57" t="str">
        <f>IFERROR(VLOOKUP(B492,'👥 بيانات الموظفين'!B:Q,16,0)-SUMIFS(H$5:H492,B$5:B492,B492,F$5:F492,"معتمدة"),"")</f>
        <v/>
      </c>
      <c r="J492" s="57"/>
      <c r="K492" s="57"/>
      <c r="L492" s="99"/>
    </row>
    <row r="493" spans="1:12" ht="22.15" customHeight="1" x14ac:dyDescent="0.2">
      <c r="A493" s="53" t="str">
        <f>IF(B493&lt;&gt;"",489,"")</f>
        <v/>
      </c>
      <c r="B493" s="53"/>
      <c r="C493" s="53" t="str">
        <f>IFERROR(VLOOKUP(B493,'👥 بيانات الموظفين'!B:C,2,0),"")</f>
        <v/>
      </c>
      <c r="D493" s="53"/>
      <c r="E493" s="55"/>
      <c r="F493" s="55"/>
      <c r="G493" s="68" t="str">
        <f t="shared" si="14"/>
        <v/>
      </c>
      <c r="H493" s="68" t="str">
        <f t="shared" si="15"/>
        <v/>
      </c>
      <c r="I493" s="53" t="str">
        <f>IFERROR(VLOOKUP(B493,'👥 بيانات الموظفين'!B:Q,16,0)-SUMIFS(H$5:H493,B$5:B493,B493,F$5:F493,"معتمدة"),"")</f>
        <v/>
      </c>
      <c r="J493" s="53"/>
      <c r="K493" s="53"/>
      <c r="L493" s="98"/>
    </row>
    <row r="494" spans="1:12" ht="22.15" customHeight="1" x14ac:dyDescent="0.2">
      <c r="A494" s="57" t="str">
        <f>IF(B494&lt;&gt;"",490,"")</f>
        <v/>
      </c>
      <c r="B494" s="57"/>
      <c r="C494" s="57" t="str">
        <f>IFERROR(VLOOKUP(B494,'👥 بيانات الموظفين'!B:C,2,0),"")</f>
        <v/>
      </c>
      <c r="D494" s="57"/>
      <c r="E494" s="59"/>
      <c r="F494" s="59"/>
      <c r="G494" s="69" t="str">
        <f t="shared" si="14"/>
        <v/>
      </c>
      <c r="H494" s="69" t="str">
        <f t="shared" si="15"/>
        <v/>
      </c>
      <c r="I494" s="57" t="str">
        <f>IFERROR(VLOOKUP(B494,'👥 بيانات الموظفين'!B:Q,16,0)-SUMIFS(H$5:H494,B$5:B494,B494,F$5:F494,"معتمدة"),"")</f>
        <v/>
      </c>
      <c r="J494" s="57"/>
      <c r="K494" s="57"/>
      <c r="L494" s="99"/>
    </row>
    <row r="495" spans="1:12" ht="22.15" customHeight="1" x14ac:dyDescent="0.2">
      <c r="A495" s="53" t="str">
        <f>IF(B495&lt;&gt;"",491,"")</f>
        <v/>
      </c>
      <c r="B495" s="53"/>
      <c r="C495" s="53" t="str">
        <f>IFERROR(VLOOKUP(B495,'👥 بيانات الموظفين'!B:C,2,0),"")</f>
        <v/>
      </c>
      <c r="D495" s="53"/>
      <c r="E495" s="55"/>
      <c r="F495" s="55"/>
      <c r="G495" s="68" t="str">
        <f t="shared" si="14"/>
        <v/>
      </c>
      <c r="H495" s="68" t="str">
        <f t="shared" si="15"/>
        <v/>
      </c>
      <c r="I495" s="53" t="str">
        <f>IFERROR(VLOOKUP(B495,'👥 بيانات الموظفين'!B:Q,16,0)-SUMIFS(H$5:H495,B$5:B495,B495,F$5:F495,"معتمدة"),"")</f>
        <v/>
      </c>
      <c r="J495" s="53"/>
      <c r="K495" s="53"/>
      <c r="L495" s="98"/>
    </row>
    <row r="496" spans="1:12" ht="22.15" customHeight="1" x14ac:dyDescent="0.2">
      <c r="A496" s="57" t="str">
        <f>IF(B496&lt;&gt;"",492,"")</f>
        <v/>
      </c>
      <c r="B496" s="57"/>
      <c r="C496" s="57" t="str">
        <f>IFERROR(VLOOKUP(B496,'👥 بيانات الموظفين'!B:C,2,0),"")</f>
        <v/>
      </c>
      <c r="D496" s="57"/>
      <c r="E496" s="59"/>
      <c r="F496" s="59"/>
      <c r="G496" s="69" t="str">
        <f t="shared" si="14"/>
        <v/>
      </c>
      <c r="H496" s="69" t="str">
        <f t="shared" si="15"/>
        <v/>
      </c>
      <c r="I496" s="57" t="str">
        <f>IFERROR(VLOOKUP(B496,'👥 بيانات الموظفين'!B:Q,16,0)-SUMIFS(H$5:H496,B$5:B496,B496,F$5:F496,"معتمدة"),"")</f>
        <v/>
      </c>
      <c r="J496" s="57"/>
      <c r="K496" s="57"/>
      <c r="L496" s="99"/>
    </row>
    <row r="497" spans="1:12" ht="22.15" customHeight="1" x14ac:dyDescent="0.2">
      <c r="A497" s="53" t="str">
        <f>IF(B497&lt;&gt;"",493,"")</f>
        <v/>
      </c>
      <c r="B497" s="53"/>
      <c r="C497" s="53" t="str">
        <f>IFERROR(VLOOKUP(B497,'👥 بيانات الموظفين'!B:C,2,0),"")</f>
        <v/>
      </c>
      <c r="D497" s="53"/>
      <c r="E497" s="55"/>
      <c r="F497" s="55"/>
      <c r="G497" s="68" t="str">
        <f t="shared" si="14"/>
        <v/>
      </c>
      <c r="H497" s="68" t="str">
        <f t="shared" si="15"/>
        <v/>
      </c>
      <c r="I497" s="53" t="str">
        <f>IFERROR(VLOOKUP(B497,'👥 بيانات الموظفين'!B:Q,16,0)-SUMIFS(H$5:H497,B$5:B497,B497,F$5:F497,"معتمدة"),"")</f>
        <v/>
      </c>
      <c r="J497" s="53"/>
      <c r="K497" s="53"/>
      <c r="L497" s="98"/>
    </row>
    <row r="498" spans="1:12" ht="22.15" customHeight="1" x14ac:dyDescent="0.2">
      <c r="A498" s="57" t="str">
        <f>IF(B498&lt;&gt;"",494,"")</f>
        <v/>
      </c>
      <c r="B498" s="57"/>
      <c r="C498" s="57" t="str">
        <f>IFERROR(VLOOKUP(B498,'👥 بيانات الموظفين'!B:C,2,0),"")</f>
        <v/>
      </c>
      <c r="D498" s="57"/>
      <c r="E498" s="59"/>
      <c r="F498" s="59"/>
      <c r="G498" s="69" t="str">
        <f t="shared" si="14"/>
        <v/>
      </c>
      <c r="H498" s="69" t="str">
        <f t="shared" si="15"/>
        <v/>
      </c>
      <c r="I498" s="57" t="str">
        <f>IFERROR(VLOOKUP(B498,'👥 بيانات الموظفين'!B:Q,16,0)-SUMIFS(H$5:H498,B$5:B498,B498,F$5:F498,"معتمدة"),"")</f>
        <v/>
      </c>
      <c r="J498" s="57"/>
      <c r="K498" s="57"/>
      <c r="L498" s="99"/>
    </row>
    <row r="499" spans="1:12" ht="22.15" customHeight="1" x14ac:dyDescent="0.2">
      <c r="A499" s="53" t="str">
        <f>IF(B499&lt;&gt;"",495,"")</f>
        <v/>
      </c>
      <c r="B499" s="53"/>
      <c r="C499" s="53" t="str">
        <f>IFERROR(VLOOKUP(B499,'👥 بيانات الموظفين'!B:C,2,0),"")</f>
        <v/>
      </c>
      <c r="D499" s="53"/>
      <c r="E499" s="55"/>
      <c r="F499" s="55"/>
      <c r="G499" s="68" t="str">
        <f t="shared" si="14"/>
        <v/>
      </c>
      <c r="H499" s="68" t="str">
        <f t="shared" si="15"/>
        <v/>
      </c>
      <c r="I499" s="53" t="str">
        <f>IFERROR(VLOOKUP(B499,'👥 بيانات الموظفين'!B:Q,16,0)-SUMIFS(H$5:H499,B$5:B499,B499,F$5:F499,"معتمدة"),"")</f>
        <v/>
      </c>
      <c r="J499" s="53"/>
      <c r="K499" s="53"/>
      <c r="L499" s="98"/>
    </row>
    <row r="500" spans="1:12" ht="22.15" customHeight="1" x14ac:dyDescent="0.2">
      <c r="A500" s="57" t="str">
        <f>IF(B500&lt;&gt;"",496,"")</f>
        <v/>
      </c>
      <c r="B500" s="57"/>
      <c r="C500" s="57" t="str">
        <f>IFERROR(VLOOKUP(B500,'👥 بيانات الموظفين'!B:C,2,0),"")</f>
        <v/>
      </c>
      <c r="D500" s="57"/>
      <c r="E500" s="59"/>
      <c r="F500" s="59"/>
      <c r="G500" s="69" t="str">
        <f t="shared" si="14"/>
        <v/>
      </c>
      <c r="H500" s="69" t="str">
        <f t="shared" si="15"/>
        <v/>
      </c>
      <c r="I500" s="57" t="str">
        <f>IFERROR(VLOOKUP(B500,'👥 بيانات الموظفين'!B:Q,16,0)-SUMIFS(H$5:H500,B$5:B500,B500,F$5:F500,"معتمدة"),"")</f>
        <v/>
      </c>
      <c r="J500" s="57"/>
      <c r="K500" s="57"/>
      <c r="L500" s="99"/>
    </row>
    <row r="501" spans="1:12" ht="22.15" customHeight="1" x14ac:dyDescent="0.2">
      <c r="A501" s="53" t="str">
        <f>IF(B501&lt;&gt;"",497,"")</f>
        <v/>
      </c>
      <c r="B501" s="53"/>
      <c r="C501" s="53" t="str">
        <f>IFERROR(VLOOKUP(B501,'👥 بيانات الموظفين'!B:C,2,0),"")</f>
        <v/>
      </c>
      <c r="D501" s="53"/>
      <c r="E501" s="55"/>
      <c r="F501" s="55"/>
      <c r="G501" s="68" t="str">
        <f t="shared" si="14"/>
        <v/>
      </c>
      <c r="H501" s="68" t="str">
        <f t="shared" si="15"/>
        <v/>
      </c>
      <c r="I501" s="53" t="str">
        <f>IFERROR(VLOOKUP(B501,'👥 بيانات الموظفين'!B:Q,16,0)-SUMIFS(H$5:H501,B$5:B501,B501,F$5:F501,"معتمدة"),"")</f>
        <v/>
      </c>
      <c r="J501" s="53"/>
      <c r="K501" s="53"/>
      <c r="L501" s="98"/>
    </row>
    <row r="502" spans="1:12" ht="22.15" customHeight="1" x14ac:dyDescent="0.2">
      <c r="A502" s="57" t="str">
        <f>IF(B502&lt;&gt;"",498,"")</f>
        <v/>
      </c>
      <c r="B502" s="57"/>
      <c r="C502" s="57" t="str">
        <f>IFERROR(VLOOKUP(B502,'👥 بيانات الموظفين'!B:C,2,0),"")</f>
        <v/>
      </c>
      <c r="D502" s="57"/>
      <c r="E502" s="59"/>
      <c r="F502" s="59"/>
      <c r="G502" s="69" t="str">
        <f t="shared" si="14"/>
        <v/>
      </c>
      <c r="H502" s="69" t="str">
        <f t="shared" si="15"/>
        <v/>
      </c>
      <c r="I502" s="57" t="str">
        <f>IFERROR(VLOOKUP(B502,'👥 بيانات الموظفين'!B:Q,16,0)-SUMIFS(H$5:H502,B$5:B502,B502,F$5:F502,"معتمدة"),"")</f>
        <v/>
      </c>
      <c r="J502" s="57"/>
      <c r="K502" s="57"/>
      <c r="L502" s="99"/>
    </row>
    <row r="503" spans="1:12" ht="22.15" customHeight="1" x14ac:dyDescent="0.2">
      <c r="A503" s="53" t="str">
        <f>IF(B503&lt;&gt;"",499,"")</f>
        <v/>
      </c>
      <c r="B503" s="53"/>
      <c r="C503" s="53" t="str">
        <f>IFERROR(VLOOKUP(B503,'👥 بيانات الموظفين'!B:C,2,0),"")</f>
        <v/>
      </c>
      <c r="D503" s="53"/>
      <c r="E503" s="55"/>
      <c r="F503" s="55"/>
      <c r="G503" s="68" t="str">
        <f t="shared" si="14"/>
        <v/>
      </c>
      <c r="H503" s="68" t="str">
        <f t="shared" si="15"/>
        <v/>
      </c>
      <c r="I503" s="53" t="str">
        <f>IFERROR(VLOOKUP(B503,'👥 بيانات الموظفين'!B:Q,16,0)-SUMIFS(H$5:H503,B$5:B503,B503,F$5:F503,"معتمدة"),"")</f>
        <v/>
      </c>
      <c r="J503" s="53"/>
      <c r="K503" s="53"/>
      <c r="L503" s="98"/>
    </row>
    <row r="504" spans="1:12" ht="22.15" customHeight="1" x14ac:dyDescent="0.2">
      <c r="A504" s="57" t="str">
        <f>IF(B504&lt;&gt;"",500,"")</f>
        <v/>
      </c>
      <c r="B504" s="57"/>
      <c r="C504" s="57" t="str">
        <f>IFERROR(VLOOKUP(B504,'👥 بيانات الموظفين'!B:C,2,0),"")</f>
        <v/>
      </c>
      <c r="D504" s="57"/>
      <c r="E504" s="59"/>
      <c r="F504" s="59"/>
      <c r="G504" s="69" t="str">
        <f t="shared" si="14"/>
        <v/>
      </c>
      <c r="H504" s="69" t="str">
        <f t="shared" si="15"/>
        <v/>
      </c>
      <c r="I504" s="57" t="str">
        <f>IFERROR(VLOOKUP(B504,'👥 بيانات الموظفين'!B:Q,16,0)-SUMIFS(H$5:H504,B$5:B504,B504,F$5:F504,"معتمدة"),"")</f>
        <v/>
      </c>
      <c r="J504" s="57"/>
      <c r="K504" s="57"/>
      <c r="L504" s="99"/>
    </row>
  </sheetData>
  <mergeCells count="2">
    <mergeCell ref="A1:Z1"/>
    <mergeCell ref="A2:Z2"/>
  </mergeCells>
  <conditionalFormatting sqref="K5:K504">
    <cfRule type="expression" dxfId="4" priority="1" stopIfTrue="1">
      <formula>$K5="معتمدة"</formula>
    </cfRule>
    <cfRule type="expression" dxfId="3" priority="2" stopIfTrue="1">
      <formula>$K5="مرفوضة"</formula>
    </cfRule>
    <cfRule type="expression" dxfId="2" priority="3" stopIfTrue="1">
      <formula>$K5="قيد المراجعة"</formula>
    </cfRule>
  </conditionalFormatting>
  <dataValidations count="3">
    <dataValidation type="list" allowBlank="1" sqref="F5:F500" xr:uid="{00000000-0002-0000-0400-000001000000}">
      <formula1>"قيد المراجعة,معتمدة,مرفوضة,منتهية"</formula1>
    </dataValidation>
    <dataValidation type="list" allowBlank="1" showInputMessage="1" showErrorMessage="1" sqref="D5:D504" xr:uid="{35771BA8-F9BB-4831-A825-6B57D9C0DE2F}">
      <formula1>ListLeaveType</formula1>
    </dataValidation>
    <dataValidation type="list" allowBlank="1" showInputMessage="1" showErrorMessage="1" sqref="K5:K504" xr:uid="{A1D1C440-F5CC-486E-92D7-22ECD53B293E}">
      <formula1>ListLeaveStatus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293B"/>
  </sheetPr>
  <dimension ref="A1:Z504"/>
  <sheetViews>
    <sheetView showGridLines="0" rightToLeft="1" zoomScaleNormal="100"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sqref="A1:Z1"/>
    </sheetView>
  </sheetViews>
  <sheetFormatPr defaultRowHeight="14.25" x14ac:dyDescent="0.2"/>
  <cols>
    <col min="1" max="1" width="5.625" customWidth="1"/>
    <col min="2" max="2" width="12.625" customWidth="1"/>
    <col min="3" max="3" width="14.625" customWidth="1"/>
    <col min="4" max="4" width="20.625" customWidth="1"/>
    <col min="5" max="5" width="14.625" customWidth="1"/>
    <col min="6" max="6" width="12.625" customWidth="1"/>
    <col min="7" max="7" width="24.625" customWidth="1"/>
    <col min="8" max="8" width="12.625" customWidth="1"/>
    <col min="9" max="9" width="18.625" customWidth="1"/>
    <col min="10" max="11" width="14.625" customWidth="1"/>
  </cols>
  <sheetData>
    <row r="1" spans="1:26" ht="38.1" customHeight="1" x14ac:dyDescent="0.2">
      <c r="A1" s="191" t="s">
        <v>111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20.100000000000001" customHeight="1" x14ac:dyDescent="0.2">
      <c r="A2" s="192" t="s">
        <v>112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4" spans="1:26" ht="32.1" customHeight="1" x14ac:dyDescent="0.2">
      <c r="A4" s="35" t="s">
        <v>45</v>
      </c>
      <c r="B4" s="35" t="s">
        <v>46</v>
      </c>
      <c r="C4" s="35" t="s">
        <v>79</v>
      </c>
      <c r="D4" s="35" t="s">
        <v>113</v>
      </c>
      <c r="E4" s="35" t="s">
        <v>114</v>
      </c>
      <c r="F4" s="35" t="s">
        <v>115</v>
      </c>
      <c r="G4" s="35" t="s">
        <v>80</v>
      </c>
      <c r="H4" s="35" t="s">
        <v>116</v>
      </c>
      <c r="I4" s="35" t="s">
        <v>117</v>
      </c>
      <c r="J4" s="35" t="s">
        <v>110</v>
      </c>
      <c r="K4" s="35" t="s">
        <v>62</v>
      </c>
    </row>
    <row r="5" spans="1:26" ht="22.15" customHeight="1" x14ac:dyDescent="0.2">
      <c r="A5" s="53">
        <v>1</v>
      </c>
      <c r="B5" s="53" t="s">
        <v>243</v>
      </c>
      <c r="C5" s="53" t="s">
        <v>412</v>
      </c>
      <c r="D5" s="53" t="s">
        <v>413</v>
      </c>
      <c r="E5" s="62">
        <v>2500</v>
      </c>
      <c r="F5" s="54" t="s">
        <v>414</v>
      </c>
      <c r="G5" s="53" t="s">
        <v>415</v>
      </c>
      <c r="H5" s="53"/>
      <c r="I5" s="53"/>
      <c r="J5" s="53"/>
      <c r="K5" s="53"/>
    </row>
    <row r="6" spans="1:26" ht="22.15" customHeight="1" x14ac:dyDescent="0.2">
      <c r="A6" s="57">
        <v>2</v>
      </c>
      <c r="B6" s="57" t="s">
        <v>242</v>
      </c>
      <c r="C6" s="57" t="s">
        <v>412</v>
      </c>
      <c r="D6" s="57" t="s">
        <v>416</v>
      </c>
      <c r="E6" s="63">
        <v>8500</v>
      </c>
      <c r="F6" s="58" t="s">
        <v>414</v>
      </c>
      <c r="G6" s="57" t="s">
        <v>417</v>
      </c>
      <c r="H6" s="57"/>
      <c r="I6" s="57"/>
      <c r="J6" s="57"/>
      <c r="K6" s="57"/>
    </row>
    <row r="7" spans="1:26" ht="22.15" customHeight="1" x14ac:dyDescent="0.2">
      <c r="A7" s="53">
        <v>3</v>
      </c>
      <c r="B7" s="53" t="s">
        <v>72</v>
      </c>
      <c r="C7" s="53" t="s">
        <v>412</v>
      </c>
      <c r="D7" s="53" t="s">
        <v>418</v>
      </c>
      <c r="E7" s="62">
        <v>5000</v>
      </c>
      <c r="F7" s="54" t="s">
        <v>414</v>
      </c>
      <c r="G7" s="53" t="s">
        <v>419</v>
      </c>
      <c r="H7" s="53"/>
      <c r="I7" s="53"/>
      <c r="J7" s="53"/>
      <c r="K7" s="53"/>
    </row>
    <row r="8" spans="1:26" ht="22.15" customHeight="1" x14ac:dyDescent="0.2">
      <c r="A8" s="57">
        <v>4</v>
      </c>
      <c r="B8" s="57" t="s">
        <v>255</v>
      </c>
      <c r="C8" s="57" t="s">
        <v>412</v>
      </c>
      <c r="D8" s="57" t="s">
        <v>420</v>
      </c>
      <c r="E8" s="63">
        <v>1500</v>
      </c>
      <c r="F8" s="58" t="s">
        <v>414</v>
      </c>
      <c r="G8" s="57" t="s">
        <v>421</v>
      </c>
      <c r="H8" s="57"/>
      <c r="I8" s="57"/>
      <c r="J8" s="57"/>
      <c r="K8" s="57"/>
    </row>
    <row r="9" spans="1:26" ht="22.15" customHeight="1" x14ac:dyDescent="0.2">
      <c r="A9" s="53">
        <v>5</v>
      </c>
      <c r="B9" s="53" t="s">
        <v>252</v>
      </c>
      <c r="C9" s="53" t="s">
        <v>412</v>
      </c>
      <c r="D9" s="53" t="s">
        <v>422</v>
      </c>
      <c r="E9" s="62">
        <v>2000</v>
      </c>
      <c r="F9" s="54" t="s">
        <v>414</v>
      </c>
      <c r="G9" s="53" t="s">
        <v>423</v>
      </c>
      <c r="H9" s="53"/>
      <c r="I9" s="53"/>
      <c r="J9" s="53"/>
      <c r="K9" s="53"/>
    </row>
    <row r="10" spans="1:26" ht="22.15" customHeight="1" x14ac:dyDescent="0.2">
      <c r="A10" s="57">
        <v>6</v>
      </c>
      <c r="B10" s="57" t="s">
        <v>250</v>
      </c>
      <c r="C10" s="57" t="s">
        <v>412</v>
      </c>
      <c r="D10" s="57" t="s">
        <v>418</v>
      </c>
      <c r="E10" s="63">
        <v>2500</v>
      </c>
      <c r="F10" s="58" t="s">
        <v>414</v>
      </c>
      <c r="G10" s="57" t="s">
        <v>424</v>
      </c>
      <c r="H10" s="57"/>
      <c r="I10" s="57"/>
      <c r="J10" s="57"/>
      <c r="K10" s="57"/>
    </row>
    <row r="11" spans="1:26" ht="22.15" customHeight="1" x14ac:dyDescent="0.2">
      <c r="A11" s="53">
        <v>7</v>
      </c>
      <c r="B11" s="53" t="s">
        <v>66</v>
      </c>
      <c r="C11" s="53" t="s">
        <v>412</v>
      </c>
      <c r="D11" s="53" t="s">
        <v>425</v>
      </c>
      <c r="E11" s="62">
        <v>10000</v>
      </c>
      <c r="F11" s="54" t="s">
        <v>414</v>
      </c>
      <c r="G11" s="53" t="s">
        <v>426</v>
      </c>
      <c r="H11" s="53"/>
      <c r="I11" s="53"/>
      <c r="J11" s="53"/>
      <c r="K11" s="53"/>
    </row>
    <row r="12" spans="1:26" ht="22.15" customHeight="1" x14ac:dyDescent="0.2">
      <c r="A12" s="57">
        <v>8</v>
      </c>
      <c r="B12" s="57" t="s">
        <v>74</v>
      </c>
      <c r="C12" s="57" t="s">
        <v>412</v>
      </c>
      <c r="D12" s="57" t="s">
        <v>427</v>
      </c>
      <c r="E12" s="63">
        <v>1500</v>
      </c>
      <c r="F12" s="58" t="s">
        <v>414</v>
      </c>
      <c r="G12" s="57" t="s">
        <v>428</v>
      </c>
      <c r="H12" s="57"/>
      <c r="I12" s="57"/>
      <c r="J12" s="57"/>
      <c r="K12" s="57"/>
    </row>
    <row r="13" spans="1:26" ht="22.15" customHeight="1" x14ac:dyDescent="0.2">
      <c r="A13" s="53">
        <v>9</v>
      </c>
      <c r="B13" s="53" t="s">
        <v>236</v>
      </c>
      <c r="C13" s="53" t="s">
        <v>412</v>
      </c>
      <c r="D13" s="53" t="s">
        <v>429</v>
      </c>
      <c r="E13" s="62">
        <v>2000</v>
      </c>
      <c r="F13" s="54" t="s">
        <v>414</v>
      </c>
      <c r="G13" s="53" t="s">
        <v>430</v>
      </c>
      <c r="H13" s="53"/>
      <c r="I13" s="53"/>
      <c r="J13" s="53"/>
      <c r="K13" s="53"/>
    </row>
    <row r="14" spans="1:26" ht="22.15" customHeight="1" x14ac:dyDescent="0.2">
      <c r="A14" s="57">
        <v>10</v>
      </c>
      <c r="B14" s="57" t="s">
        <v>248</v>
      </c>
      <c r="C14" s="57" t="s">
        <v>412</v>
      </c>
      <c r="D14" s="57" t="s">
        <v>431</v>
      </c>
      <c r="E14" s="63">
        <v>1200</v>
      </c>
      <c r="F14" s="58" t="s">
        <v>414</v>
      </c>
      <c r="G14" s="57" t="s">
        <v>432</v>
      </c>
      <c r="H14" s="57"/>
      <c r="I14" s="57"/>
      <c r="J14" s="57"/>
      <c r="K14" s="57"/>
    </row>
    <row r="15" spans="1:26" ht="22.15" customHeight="1" x14ac:dyDescent="0.2">
      <c r="A15" s="53">
        <v>11</v>
      </c>
      <c r="B15" s="53" t="s">
        <v>74</v>
      </c>
      <c r="C15" s="53" t="s">
        <v>433</v>
      </c>
      <c r="D15" s="53" t="s">
        <v>434</v>
      </c>
      <c r="E15" s="62">
        <v>600</v>
      </c>
      <c r="F15" s="54" t="s">
        <v>414</v>
      </c>
      <c r="G15" s="53" t="s">
        <v>435</v>
      </c>
      <c r="H15" s="53"/>
      <c r="I15" s="53"/>
      <c r="J15" s="53"/>
      <c r="K15" s="53"/>
    </row>
    <row r="16" spans="1:26" ht="22.15" customHeight="1" x14ac:dyDescent="0.2">
      <c r="A16" s="57">
        <v>12</v>
      </c>
      <c r="B16" s="57" t="s">
        <v>244</v>
      </c>
      <c r="C16" s="57" t="s">
        <v>433</v>
      </c>
      <c r="D16" s="57" t="s">
        <v>436</v>
      </c>
      <c r="E16" s="63">
        <v>1200</v>
      </c>
      <c r="F16" s="58" t="s">
        <v>414</v>
      </c>
      <c r="G16" s="57" t="s">
        <v>437</v>
      </c>
      <c r="H16" s="57"/>
      <c r="I16" s="57"/>
      <c r="J16" s="57"/>
      <c r="K16" s="57"/>
    </row>
    <row r="17" spans="1:11" ht="22.15" customHeight="1" x14ac:dyDescent="0.2">
      <c r="A17" s="53">
        <v>13</v>
      </c>
      <c r="B17" s="53" t="s">
        <v>238</v>
      </c>
      <c r="C17" s="53" t="s">
        <v>433</v>
      </c>
      <c r="D17" s="53" t="s">
        <v>438</v>
      </c>
      <c r="E17" s="62">
        <v>2000</v>
      </c>
      <c r="F17" s="54" t="s">
        <v>414</v>
      </c>
      <c r="G17" s="53" t="s">
        <v>439</v>
      </c>
      <c r="H17" s="53"/>
      <c r="I17" s="53"/>
      <c r="J17" s="53"/>
      <c r="K17" s="53"/>
    </row>
    <row r="18" spans="1:11" ht="22.15" customHeight="1" x14ac:dyDescent="0.2">
      <c r="A18" s="57">
        <v>14</v>
      </c>
      <c r="B18" s="57" t="s">
        <v>236</v>
      </c>
      <c r="C18" s="57" t="s">
        <v>433</v>
      </c>
      <c r="D18" s="57" t="s">
        <v>440</v>
      </c>
      <c r="E18" s="63">
        <v>1500</v>
      </c>
      <c r="F18" s="58" t="s">
        <v>414</v>
      </c>
      <c r="G18" s="57" t="s">
        <v>441</v>
      </c>
      <c r="H18" s="57"/>
      <c r="I18" s="57"/>
      <c r="J18" s="57"/>
      <c r="K18" s="57"/>
    </row>
    <row r="19" spans="1:11" ht="22.15" customHeight="1" x14ac:dyDescent="0.2">
      <c r="A19" s="53">
        <v>15</v>
      </c>
      <c r="B19" s="53" t="s">
        <v>254</v>
      </c>
      <c r="C19" s="53" t="s">
        <v>433</v>
      </c>
      <c r="D19" s="53" t="s">
        <v>442</v>
      </c>
      <c r="E19" s="62">
        <v>400</v>
      </c>
      <c r="F19" s="54" t="s">
        <v>414</v>
      </c>
      <c r="G19" s="53" t="s">
        <v>443</v>
      </c>
      <c r="H19" s="53"/>
      <c r="I19" s="53"/>
      <c r="J19" s="53"/>
      <c r="K19" s="53"/>
    </row>
    <row r="20" spans="1:11" ht="22.15" customHeight="1" x14ac:dyDescent="0.2">
      <c r="A20" s="57">
        <v>16</v>
      </c>
      <c r="B20" s="57" t="s">
        <v>63</v>
      </c>
      <c r="C20" s="57" t="s">
        <v>412</v>
      </c>
      <c r="D20" s="57" t="s">
        <v>444</v>
      </c>
      <c r="E20" s="63">
        <v>2000</v>
      </c>
      <c r="F20" s="58" t="s">
        <v>414</v>
      </c>
      <c r="G20" s="57" t="s">
        <v>445</v>
      </c>
      <c r="H20" s="57"/>
      <c r="I20" s="57"/>
      <c r="J20" s="57"/>
      <c r="K20" s="57"/>
    </row>
    <row r="21" spans="1:11" ht="22.15" customHeight="1" x14ac:dyDescent="0.2">
      <c r="A21" s="53">
        <v>17</v>
      </c>
      <c r="B21" s="53" t="s">
        <v>66</v>
      </c>
      <c r="C21" s="53" t="s">
        <v>412</v>
      </c>
      <c r="D21" s="53" t="s">
        <v>444</v>
      </c>
      <c r="E21" s="62">
        <v>2000</v>
      </c>
      <c r="F21" s="54" t="s">
        <v>414</v>
      </c>
      <c r="G21" s="53" t="s">
        <v>445</v>
      </c>
      <c r="H21" s="53"/>
      <c r="I21" s="53"/>
      <c r="J21" s="53"/>
      <c r="K21" s="53"/>
    </row>
    <row r="22" spans="1:11" ht="22.15" customHeight="1" x14ac:dyDescent="0.2">
      <c r="A22" s="57">
        <v>18</v>
      </c>
      <c r="B22" s="57" t="s">
        <v>69</v>
      </c>
      <c r="C22" s="57" t="s">
        <v>412</v>
      </c>
      <c r="D22" s="57" t="s">
        <v>444</v>
      </c>
      <c r="E22" s="63">
        <v>2000</v>
      </c>
      <c r="F22" s="58" t="s">
        <v>414</v>
      </c>
      <c r="G22" s="57" t="s">
        <v>445</v>
      </c>
      <c r="H22" s="57"/>
      <c r="I22" s="57"/>
      <c r="J22" s="57"/>
      <c r="K22" s="57"/>
    </row>
    <row r="23" spans="1:11" ht="22.15" customHeight="1" x14ac:dyDescent="0.2">
      <c r="A23" s="53">
        <v>19</v>
      </c>
      <c r="B23" s="53" t="s">
        <v>72</v>
      </c>
      <c r="C23" s="53" t="s">
        <v>412</v>
      </c>
      <c r="D23" s="53" t="s">
        <v>444</v>
      </c>
      <c r="E23" s="62">
        <v>1500</v>
      </c>
      <c r="F23" s="54" t="s">
        <v>414</v>
      </c>
      <c r="G23" s="53" t="s">
        <v>445</v>
      </c>
      <c r="H23" s="53"/>
      <c r="I23" s="53"/>
      <c r="J23" s="53"/>
      <c r="K23" s="53"/>
    </row>
    <row r="24" spans="1:11" ht="22.15" customHeight="1" x14ac:dyDescent="0.2">
      <c r="A24" s="57">
        <v>20</v>
      </c>
      <c r="B24" s="57" t="s">
        <v>237</v>
      </c>
      <c r="C24" s="57" t="s">
        <v>412</v>
      </c>
      <c r="D24" s="57" t="s">
        <v>444</v>
      </c>
      <c r="E24" s="63">
        <v>1000</v>
      </c>
      <c r="F24" s="58" t="s">
        <v>414</v>
      </c>
      <c r="G24" s="57" t="s">
        <v>445</v>
      </c>
      <c r="H24" s="57"/>
      <c r="I24" s="57"/>
      <c r="J24" s="57"/>
      <c r="K24" s="57"/>
    </row>
    <row r="25" spans="1:11" ht="22.15" customHeight="1" x14ac:dyDescent="0.2">
      <c r="A25" s="53">
        <v>21</v>
      </c>
      <c r="B25" s="53" t="s">
        <v>243</v>
      </c>
      <c r="C25" s="53" t="s">
        <v>412</v>
      </c>
      <c r="D25" s="53" t="s">
        <v>444</v>
      </c>
      <c r="E25" s="62">
        <v>800</v>
      </c>
      <c r="F25" s="54" t="s">
        <v>414</v>
      </c>
      <c r="G25" s="53" t="s">
        <v>445</v>
      </c>
      <c r="H25" s="53"/>
      <c r="I25" s="53"/>
      <c r="J25" s="53"/>
      <c r="K25" s="53"/>
    </row>
    <row r="26" spans="1:11" ht="22.15" customHeight="1" x14ac:dyDescent="0.2">
      <c r="A26" s="57">
        <v>22</v>
      </c>
      <c r="B26" s="57" t="s">
        <v>250</v>
      </c>
      <c r="C26" s="57" t="s">
        <v>412</v>
      </c>
      <c r="D26" s="57" t="s">
        <v>444</v>
      </c>
      <c r="E26" s="63">
        <v>1200</v>
      </c>
      <c r="F26" s="58" t="s">
        <v>414</v>
      </c>
      <c r="G26" s="57" t="s">
        <v>445</v>
      </c>
      <c r="H26" s="57"/>
      <c r="I26" s="57"/>
      <c r="J26" s="57"/>
      <c r="K26" s="57"/>
    </row>
    <row r="27" spans="1:11" ht="22.15" customHeight="1" x14ac:dyDescent="0.2">
      <c r="A27" s="53">
        <v>23</v>
      </c>
      <c r="B27" s="53" t="s">
        <v>255</v>
      </c>
      <c r="C27" s="53" t="s">
        <v>412</v>
      </c>
      <c r="D27" s="53" t="s">
        <v>444</v>
      </c>
      <c r="E27" s="62">
        <v>900</v>
      </c>
      <c r="F27" s="54" t="s">
        <v>414</v>
      </c>
      <c r="G27" s="53" t="s">
        <v>445</v>
      </c>
      <c r="H27" s="53"/>
      <c r="I27" s="53"/>
      <c r="J27" s="53"/>
      <c r="K27" s="53"/>
    </row>
    <row r="28" spans="1:11" ht="22.15" customHeight="1" x14ac:dyDescent="0.2">
      <c r="A28" s="57">
        <v>24</v>
      </c>
      <c r="B28" s="57" t="s">
        <v>241</v>
      </c>
      <c r="C28" s="57" t="s">
        <v>412</v>
      </c>
      <c r="D28" s="57" t="s">
        <v>446</v>
      </c>
      <c r="E28" s="63">
        <v>1500</v>
      </c>
      <c r="F28" s="58" t="s">
        <v>414</v>
      </c>
      <c r="G28" s="57" t="s">
        <v>447</v>
      </c>
      <c r="H28" s="57"/>
      <c r="I28" s="57"/>
      <c r="J28" s="57"/>
      <c r="K28" s="57"/>
    </row>
    <row r="29" spans="1:11" ht="22.15" customHeight="1" x14ac:dyDescent="0.2">
      <c r="A29" s="53">
        <v>25</v>
      </c>
      <c r="B29" s="53" t="s">
        <v>240</v>
      </c>
      <c r="C29" s="53" t="s">
        <v>412</v>
      </c>
      <c r="D29" s="53" t="s">
        <v>446</v>
      </c>
      <c r="E29" s="62">
        <v>2000</v>
      </c>
      <c r="F29" s="54" t="s">
        <v>414</v>
      </c>
      <c r="G29" s="53" t="s">
        <v>448</v>
      </c>
      <c r="H29" s="53"/>
      <c r="I29" s="53"/>
      <c r="J29" s="53"/>
      <c r="K29" s="53"/>
    </row>
    <row r="30" spans="1:11" ht="22.15" customHeight="1" x14ac:dyDescent="0.2">
      <c r="A30" s="57">
        <v>26</v>
      </c>
      <c r="B30" s="57" t="s">
        <v>243</v>
      </c>
      <c r="C30" s="57" t="s">
        <v>412</v>
      </c>
      <c r="D30" s="57" t="s">
        <v>413</v>
      </c>
      <c r="E30" s="63">
        <v>2000</v>
      </c>
      <c r="F30" s="58" t="s">
        <v>449</v>
      </c>
      <c r="G30" s="57" t="s">
        <v>450</v>
      </c>
      <c r="H30" s="57"/>
      <c r="I30" s="57"/>
      <c r="J30" s="57"/>
      <c r="K30" s="57"/>
    </row>
    <row r="31" spans="1:11" ht="22.15" customHeight="1" x14ac:dyDescent="0.2">
      <c r="A31" s="53">
        <v>27</v>
      </c>
      <c r="B31" s="53" t="s">
        <v>244</v>
      </c>
      <c r="C31" s="53" t="s">
        <v>433</v>
      </c>
      <c r="D31" s="53" t="s">
        <v>436</v>
      </c>
      <c r="E31" s="62">
        <v>400</v>
      </c>
      <c r="F31" s="54" t="s">
        <v>449</v>
      </c>
      <c r="G31" s="53" t="s">
        <v>451</v>
      </c>
      <c r="H31" s="53"/>
      <c r="I31" s="53"/>
      <c r="J31" s="53"/>
      <c r="K31" s="53"/>
    </row>
    <row r="32" spans="1:11" ht="22.15" customHeight="1" x14ac:dyDescent="0.2">
      <c r="A32" s="57" t="str">
        <f>IF(B32&lt;&gt;"",28,"")</f>
        <v/>
      </c>
      <c r="B32" s="57"/>
      <c r="C32" s="57" t="str">
        <f>IFERROR(VLOOKUP(B32,'👥 بيانات الموظفين'!B:C,2,0),"")</f>
        <v/>
      </c>
      <c r="D32" s="57"/>
      <c r="E32" s="63"/>
      <c r="F32" s="58"/>
      <c r="G32" s="57"/>
      <c r="H32" s="57"/>
      <c r="I32" s="57"/>
      <c r="J32" s="57"/>
      <c r="K32" s="57"/>
    </row>
    <row r="33" spans="1:11" ht="22.15" customHeight="1" x14ac:dyDescent="0.2">
      <c r="A33" s="53" t="str">
        <f>IF(B33&lt;&gt;"",29,"")</f>
        <v/>
      </c>
      <c r="B33" s="53"/>
      <c r="C33" s="53" t="str">
        <f>IFERROR(VLOOKUP(B33,'👥 بيانات الموظفين'!B:C,2,0),"")</f>
        <v/>
      </c>
      <c r="D33" s="53"/>
      <c r="E33" s="62"/>
      <c r="F33" s="54"/>
      <c r="G33" s="53"/>
      <c r="H33" s="53"/>
      <c r="I33" s="53"/>
      <c r="J33" s="53"/>
      <c r="K33" s="53"/>
    </row>
    <row r="34" spans="1:11" ht="22.15" customHeight="1" x14ac:dyDescent="0.2">
      <c r="A34" s="57" t="str">
        <f>IF(B34&lt;&gt;"",30,"")</f>
        <v/>
      </c>
      <c r="B34" s="57"/>
      <c r="C34" s="57" t="str">
        <f>IFERROR(VLOOKUP(B34,'👥 بيانات الموظفين'!B:C,2,0),"")</f>
        <v/>
      </c>
      <c r="D34" s="57"/>
      <c r="E34" s="63"/>
      <c r="F34" s="58"/>
      <c r="G34" s="57"/>
      <c r="H34" s="57"/>
      <c r="I34" s="57"/>
      <c r="J34" s="57"/>
      <c r="K34" s="57"/>
    </row>
    <row r="35" spans="1:11" ht="22.15" customHeight="1" x14ac:dyDescent="0.2">
      <c r="A35" s="53" t="str">
        <f>IF(B35&lt;&gt;"",31,"")</f>
        <v/>
      </c>
      <c r="B35" s="53"/>
      <c r="C35" s="53" t="str">
        <f>IFERROR(VLOOKUP(B35,'👥 بيانات الموظفين'!B:C,2,0),"")</f>
        <v/>
      </c>
      <c r="D35" s="53"/>
      <c r="E35" s="62"/>
      <c r="F35" s="54"/>
      <c r="G35" s="53"/>
      <c r="H35" s="53"/>
      <c r="I35" s="53"/>
      <c r="J35" s="53"/>
      <c r="K35" s="53"/>
    </row>
    <row r="36" spans="1:11" ht="22.15" customHeight="1" x14ac:dyDescent="0.2">
      <c r="A36" s="57" t="str">
        <f>IF(B36&lt;&gt;"",32,"")</f>
        <v/>
      </c>
      <c r="B36" s="57"/>
      <c r="C36" s="57" t="str">
        <f>IFERROR(VLOOKUP(B36,'👥 بيانات الموظفين'!B:C,2,0),"")</f>
        <v/>
      </c>
      <c r="D36" s="57"/>
      <c r="E36" s="63"/>
      <c r="F36" s="58"/>
      <c r="G36" s="57"/>
      <c r="H36" s="57"/>
      <c r="I36" s="57"/>
      <c r="J36" s="57"/>
      <c r="K36" s="57"/>
    </row>
    <row r="37" spans="1:11" ht="22.15" customHeight="1" x14ac:dyDescent="0.2">
      <c r="A37" s="53" t="str">
        <f>IF(B37&lt;&gt;"",33,"")</f>
        <v/>
      </c>
      <c r="B37" s="53"/>
      <c r="C37" s="53" t="str">
        <f>IFERROR(VLOOKUP(B37,'👥 بيانات الموظفين'!B:C,2,0),"")</f>
        <v/>
      </c>
      <c r="D37" s="53"/>
      <c r="E37" s="62"/>
      <c r="F37" s="54"/>
      <c r="G37" s="53"/>
      <c r="H37" s="53"/>
      <c r="I37" s="53"/>
      <c r="J37" s="53"/>
      <c r="K37" s="53"/>
    </row>
    <row r="38" spans="1:11" ht="22.15" customHeight="1" x14ac:dyDescent="0.2">
      <c r="A38" s="57" t="str">
        <f>IF(B38&lt;&gt;"",34,"")</f>
        <v/>
      </c>
      <c r="B38" s="57"/>
      <c r="C38" s="57" t="str">
        <f>IFERROR(VLOOKUP(B38,'👥 بيانات الموظفين'!B:C,2,0),"")</f>
        <v/>
      </c>
      <c r="D38" s="57"/>
      <c r="E38" s="63"/>
      <c r="F38" s="58"/>
      <c r="G38" s="57"/>
      <c r="H38" s="57"/>
      <c r="I38" s="57"/>
      <c r="J38" s="57"/>
      <c r="K38" s="57"/>
    </row>
    <row r="39" spans="1:11" ht="22.15" customHeight="1" x14ac:dyDescent="0.2">
      <c r="A39" s="53" t="str">
        <f>IF(B39&lt;&gt;"",35,"")</f>
        <v/>
      </c>
      <c r="B39" s="53"/>
      <c r="C39" s="53" t="str">
        <f>IFERROR(VLOOKUP(B39,'👥 بيانات الموظفين'!B:C,2,0),"")</f>
        <v/>
      </c>
      <c r="D39" s="53"/>
      <c r="E39" s="62"/>
      <c r="F39" s="54"/>
      <c r="G39" s="53"/>
      <c r="H39" s="53"/>
      <c r="I39" s="53"/>
      <c r="J39" s="53"/>
      <c r="K39" s="53"/>
    </row>
    <row r="40" spans="1:11" ht="22.15" customHeight="1" x14ac:dyDescent="0.2">
      <c r="A40" s="57" t="str">
        <f>IF(B40&lt;&gt;"",36,"")</f>
        <v/>
      </c>
      <c r="B40" s="57"/>
      <c r="C40" s="57" t="str">
        <f>IFERROR(VLOOKUP(B40,'👥 بيانات الموظفين'!B:C,2,0),"")</f>
        <v/>
      </c>
      <c r="D40" s="57"/>
      <c r="E40" s="63"/>
      <c r="F40" s="58"/>
      <c r="G40" s="57"/>
      <c r="H40" s="57"/>
      <c r="I40" s="57"/>
      <c r="J40" s="57"/>
      <c r="K40" s="57"/>
    </row>
    <row r="41" spans="1:11" ht="22.15" customHeight="1" x14ac:dyDescent="0.2">
      <c r="A41" s="53" t="str">
        <f>IF(B41&lt;&gt;"",37,"")</f>
        <v/>
      </c>
      <c r="B41" s="53"/>
      <c r="C41" s="53" t="str">
        <f>IFERROR(VLOOKUP(B41,'👥 بيانات الموظفين'!B:C,2,0),"")</f>
        <v/>
      </c>
      <c r="D41" s="53"/>
      <c r="E41" s="62"/>
      <c r="F41" s="54"/>
      <c r="G41" s="53"/>
      <c r="H41" s="53"/>
      <c r="I41" s="53"/>
      <c r="J41" s="53"/>
      <c r="K41" s="53"/>
    </row>
    <row r="42" spans="1:11" ht="22.15" customHeight="1" x14ac:dyDescent="0.2">
      <c r="A42" s="57" t="str">
        <f>IF(B42&lt;&gt;"",38,"")</f>
        <v/>
      </c>
      <c r="B42" s="57"/>
      <c r="C42" s="57" t="str">
        <f>IFERROR(VLOOKUP(B42,'👥 بيانات الموظفين'!B:C,2,0),"")</f>
        <v/>
      </c>
      <c r="D42" s="57"/>
      <c r="E42" s="63"/>
      <c r="F42" s="58"/>
      <c r="G42" s="57"/>
      <c r="H42" s="57"/>
      <c r="I42" s="57"/>
      <c r="J42" s="57"/>
      <c r="K42" s="57"/>
    </row>
    <row r="43" spans="1:11" ht="22.15" customHeight="1" x14ac:dyDescent="0.2">
      <c r="A43" s="53" t="str">
        <f>IF(B43&lt;&gt;"",39,"")</f>
        <v/>
      </c>
      <c r="B43" s="53"/>
      <c r="C43" s="53" t="str">
        <f>IFERROR(VLOOKUP(B43,'👥 بيانات الموظفين'!B:C,2,0),"")</f>
        <v/>
      </c>
      <c r="D43" s="53"/>
      <c r="E43" s="62"/>
      <c r="F43" s="54"/>
      <c r="G43" s="53"/>
      <c r="H43" s="53"/>
      <c r="I43" s="53"/>
      <c r="J43" s="53"/>
      <c r="K43" s="53"/>
    </row>
    <row r="44" spans="1:11" ht="22.15" customHeight="1" x14ac:dyDescent="0.2">
      <c r="A44" s="57" t="str">
        <f>IF(B44&lt;&gt;"",40,"")</f>
        <v/>
      </c>
      <c r="B44" s="57"/>
      <c r="C44" s="57" t="str">
        <f>IFERROR(VLOOKUP(B44,'👥 بيانات الموظفين'!B:C,2,0),"")</f>
        <v/>
      </c>
      <c r="D44" s="57"/>
      <c r="E44" s="63"/>
      <c r="F44" s="58"/>
      <c r="G44" s="57"/>
      <c r="H44" s="57"/>
      <c r="I44" s="57"/>
      <c r="J44" s="57"/>
      <c r="K44" s="57"/>
    </row>
    <row r="45" spans="1:11" ht="22.15" customHeight="1" x14ac:dyDescent="0.2">
      <c r="A45" s="53" t="str">
        <f>IF(B45&lt;&gt;"",41,"")</f>
        <v/>
      </c>
      <c r="B45" s="53"/>
      <c r="C45" s="53" t="str">
        <f>IFERROR(VLOOKUP(B45,'👥 بيانات الموظفين'!B:C,2,0),"")</f>
        <v/>
      </c>
      <c r="D45" s="53"/>
      <c r="E45" s="62"/>
      <c r="F45" s="54"/>
      <c r="G45" s="53"/>
      <c r="H45" s="53"/>
      <c r="I45" s="53"/>
      <c r="J45" s="53"/>
      <c r="K45" s="53"/>
    </row>
    <row r="46" spans="1:11" ht="22.15" customHeight="1" x14ac:dyDescent="0.2">
      <c r="A46" s="57" t="str">
        <f>IF(B46&lt;&gt;"",42,"")</f>
        <v/>
      </c>
      <c r="B46" s="57"/>
      <c r="C46" s="57" t="str">
        <f>IFERROR(VLOOKUP(B46,'👥 بيانات الموظفين'!B:C,2,0),"")</f>
        <v/>
      </c>
      <c r="D46" s="57"/>
      <c r="E46" s="63"/>
      <c r="F46" s="58"/>
      <c r="G46" s="57"/>
      <c r="H46" s="57"/>
      <c r="I46" s="57"/>
      <c r="J46" s="57"/>
      <c r="K46" s="57"/>
    </row>
    <row r="47" spans="1:11" ht="22.15" customHeight="1" x14ac:dyDescent="0.2">
      <c r="A47" s="53" t="str">
        <f>IF(B47&lt;&gt;"",43,"")</f>
        <v/>
      </c>
      <c r="B47" s="53"/>
      <c r="C47" s="53" t="str">
        <f>IFERROR(VLOOKUP(B47,'👥 بيانات الموظفين'!B:C,2,0),"")</f>
        <v/>
      </c>
      <c r="D47" s="53"/>
      <c r="E47" s="62"/>
      <c r="F47" s="54"/>
      <c r="G47" s="53"/>
      <c r="H47" s="53"/>
      <c r="I47" s="53"/>
      <c r="J47" s="53"/>
      <c r="K47" s="53"/>
    </row>
    <row r="48" spans="1:11" ht="22.15" customHeight="1" x14ac:dyDescent="0.2">
      <c r="A48" s="57" t="str">
        <f>IF(B48&lt;&gt;"",44,"")</f>
        <v/>
      </c>
      <c r="B48" s="57"/>
      <c r="C48" s="57" t="str">
        <f>IFERROR(VLOOKUP(B48,'👥 بيانات الموظفين'!B:C,2,0),"")</f>
        <v/>
      </c>
      <c r="D48" s="57"/>
      <c r="E48" s="63"/>
      <c r="F48" s="58"/>
      <c r="G48" s="57"/>
      <c r="H48" s="57"/>
      <c r="I48" s="57"/>
      <c r="J48" s="57"/>
      <c r="K48" s="57"/>
    </row>
    <row r="49" spans="1:11" ht="22.15" customHeight="1" x14ac:dyDescent="0.2">
      <c r="A49" s="53" t="str">
        <f>IF(B49&lt;&gt;"",45,"")</f>
        <v/>
      </c>
      <c r="B49" s="53"/>
      <c r="C49" s="53" t="str">
        <f>IFERROR(VLOOKUP(B49,'👥 بيانات الموظفين'!B:C,2,0),"")</f>
        <v/>
      </c>
      <c r="D49" s="53"/>
      <c r="E49" s="62"/>
      <c r="F49" s="54"/>
      <c r="G49" s="53"/>
      <c r="H49" s="53"/>
      <c r="I49" s="53"/>
      <c r="J49" s="53"/>
      <c r="K49" s="53"/>
    </row>
    <row r="50" spans="1:11" ht="22.15" customHeight="1" x14ac:dyDescent="0.2">
      <c r="A50" s="57" t="str">
        <f>IF(B50&lt;&gt;"",46,"")</f>
        <v/>
      </c>
      <c r="B50" s="57"/>
      <c r="C50" s="57" t="str">
        <f>IFERROR(VLOOKUP(B50,'👥 بيانات الموظفين'!B:C,2,0),"")</f>
        <v/>
      </c>
      <c r="D50" s="57"/>
      <c r="E50" s="63"/>
      <c r="F50" s="58"/>
      <c r="G50" s="57"/>
      <c r="H50" s="57"/>
      <c r="I50" s="57"/>
      <c r="J50" s="57"/>
      <c r="K50" s="57"/>
    </row>
    <row r="51" spans="1:11" ht="22.15" customHeight="1" x14ac:dyDescent="0.2">
      <c r="A51" s="53" t="str">
        <f>IF(B51&lt;&gt;"",47,"")</f>
        <v/>
      </c>
      <c r="B51" s="53"/>
      <c r="C51" s="53" t="str">
        <f>IFERROR(VLOOKUP(B51,'👥 بيانات الموظفين'!B:C,2,0),"")</f>
        <v/>
      </c>
      <c r="D51" s="53"/>
      <c r="E51" s="62"/>
      <c r="F51" s="54"/>
      <c r="G51" s="53"/>
      <c r="H51" s="53"/>
      <c r="I51" s="53"/>
      <c r="J51" s="53"/>
      <c r="K51" s="53"/>
    </row>
    <row r="52" spans="1:11" ht="22.15" customHeight="1" x14ac:dyDescent="0.2">
      <c r="A52" s="57" t="str">
        <f>IF(B52&lt;&gt;"",48,"")</f>
        <v/>
      </c>
      <c r="B52" s="57"/>
      <c r="C52" s="57" t="str">
        <f>IFERROR(VLOOKUP(B52,'👥 بيانات الموظفين'!B:C,2,0),"")</f>
        <v/>
      </c>
      <c r="D52" s="57"/>
      <c r="E52" s="63"/>
      <c r="F52" s="58"/>
      <c r="G52" s="57"/>
      <c r="H52" s="57"/>
      <c r="I52" s="57"/>
      <c r="J52" s="57"/>
      <c r="K52" s="57"/>
    </row>
    <row r="53" spans="1:11" ht="22.15" customHeight="1" x14ac:dyDescent="0.2">
      <c r="A53" s="53" t="str">
        <f>IF(B53&lt;&gt;"",49,"")</f>
        <v/>
      </c>
      <c r="B53" s="53"/>
      <c r="C53" s="53" t="str">
        <f>IFERROR(VLOOKUP(B53,'👥 بيانات الموظفين'!B:C,2,0),"")</f>
        <v/>
      </c>
      <c r="D53" s="53"/>
      <c r="E53" s="62"/>
      <c r="F53" s="54"/>
      <c r="G53" s="53"/>
      <c r="H53" s="53"/>
      <c r="I53" s="53"/>
      <c r="J53" s="53"/>
      <c r="K53" s="53"/>
    </row>
    <row r="54" spans="1:11" ht="22.15" customHeight="1" x14ac:dyDescent="0.2">
      <c r="A54" s="57" t="str">
        <f>IF(B54&lt;&gt;"",50,"")</f>
        <v/>
      </c>
      <c r="B54" s="57"/>
      <c r="C54" s="57" t="str">
        <f>IFERROR(VLOOKUP(B54,'👥 بيانات الموظفين'!B:C,2,0),"")</f>
        <v/>
      </c>
      <c r="D54" s="57"/>
      <c r="E54" s="63"/>
      <c r="F54" s="58"/>
      <c r="G54" s="57"/>
      <c r="H54" s="57"/>
      <c r="I54" s="57"/>
      <c r="J54" s="57"/>
      <c r="K54" s="57"/>
    </row>
    <row r="55" spans="1:11" ht="22.15" customHeight="1" x14ac:dyDescent="0.2">
      <c r="A55" s="53" t="str">
        <f>IF(B55&lt;&gt;"",51,"")</f>
        <v/>
      </c>
      <c r="B55" s="53"/>
      <c r="C55" s="53" t="str">
        <f>IFERROR(VLOOKUP(B55,'👥 بيانات الموظفين'!B:C,2,0),"")</f>
        <v/>
      </c>
      <c r="D55" s="53"/>
      <c r="E55" s="62"/>
      <c r="F55" s="54"/>
      <c r="G55" s="53"/>
      <c r="H55" s="53"/>
      <c r="I55" s="53"/>
      <c r="J55" s="53"/>
      <c r="K55" s="53"/>
    </row>
    <row r="56" spans="1:11" ht="22.15" customHeight="1" x14ac:dyDescent="0.2">
      <c r="A56" s="57" t="str">
        <f>IF(B56&lt;&gt;"",52,"")</f>
        <v/>
      </c>
      <c r="B56" s="57"/>
      <c r="C56" s="57" t="str">
        <f>IFERROR(VLOOKUP(B56,'👥 بيانات الموظفين'!B:C,2,0),"")</f>
        <v/>
      </c>
      <c r="D56" s="57"/>
      <c r="E56" s="63"/>
      <c r="F56" s="58"/>
      <c r="G56" s="57"/>
      <c r="H56" s="57"/>
      <c r="I56" s="57"/>
      <c r="J56" s="57"/>
      <c r="K56" s="57"/>
    </row>
    <row r="57" spans="1:11" ht="22.15" customHeight="1" x14ac:dyDescent="0.2">
      <c r="A57" s="53" t="str">
        <f>IF(B57&lt;&gt;"",53,"")</f>
        <v/>
      </c>
      <c r="B57" s="53"/>
      <c r="C57" s="53" t="str">
        <f>IFERROR(VLOOKUP(B57,'👥 بيانات الموظفين'!B:C,2,0),"")</f>
        <v/>
      </c>
      <c r="D57" s="53"/>
      <c r="E57" s="62"/>
      <c r="F57" s="54"/>
      <c r="G57" s="53"/>
      <c r="H57" s="53"/>
      <c r="I57" s="53"/>
      <c r="J57" s="53"/>
      <c r="K57" s="53"/>
    </row>
    <row r="58" spans="1:11" ht="22.15" customHeight="1" x14ac:dyDescent="0.2">
      <c r="A58" s="57" t="str">
        <f>IF(B58&lt;&gt;"",54,"")</f>
        <v/>
      </c>
      <c r="B58" s="57"/>
      <c r="C58" s="57" t="str">
        <f>IFERROR(VLOOKUP(B58,'👥 بيانات الموظفين'!B:C,2,0),"")</f>
        <v/>
      </c>
      <c r="D58" s="57"/>
      <c r="E58" s="63"/>
      <c r="F58" s="58"/>
      <c r="G58" s="57"/>
      <c r="H58" s="57"/>
      <c r="I58" s="57"/>
      <c r="J58" s="57"/>
      <c r="K58" s="57"/>
    </row>
    <row r="59" spans="1:11" ht="22.15" customHeight="1" x14ac:dyDescent="0.2">
      <c r="A59" s="53" t="str">
        <f>IF(B59&lt;&gt;"",55,"")</f>
        <v/>
      </c>
      <c r="B59" s="53"/>
      <c r="C59" s="53" t="str">
        <f>IFERROR(VLOOKUP(B59,'👥 بيانات الموظفين'!B:C,2,0),"")</f>
        <v/>
      </c>
      <c r="D59" s="53"/>
      <c r="E59" s="62"/>
      <c r="F59" s="54"/>
      <c r="G59" s="53"/>
      <c r="H59" s="53"/>
      <c r="I59" s="53"/>
      <c r="J59" s="53"/>
      <c r="K59" s="53"/>
    </row>
    <row r="60" spans="1:11" ht="22.15" customHeight="1" x14ac:dyDescent="0.2">
      <c r="A60" s="57" t="str">
        <f>IF(B60&lt;&gt;"",56,"")</f>
        <v/>
      </c>
      <c r="B60" s="57"/>
      <c r="C60" s="57" t="str">
        <f>IFERROR(VLOOKUP(B60,'👥 بيانات الموظفين'!B:C,2,0),"")</f>
        <v/>
      </c>
      <c r="D60" s="57"/>
      <c r="E60" s="63"/>
      <c r="F60" s="58"/>
      <c r="G60" s="57"/>
      <c r="H60" s="57"/>
      <c r="I60" s="57"/>
      <c r="J60" s="57"/>
      <c r="K60" s="57"/>
    </row>
    <row r="61" spans="1:11" ht="22.15" customHeight="1" x14ac:dyDescent="0.2">
      <c r="A61" s="53" t="str">
        <f>IF(B61&lt;&gt;"",57,"")</f>
        <v/>
      </c>
      <c r="B61" s="53"/>
      <c r="C61" s="53" t="str">
        <f>IFERROR(VLOOKUP(B61,'👥 بيانات الموظفين'!B:C,2,0),"")</f>
        <v/>
      </c>
      <c r="D61" s="53"/>
      <c r="E61" s="62"/>
      <c r="F61" s="54"/>
      <c r="G61" s="53"/>
      <c r="H61" s="53"/>
      <c r="I61" s="53"/>
      <c r="J61" s="53"/>
      <c r="K61" s="53"/>
    </row>
    <row r="62" spans="1:11" ht="22.15" customHeight="1" x14ac:dyDescent="0.2">
      <c r="A62" s="57" t="str">
        <f>IF(B62&lt;&gt;"",58,"")</f>
        <v/>
      </c>
      <c r="B62" s="57"/>
      <c r="C62" s="57" t="str">
        <f>IFERROR(VLOOKUP(B62,'👥 بيانات الموظفين'!B:C,2,0),"")</f>
        <v/>
      </c>
      <c r="D62" s="57"/>
      <c r="E62" s="63"/>
      <c r="F62" s="58"/>
      <c r="G62" s="57"/>
      <c r="H62" s="57"/>
      <c r="I62" s="57"/>
      <c r="J62" s="57"/>
      <c r="K62" s="57"/>
    </row>
    <row r="63" spans="1:11" ht="22.15" customHeight="1" x14ac:dyDescent="0.2">
      <c r="A63" s="53" t="str">
        <f>IF(B63&lt;&gt;"",59,"")</f>
        <v/>
      </c>
      <c r="B63" s="53"/>
      <c r="C63" s="53" t="str">
        <f>IFERROR(VLOOKUP(B63,'👥 بيانات الموظفين'!B:C,2,0),"")</f>
        <v/>
      </c>
      <c r="D63" s="53"/>
      <c r="E63" s="62"/>
      <c r="F63" s="54"/>
      <c r="G63" s="53"/>
      <c r="H63" s="53"/>
      <c r="I63" s="53"/>
      <c r="J63" s="53"/>
      <c r="K63" s="53"/>
    </row>
    <row r="64" spans="1:11" ht="22.15" customHeight="1" x14ac:dyDescent="0.2">
      <c r="A64" s="57" t="str">
        <f>IF(B64&lt;&gt;"",60,"")</f>
        <v/>
      </c>
      <c r="B64" s="57"/>
      <c r="C64" s="57" t="str">
        <f>IFERROR(VLOOKUP(B64,'👥 بيانات الموظفين'!B:C,2,0),"")</f>
        <v/>
      </c>
      <c r="D64" s="57"/>
      <c r="E64" s="63"/>
      <c r="F64" s="58"/>
      <c r="G64" s="57"/>
      <c r="H64" s="57"/>
      <c r="I64" s="57"/>
      <c r="J64" s="57"/>
      <c r="K64" s="57"/>
    </row>
    <row r="65" spans="1:11" ht="22.15" customHeight="1" x14ac:dyDescent="0.2">
      <c r="A65" s="53" t="str">
        <f>IF(B65&lt;&gt;"",61,"")</f>
        <v/>
      </c>
      <c r="B65" s="53"/>
      <c r="C65" s="53" t="str">
        <f>IFERROR(VLOOKUP(B65,'👥 بيانات الموظفين'!B:C,2,0),"")</f>
        <v/>
      </c>
      <c r="D65" s="53"/>
      <c r="E65" s="62"/>
      <c r="F65" s="54"/>
      <c r="G65" s="53"/>
      <c r="H65" s="53"/>
      <c r="I65" s="53"/>
      <c r="J65" s="53"/>
      <c r="K65" s="53"/>
    </row>
    <row r="66" spans="1:11" ht="22.15" customHeight="1" x14ac:dyDescent="0.2">
      <c r="A66" s="57" t="str">
        <f>IF(B66&lt;&gt;"",62,"")</f>
        <v/>
      </c>
      <c r="B66" s="57"/>
      <c r="C66" s="57" t="str">
        <f>IFERROR(VLOOKUP(B66,'👥 بيانات الموظفين'!B:C,2,0),"")</f>
        <v/>
      </c>
      <c r="D66" s="57"/>
      <c r="E66" s="63"/>
      <c r="F66" s="58"/>
      <c r="G66" s="57"/>
      <c r="H66" s="57"/>
      <c r="I66" s="57"/>
      <c r="J66" s="57"/>
      <c r="K66" s="57"/>
    </row>
    <row r="67" spans="1:11" ht="22.15" customHeight="1" x14ac:dyDescent="0.2">
      <c r="A67" s="53" t="str">
        <f>IF(B67&lt;&gt;"",63,"")</f>
        <v/>
      </c>
      <c r="B67" s="53"/>
      <c r="C67" s="53" t="str">
        <f>IFERROR(VLOOKUP(B67,'👥 بيانات الموظفين'!B:C,2,0),"")</f>
        <v/>
      </c>
      <c r="D67" s="53"/>
      <c r="E67" s="62"/>
      <c r="F67" s="54"/>
      <c r="G67" s="53"/>
      <c r="H67" s="53"/>
      <c r="I67" s="53"/>
      <c r="J67" s="53"/>
      <c r="K67" s="53"/>
    </row>
    <row r="68" spans="1:11" ht="22.15" customHeight="1" x14ac:dyDescent="0.2">
      <c r="A68" s="57" t="str">
        <f>IF(B68&lt;&gt;"",64,"")</f>
        <v/>
      </c>
      <c r="B68" s="57"/>
      <c r="C68" s="57" t="str">
        <f>IFERROR(VLOOKUP(B68,'👥 بيانات الموظفين'!B:C,2,0),"")</f>
        <v/>
      </c>
      <c r="D68" s="57"/>
      <c r="E68" s="63"/>
      <c r="F68" s="58"/>
      <c r="G68" s="57"/>
      <c r="H68" s="57"/>
      <c r="I68" s="57"/>
      <c r="J68" s="57"/>
      <c r="K68" s="57"/>
    </row>
    <row r="69" spans="1:11" ht="22.15" customHeight="1" x14ac:dyDescent="0.2">
      <c r="A69" s="53" t="str">
        <f>IF(B69&lt;&gt;"",65,"")</f>
        <v/>
      </c>
      <c r="B69" s="53"/>
      <c r="C69" s="53" t="str">
        <f>IFERROR(VLOOKUP(B69,'👥 بيانات الموظفين'!B:C,2,0),"")</f>
        <v/>
      </c>
      <c r="D69" s="53"/>
      <c r="E69" s="62"/>
      <c r="F69" s="54"/>
      <c r="G69" s="53"/>
      <c r="H69" s="53"/>
      <c r="I69" s="53"/>
      <c r="J69" s="53"/>
      <c r="K69" s="53"/>
    </row>
    <row r="70" spans="1:11" ht="22.15" customHeight="1" x14ac:dyDescent="0.2">
      <c r="A70" s="57" t="str">
        <f>IF(B70&lt;&gt;"",66,"")</f>
        <v/>
      </c>
      <c r="B70" s="57"/>
      <c r="C70" s="57" t="str">
        <f>IFERROR(VLOOKUP(B70,'👥 بيانات الموظفين'!B:C,2,0),"")</f>
        <v/>
      </c>
      <c r="D70" s="57"/>
      <c r="E70" s="63"/>
      <c r="F70" s="58"/>
      <c r="G70" s="57"/>
      <c r="H70" s="57"/>
      <c r="I70" s="57"/>
      <c r="J70" s="57"/>
      <c r="K70" s="57"/>
    </row>
    <row r="71" spans="1:11" ht="22.15" customHeight="1" x14ac:dyDescent="0.2">
      <c r="A71" s="53" t="str">
        <f>IF(B71&lt;&gt;"",67,"")</f>
        <v/>
      </c>
      <c r="B71" s="53"/>
      <c r="C71" s="53" t="str">
        <f>IFERROR(VLOOKUP(B71,'👥 بيانات الموظفين'!B:C,2,0),"")</f>
        <v/>
      </c>
      <c r="D71" s="53"/>
      <c r="E71" s="62"/>
      <c r="F71" s="54"/>
      <c r="G71" s="53"/>
      <c r="H71" s="53"/>
      <c r="I71" s="53"/>
      <c r="J71" s="53"/>
      <c r="K71" s="53"/>
    </row>
    <row r="72" spans="1:11" ht="22.15" customHeight="1" x14ac:dyDescent="0.2">
      <c r="A72" s="57" t="str">
        <f>IF(B72&lt;&gt;"",68,"")</f>
        <v/>
      </c>
      <c r="B72" s="57"/>
      <c r="C72" s="57" t="str">
        <f>IFERROR(VLOOKUP(B72,'👥 بيانات الموظفين'!B:C,2,0),"")</f>
        <v/>
      </c>
      <c r="D72" s="57"/>
      <c r="E72" s="63"/>
      <c r="F72" s="58"/>
      <c r="G72" s="57"/>
      <c r="H72" s="57"/>
      <c r="I72" s="57"/>
      <c r="J72" s="57"/>
      <c r="K72" s="57"/>
    </row>
    <row r="73" spans="1:11" ht="22.15" customHeight="1" x14ac:dyDescent="0.2">
      <c r="A73" s="53" t="str">
        <f>IF(B73&lt;&gt;"",69,"")</f>
        <v/>
      </c>
      <c r="B73" s="53"/>
      <c r="C73" s="53" t="str">
        <f>IFERROR(VLOOKUP(B73,'👥 بيانات الموظفين'!B:C,2,0),"")</f>
        <v/>
      </c>
      <c r="D73" s="53"/>
      <c r="E73" s="62"/>
      <c r="F73" s="54"/>
      <c r="G73" s="53"/>
      <c r="H73" s="53"/>
      <c r="I73" s="53"/>
      <c r="J73" s="53"/>
      <c r="K73" s="53"/>
    </row>
    <row r="74" spans="1:11" ht="22.15" customHeight="1" x14ac:dyDescent="0.2">
      <c r="A74" s="57" t="str">
        <f>IF(B74&lt;&gt;"",70,"")</f>
        <v/>
      </c>
      <c r="B74" s="57"/>
      <c r="C74" s="57" t="str">
        <f>IFERROR(VLOOKUP(B74,'👥 بيانات الموظفين'!B:C,2,0),"")</f>
        <v/>
      </c>
      <c r="D74" s="57"/>
      <c r="E74" s="63"/>
      <c r="F74" s="58"/>
      <c r="G74" s="57"/>
      <c r="H74" s="57"/>
      <c r="I74" s="57"/>
      <c r="J74" s="57"/>
      <c r="K74" s="57"/>
    </row>
    <row r="75" spans="1:11" ht="22.15" customHeight="1" x14ac:dyDescent="0.2">
      <c r="A75" s="53" t="str">
        <f>IF(B75&lt;&gt;"",71,"")</f>
        <v/>
      </c>
      <c r="B75" s="53"/>
      <c r="C75" s="53" t="str">
        <f>IFERROR(VLOOKUP(B75,'👥 بيانات الموظفين'!B:C,2,0),"")</f>
        <v/>
      </c>
      <c r="D75" s="53"/>
      <c r="E75" s="62"/>
      <c r="F75" s="54"/>
      <c r="G75" s="53"/>
      <c r="H75" s="53"/>
      <c r="I75" s="53"/>
      <c r="J75" s="53"/>
      <c r="K75" s="53"/>
    </row>
    <row r="76" spans="1:11" ht="22.15" customHeight="1" x14ac:dyDescent="0.2">
      <c r="A76" s="57" t="str">
        <f>IF(B76&lt;&gt;"",72,"")</f>
        <v/>
      </c>
      <c r="B76" s="57"/>
      <c r="C76" s="57" t="str">
        <f>IFERROR(VLOOKUP(B76,'👥 بيانات الموظفين'!B:C,2,0),"")</f>
        <v/>
      </c>
      <c r="D76" s="57"/>
      <c r="E76" s="63"/>
      <c r="F76" s="58"/>
      <c r="G76" s="57"/>
      <c r="H76" s="57"/>
      <c r="I76" s="57"/>
      <c r="J76" s="57"/>
      <c r="K76" s="57"/>
    </row>
    <row r="77" spans="1:11" ht="22.15" customHeight="1" x14ac:dyDescent="0.2">
      <c r="A77" s="53" t="str">
        <f>IF(B77&lt;&gt;"",73,"")</f>
        <v/>
      </c>
      <c r="B77" s="53"/>
      <c r="C77" s="53" t="str">
        <f>IFERROR(VLOOKUP(B77,'👥 بيانات الموظفين'!B:C,2,0),"")</f>
        <v/>
      </c>
      <c r="D77" s="53"/>
      <c r="E77" s="62"/>
      <c r="F77" s="54"/>
      <c r="G77" s="53"/>
      <c r="H77" s="53"/>
      <c r="I77" s="53"/>
      <c r="J77" s="53"/>
      <c r="K77" s="53"/>
    </row>
    <row r="78" spans="1:11" ht="22.15" customHeight="1" x14ac:dyDescent="0.2">
      <c r="A78" s="57" t="str">
        <f>IF(B78&lt;&gt;"",74,"")</f>
        <v/>
      </c>
      <c r="B78" s="57"/>
      <c r="C78" s="57" t="str">
        <f>IFERROR(VLOOKUP(B78,'👥 بيانات الموظفين'!B:C,2,0),"")</f>
        <v/>
      </c>
      <c r="D78" s="57"/>
      <c r="E78" s="63"/>
      <c r="F78" s="58"/>
      <c r="G78" s="57"/>
      <c r="H78" s="57"/>
      <c r="I78" s="57"/>
      <c r="J78" s="57"/>
      <c r="K78" s="57"/>
    </row>
    <row r="79" spans="1:11" ht="22.15" customHeight="1" x14ac:dyDescent="0.2">
      <c r="A79" s="53" t="str">
        <f>IF(B79&lt;&gt;"",75,"")</f>
        <v/>
      </c>
      <c r="B79" s="53"/>
      <c r="C79" s="53" t="str">
        <f>IFERROR(VLOOKUP(B79,'👥 بيانات الموظفين'!B:C,2,0),"")</f>
        <v/>
      </c>
      <c r="D79" s="53"/>
      <c r="E79" s="62"/>
      <c r="F79" s="54"/>
      <c r="G79" s="53"/>
      <c r="H79" s="53"/>
      <c r="I79" s="53"/>
      <c r="J79" s="53"/>
      <c r="K79" s="53"/>
    </row>
    <row r="80" spans="1:11" ht="22.15" customHeight="1" x14ac:dyDescent="0.2">
      <c r="A80" s="57" t="str">
        <f>IF(B80&lt;&gt;"",76,"")</f>
        <v/>
      </c>
      <c r="B80" s="57"/>
      <c r="C80" s="57" t="str">
        <f>IFERROR(VLOOKUP(B80,'👥 بيانات الموظفين'!B:C,2,0),"")</f>
        <v/>
      </c>
      <c r="D80" s="57"/>
      <c r="E80" s="63"/>
      <c r="F80" s="58"/>
      <c r="G80" s="57"/>
      <c r="H80" s="57"/>
      <c r="I80" s="57"/>
      <c r="J80" s="57"/>
      <c r="K80" s="57"/>
    </row>
    <row r="81" spans="1:11" ht="22.15" customHeight="1" x14ac:dyDescent="0.2">
      <c r="A81" s="53" t="str">
        <f>IF(B81&lt;&gt;"",77,"")</f>
        <v/>
      </c>
      <c r="B81" s="53"/>
      <c r="C81" s="53" t="str">
        <f>IFERROR(VLOOKUP(B81,'👥 بيانات الموظفين'!B:C,2,0),"")</f>
        <v/>
      </c>
      <c r="D81" s="53"/>
      <c r="E81" s="62"/>
      <c r="F81" s="54"/>
      <c r="G81" s="53"/>
      <c r="H81" s="53"/>
      <c r="I81" s="53"/>
      <c r="J81" s="53"/>
      <c r="K81" s="53"/>
    </row>
    <row r="82" spans="1:11" ht="22.15" customHeight="1" x14ac:dyDescent="0.2">
      <c r="A82" s="57" t="str">
        <f>IF(B82&lt;&gt;"",78,"")</f>
        <v/>
      </c>
      <c r="B82" s="57"/>
      <c r="C82" s="57" t="str">
        <f>IFERROR(VLOOKUP(B82,'👥 بيانات الموظفين'!B:C,2,0),"")</f>
        <v/>
      </c>
      <c r="D82" s="57"/>
      <c r="E82" s="63"/>
      <c r="F82" s="58"/>
      <c r="G82" s="57"/>
      <c r="H82" s="57"/>
      <c r="I82" s="57"/>
      <c r="J82" s="57"/>
      <c r="K82" s="57"/>
    </row>
    <row r="83" spans="1:11" ht="22.15" customHeight="1" x14ac:dyDescent="0.2">
      <c r="A83" s="53" t="str">
        <f>IF(B83&lt;&gt;"",79,"")</f>
        <v/>
      </c>
      <c r="B83" s="53"/>
      <c r="C83" s="53" t="str">
        <f>IFERROR(VLOOKUP(B83,'👥 بيانات الموظفين'!B:C,2,0),"")</f>
        <v/>
      </c>
      <c r="D83" s="53"/>
      <c r="E83" s="62"/>
      <c r="F83" s="54"/>
      <c r="G83" s="53"/>
      <c r="H83" s="53"/>
      <c r="I83" s="53"/>
      <c r="J83" s="53"/>
      <c r="K83" s="53"/>
    </row>
    <row r="84" spans="1:11" ht="22.15" customHeight="1" x14ac:dyDescent="0.2">
      <c r="A84" s="57" t="str">
        <f>IF(B84&lt;&gt;"",80,"")</f>
        <v/>
      </c>
      <c r="B84" s="57"/>
      <c r="C84" s="57" t="str">
        <f>IFERROR(VLOOKUP(B84,'👥 بيانات الموظفين'!B:C,2,0),"")</f>
        <v/>
      </c>
      <c r="D84" s="57"/>
      <c r="E84" s="63"/>
      <c r="F84" s="58"/>
      <c r="G84" s="57"/>
      <c r="H84" s="57"/>
      <c r="I84" s="57"/>
      <c r="J84" s="57"/>
      <c r="K84" s="57"/>
    </row>
    <row r="85" spans="1:11" ht="22.15" customHeight="1" x14ac:dyDescent="0.2">
      <c r="A85" s="53" t="str">
        <f>IF(B85&lt;&gt;"",81,"")</f>
        <v/>
      </c>
      <c r="B85" s="53"/>
      <c r="C85" s="53" t="str">
        <f>IFERROR(VLOOKUP(B85,'👥 بيانات الموظفين'!B:C,2,0),"")</f>
        <v/>
      </c>
      <c r="D85" s="53"/>
      <c r="E85" s="62"/>
      <c r="F85" s="54"/>
      <c r="G85" s="53"/>
      <c r="H85" s="53"/>
      <c r="I85" s="53"/>
      <c r="J85" s="53"/>
      <c r="K85" s="53"/>
    </row>
    <row r="86" spans="1:11" ht="22.15" customHeight="1" x14ac:dyDescent="0.2">
      <c r="A86" s="57" t="str">
        <f>IF(B86&lt;&gt;"",82,"")</f>
        <v/>
      </c>
      <c r="B86" s="57"/>
      <c r="C86" s="57" t="str">
        <f>IFERROR(VLOOKUP(B86,'👥 بيانات الموظفين'!B:C,2,0),"")</f>
        <v/>
      </c>
      <c r="D86" s="57"/>
      <c r="E86" s="63"/>
      <c r="F86" s="58"/>
      <c r="G86" s="57"/>
      <c r="H86" s="57"/>
      <c r="I86" s="57"/>
      <c r="J86" s="57"/>
      <c r="K86" s="57"/>
    </row>
    <row r="87" spans="1:11" ht="22.15" customHeight="1" x14ac:dyDescent="0.2">
      <c r="A87" s="53" t="str">
        <f>IF(B87&lt;&gt;"",83,"")</f>
        <v/>
      </c>
      <c r="B87" s="53"/>
      <c r="C87" s="53" t="str">
        <f>IFERROR(VLOOKUP(B87,'👥 بيانات الموظفين'!B:C,2,0),"")</f>
        <v/>
      </c>
      <c r="D87" s="53"/>
      <c r="E87" s="62"/>
      <c r="F87" s="54"/>
      <c r="G87" s="53"/>
      <c r="H87" s="53"/>
      <c r="I87" s="53"/>
      <c r="J87" s="53"/>
      <c r="K87" s="53"/>
    </row>
    <row r="88" spans="1:11" ht="22.15" customHeight="1" x14ac:dyDescent="0.2">
      <c r="A88" s="57" t="str">
        <f>IF(B88&lt;&gt;"",84,"")</f>
        <v/>
      </c>
      <c r="B88" s="57"/>
      <c r="C88" s="57" t="str">
        <f>IFERROR(VLOOKUP(B88,'👥 بيانات الموظفين'!B:C,2,0),"")</f>
        <v/>
      </c>
      <c r="D88" s="57"/>
      <c r="E88" s="63"/>
      <c r="F88" s="58"/>
      <c r="G88" s="57"/>
      <c r="H88" s="57"/>
      <c r="I88" s="57"/>
      <c r="J88" s="57"/>
      <c r="K88" s="57"/>
    </row>
    <row r="89" spans="1:11" ht="22.15" customHeight="1" x14ac:dyDescent="0.2">
      <c r="A89" s="53" t="str">
        <f>IF(B89&lt;&gt;"",85,"")</f>
        <v/>
      </c>
      <c r="B89" s="53"/>
      <c r="C89" s="53" t="str">
        <f>IFERROR(VLOOKUP(B89,'👥 بيانات الموظفين'!B:C,2,0),"")</f>
        <v/>
      </c>
      <c r="D89" s="53"/>
      <c r="E89" s="62"/>
      <c r="F89" s="54"/>
      <c r="G89" s="53"/>
      <c r="H89" s="53"/>
      <c r="I89" s="53"/>
      <c r="J89" s="53"/>
      <c r="K89" s="53"/>
    </row>
    <row r="90" spans="1:11" ht="22.15" customHeight="1" x14ac:dyDescent="0.2">
      <c r="A90" s="57" t="str">
        <f>IF(B90&lt;&gt;"",86,"")</f>
        <v/>
      </c>
      <c r="B90" s="57"/>
      <c r="C90" s="57" t="str">
        <f>IFERROR(VLOOKUP(B90,'👥 بيانات الموظفين'!B:C,2,0),"")</f>
        <v/>
      </c>
      <c r="D90" s="57"/>
      <c r="E90" s="63"/>
      <c r="F90" s="58"/>
      <c r="G90" s="57"/>
      <c r="H90" s="57"/>
      <c r="I90" s="57"/>
      <c r="J90" s="57"/>
      <c r="K90" s="57"/>
    </row>
    <row r="91" spans="1:11" ht="22.15" customHeight="1" x14ac:dyDescent="0.2">
      <c r="A91" s="53" t="str">
        <f>IF(B91&lt;&gt;"",87,"")</f>
        <v/>
      </c>
      <c r="B91" s="53"/>
      <c r="C91" s="53" t="str">
        <f>IFERROR(VLOOKUP(B91,'👥 بيانات الموظفين'!B:C,2,0),"")</f>
        <v/>
      </c>
      <c r="D91" s="53"/>
      <c r="E91" s="62"/>
      <c r="F91" s="54"/>
      <c r="G91" s="53"/>
      <c r="H91" s="53"/>
      <c r="I91" s="53"/>
      <c r="J91" s="53"/>
      <c r="K91" s="53"/>
    </row>
    <row r="92" spans="1:11" ht="22.15" customHeight="1" x14ac:dyDescent="0.2">
      <c r="A92" s="57" t="str">
        <f>IF(B92&lt;&gt;"",88,"")</f>
        <v/>
      </c>
      <c r="B92" s="57"/>
      <c r="C92" s="57" t="str">
        <f>IFERROR(VLOOKUP(B92,'👥 بيانات الموظفين'!B:C,2,0),"")</f>
        <v/>
      </c>
      <c r="D92" s="57"/>
      <c r="E92" s="63"/>
      <c r="F92" s="58"/>
      <c r="G92" s="57"/>
      <c r="H92" s="57"/>
      <c r="I92" s="57"/>
      <c r="J92" s="57"/>
      <c r="K92" s="57"/>
    </row>
    <row r="93" spans="1:11" ht="22.15" customHeight="1" x14ac:dyDescent="0.2">
      <c r="A93" s="53" t="str">
        <f>IF(B93&lt;&gt;"",89,"")</f>
        <v/>
      </c>
      <c r="B93" s="53"/>
      <c r="C93" s="53" t="str">
        <f>IFERROR(VLOOKUP(B93,'👥 بيانات الموظفين'!B:C,2,0),"")</f>
        <v/>
      </c>
      <c r="D93" s="53"/>
      <c r="E93" s="62"/>
      <c r="F93" s="54"/>
      <c r="G93" s="53"/>
      <c r="H93" s="53"/>
      <c r="I93" s="53"/>
      <c r="J93" s="53"/>
      <c r="K93" s="53"/>
    </row>
    <row r="94" spans="1:11" ht="22.15" customHeight="1" x14ac:dyDescent="0.2">
      <c r="A94" s="57" t="str">
        <f>IF(B94&lt;&gt;"",90,"")</f>
        <v/>
      </c>
      <c r="B94" s="57"/>
      <c r="C94" s="57" t="str">
        <f>IFERROR(VLOOKUP(B94,'👥 بيانات الموظفين'!B:C,2,0),"")</f>
        <v/>
      </c>
      <c r="D94" s="57"/>
      <c r="E94" s="63"/>
      <c r="F94" s="58"/>
      <c r="G94" s="57"/>
      <c r="H94" s="57"/>
      <c r="I94" s="57"/>
      <c r="J94" s="57"/>
      <c r="K94" s="57"/>
    </row>
    <row r="95" spans="1:11" ht="22.15" customHeight="1" x14ac:dyDescent="0.2">
      <c r="A95" s="53" t="str">
        <f>IF(B95&lt;&gt;"",91,"")</f>
        <v/>
      </c>
      <c r="B95" s="53"/>
      <c r="C95" s="53" t="str">
        <f>IFERROR(VLOOKUP(B95,'👥 بيانات الموظفين'!B:C,2,0),"")</f>
        <v/>
      </c>
      <c r="D95" s="53"/>
      <c r="E95" s="62"/>
      <c r="F95" s="54"/>
      <c r="G95" s="53"/>
      <c r="H95" s="53"/>
      <c r="I95" s="53"/>
      <c r="J95" s="53"/>
      <c r="K95" s="53"/>
    </row>
    <row r="96" spans="1:11" ht="22.15" customHeight="1" x14ac:dyDescent="0.2">
      <c r="A96" s="57" t="str">
        <f>IF(B96&lt;&gt;"",92,"")</f>
        <v/>
      </c>
      <c r="B96" s="57"/>
      <c r="C96" s="57" t="str">
        <f>IFERROR(VLOOKUP(B96,'👥 بيانات الموظفين'!B:C,2,0),"")</f>
        <v/>
      </c>
      <c r="D96" s="57"/>
      <c r="E96" s="63"/>
      <c r="F96" s="58"/>
      <c r="G96" s="57"/>
      <c r="H96" s="57"/>
      <c r="I96" s="57"/>
      <c r="J96" s="57"/>
      <c r="K96" s="57"/>
    </row>
    <row r="97" spans="1:11" ht="22.15" customHeight="1" x14ac:dyDescent="0.2">
      <c r="A97" s="53" t="str">
        <f>IF(B97&lt;&gt;"",93,"")</f>
        <v/>
      </c>
      <c r="B97" s="53"/>
      <c r="C97" s="53" t="str">
        <f>IFERROR(VLOOKUP(B97,'👥 بيانات الموظفين'!B:C,2,0),"")</f>
        <v/>
      </c>
      <c r="D97" s="53"/>
      <c r="E97" s="62"/>
      <c r="F97" s="54"/>
      <c r="G97" s="53"/>
      <c r="H97" s="53"/>
      <c r="I97" s="53"/>
      <c r="J97" s="53"/>
      <c r="K97" s="53"/>
    </row>
    <row r="98" spans="1:11" ht="22.15" customHeight="1" x14ac:dyDescent="0.2">
      <c r="A98" s="57" t="str">
        <f>IF(B98&lt;&gt;"",94,"")</f>
        <v/>
      </c>
      <c r="B98" s="57"/>
      <c r="C98" s="57" t="str">
        <f>IFERROR(VLOOKUP(B98,'👥 بيانات الموظفين'!B:C,2,0),"")</f>
        <v/>
      </c>
      <c r="D98" s="57"/>
      <c r="E98" s="63"/>
      <c r="F98" s="58"/>
      <c r="G98" s="57"/>
      <c r="H98" s="57"/>
      <c r="I98" s="57"/>
      <c r="J98" s="57"/>
      <c r="K98" s="57"/>
    </row>
    <row r="99" spans="1:11" ht="22.15" customHeight="1" x14ac:dyDescent="0.2">
      <c r="A99" s="53" t="str">
        <f>IF(B99&lt;&gt;"",95,"")</f>
        <v/>
      </c>
      <c r="B99" s="53"/>
      <c r="C99" s="53" t="str">
        <f>IFERROR(VLOOKUP(B99,'👥 بيانات الموظفين'!B:C,2,0),"")</f>
        <v/>
      </c>
      <c r="D99" s="53"/>
      <c r="E99" s="62"/>
      <c r="F99" s="54"/>
      <c r="G99" s="53"/>
      <c r="H99" s="53"/>
      <c r="I99" s="53"/>
      <c r="J99" s="53"/>
      <c r="K99" s="53"/>
    </row>
    <row r="100" spans="1:11" ht="22.15" customHeight="1" x14ac:dyDescent="0.2">
      <c r="A100" s="57" t="str">
        <f>IF(B100&lt;&gt;"",96,"")</f>
        <v/>
      </c>
      <c r="B100" s="57"/>
      <c r="C100" s="57" t="str">
        <f>IFERROR(VLOOKUP(B100,'👥 بيانات الموظفين'!B:C,2,0),"")</f>
        <v/>
      </c>
      <c r="D100" s="57"/>
      <c r="E100" s="63"/>
      <c r="F100" s="58"/>
      <c r="G100" s="57"/>
      <c r="H100" s="57"/>
      <c r="I100" s="57"/>
      <c r="J100" s="57"/>
      <c r="K100" s="57"/>
    </row>
    <row r="101" spans="1:11" ht="22.15" customHeight="1" x14ac:dyDescent="0.2">
      <c r="A101" s="53" t="str">
        <f>IF(B101&lt;&gt;"",97,"")</f>
        <v/>
      </c>
      <c r="B101" s="53"/>
      <c r="C101" s="53" t="str">
        <f>IFERROR(VLOOKUP(B101,'👥 بيانات الموظفين'!B:C,2,0),"")</f>
        <v/>
      </c>
      <c r="D101" s="53"/>
      <c r="E101" s="62"/>
      <c r="F101" s="54"/>
      <c r="G101" s="53"/>
      <c r="H101" s="53"/>
      <c r="I101" s="53"/>
      <c r="J101" s="53"/>
      <c r="K101" s="53"/>
    </row>
    <row r="102" spans="1:11" ht="22.15" customHeight="1" x14ac:dyDescent="0.2">
      <c r="A102" s="57" t="str">
        <f>IF(B102&lt;&gt;"",98,"")</f>
        <v/>
      </c>
      <c r="B102" s="57"/>
      <c r="C102" s="57" t="str">
        <f>IFERROR(VLOOKUP(B102,'👥 بيانات الموظفين'!B:C,2,0),"")</f>
        <v/>
      </c>
      <c r="D102" s="57"/>
      <c r="E102" s="63"/>
      <c r="F102" s="58"/>
      <c r="G102" s="57"/>
      <c r="H102" s="57"/>
      <c r="I102" s="57"/>
      <c r="J102" s="57"/>
      <c r="K102" s="57"/>
    </row>
    <row r="103" spans="1:11" ht="22.15" customHeight="1" x14ac:dyDescent="0.2">
      <c r="A103" s="53" t="str">
        <f>IF(B103&lt;&gt;"",99,"")</f>
        <v/>
      </c>
      <c r="B103" s="53"/>
      <c r="C103" s="53" t="str">
        <f>IFERROR(VLOOKUP(B103,'👥 بيانات الموظفين'!B:C,2,0),"")</f>
        <v/>
      </c>
      <c r="D103" s="53"/>
      <c r="E103" s="62"/>
      <c r="F103" s="54"/>
      <c r="G103" s="53"/>
      <c r="H103" s="53"/>
      <c r="I103" s="53"/>
      <c r="J103" s="53"/>
      <c r="K103" s="53"/>
    </row>
    <row r="104" spans="1:11" ht="22.15" customHeight="1" x14ac:dyDescent="0.2">
      <c r="A104" s="57" t="str">
        <f>IF(B104&lt;&gt;"",100,"")</f>
        <v/>
      </c>
      <c r="B104" s="57"/>
      <c r="C104" s="57" t="str">
        <f>IFERROR(VLOOKUP(B104,'👥 بيانات الموظفين'!B:C,2,0),"")</f>
        <v/>
      </c>
      <c r="D104" s="57"/>
      <c r="E104" s="63"/>
      <c r="F104" s="58"/>
      <c r="G104" s="57"/>
      <c r="H104" s="57"/>
      <c r="I104" s="57"/>
      <c r="J104" s="57"/>
      <c r="K104" s="57"/>
    </row>
    <row r="105" spans="1:11" ht="22.15" customHeight="1" x14ac:dyDescent="0.2">
      <c r="A105" s="53" t="str">
        <f>IF(B105&lt;&gt;"",101,"")</f>
        <v/>
      </c>
      <c r="B105" s="53"/>
      <c r="C105" s="53" t="str">
        <f>IFERROR(VLOOKUP(B105,'👥 بيانات الموظفين'!B:C,2,0),"")</f>
        <v/>
      </c>
      <c r="D105" s="53"/>
      <c r="E105" s="62"/>
      <c r="F105" s="54"/>
      <c r="G105" s="53"/>
      <c r="H105" s="53"/>
      <c r="I105" s="53"/>
      <c r="J105" s="53"/>
      <c r="K105" s="53"/>
    </row>
    <row r="106" spans="1:11" ht="22.15" customHeight="1" x14ac:dyDescent="0.2">
      <c r="A106" s="57" t="str">
        <f>IF(B106&lt;&gt;"",102,"")</f>
        <v/>
      </c>
      <c r="B106" s="57"/>
      <c r="C106" s="57" t="str">
        <f>IFERROR(VLOOKUP(B106,'👥 بيانات الموظفين'!B:C,2,0),"")</f>
        <v/>
      </c>
      <c r="D106" s="57"/>
      <c r="E106" s="63"/>
      <c r="F106" s="58"/>
      <c r="G106" s="57"/>
      <c r="H106" s="57"/>
      <c r="I106" s="57"/>
      <c r="J106" s="57"/>
      <c r="K106" s="57"/>
    </row>
    <row r="107" spans="1:11" ht="22.15" customHeight="1" x14ac:dyDescent="0.2">
      <c r="A107" s="53" t="str">
        <f>IF(B107&lt;&gt;"",103,"")</f>
        <v/>
      </c>
      <c r="B107" s="53"/>
      <c r="C107" s="53" t="str">
        <f>IFERROR(VLOOKUP(B107,'👥 بيانات الموظفين'!B:C,2,0),"")</f>
        <v/>
      </c>
      <c r="D107" s="53"/>
      <c r="E107" s="62"/>
      <c r="F107" s="54"/>
      <c r="G107" s="53"/>
      <c r="H107" s="53"/>
      <c r="I107" s="53"/>
      <c r="J107" s="53"/>
      <c r="K107" s="53"/>
    </row>
    <row r="108" spans="1:11" ht="22.15" customHeight="1" x14ac:dyDescent="0.2">
      <c r="A108" s="57" t="str">
        <f>IF(B108&lt;&gt;"",104,"")</f>
        <v/>
      </c>
      <c r="B108" s="57"/>
      <c r="C108" s="57" t="str">
        <f>IFERROR(VLOOKUP(B108,'👥 بيانات الموظفين'!B:C,2,0),"")</f>
        <v/>
      </c>
      <c r="D108" s="57"/>
      <c r="E108" s="63"/>
      <c r="F108" s="58"/>
      <c r="G108" s="57"/>
      <c r="H108" s="57"/>
      <c r="I108" s="57"/>
      <c r="J108" s="57"/>
      <c r="K108" s="57"/>
    </row>
    <row r="109" spans="1:11" ht="22.15" customHeight="1" x14ac:dyDescent="0.2">
      <c r="A109" s="53" t="str">
        <f>IF(B109&lt;&gt;"",105,"")</f>
        <v/>
      </c>
      <c r="B109" s="53"/>
      <c r="C109" s="53" t="str">
        <f>IFERROR(VLOOKUP(B109,'👥 بيانات الموظفين'!B:C,2,0),"")</f>
        <v/>
      </c>
      <c r="D109" s="53"/>
      <c r="E109" s="62"/>
      <c r="F109" s="54"/>
      <c r="G109" s="53"/>
      <c r="H109" s="53"/>
      <c r="I109" s="53"/>
      <c r="J109" s="53"/>
      <c r="K109" s="53"/>
    </row>
    <row r="110" spans="1:11" ht="22.15" customHeight="1" x14ac:dyDescent="0.2">
      <c r="A110" s="57" t="str">
        <f>IF(B110&lt;&gt;"",106,"")</f>
        <v/>
      </c>
      <c r="B110" s="57"/>
      <c r="C110" s="57" t="str">
        <f>IFERROR(VLOOKUP(B110,'👥 بيانات الموظفين'!B:C,2,0),"")</f>
        <v/>
      </c>
      <c r="D110" s="57"/>
      <c r="E110" s="63"/>
      <c r="F110" s="58"/>
      <c r="G110" s="57"/>
      <c r="H110" s="57"/>
      <c r="I110" s="57"/>
      <c r="J110" s="57"/>
      <c r="K110" s="57"/>
    </row>
    <row r="111" spans="1:11" ht="22.15" customHeight="1" x14ac:dyDescent="0.2">
      <c r="A111" s="53" t="str">
        <f>IF(B111&lt;&gt;"",107,"")</f>
        <v/>
      </c>
      <c r="B111" s="53"/>
      <c r="C111" s="53" t="str">
        <f>IFERROR(VLOOKUP(B111,'👥 بيانات الموظفين'!B:C,2,0),"")</f>
        <v/>
      </c>
      <c r="D111" s="53"/>
      <c r="E111" s="62"/>
      <c r="F111" s="54"/>
      <c r="G111" s="53"/>
      <c r="H111" s="53"/>
      <c r="I111" s="53"/>
      <c r="J111" s="53"/>
      <c r="K111" s="53"/>
    </row>
    <row r="112" spans="1:11" ht="22.15" customHeight="1" x14ac:dyDescent="0.2">
      <c r="A112" s="57" t="str">
        <f>IF(B112&lt;&gt;"",108,"")</f>
        <v/>
      </c>
      <c r="B112" s="57"/>
      <c r="C112" s="57" t="str">
        <f>IFERROR(VLOOKUP(B112,'👥 بيانات الموظفين'!B:C,2,0),"")</f>
        <v/>
      </c>
      <c r="D112" s="57"/>
      <c r="E112" s="63"/>
      <c r="F112" s="58"/>
      <c r="G112" s="57"/>
      <c r="H112" s="57"/>
      <c r="I112" s="57"/>
      <c r="J112" s="57"/>
      <c r="K112" s="57"/>
    </row>
    <row r="113" spans="1:11" ht="22.15" customHeight="1" x14ac:dyDescent="0.2">
      <c r="A113" s="53" t="str">
        <f>IF(B113&lt;&gt;"",109,"")</f>
        <v/>
      </c>
      <c r="B113" s="53"/>
      <c r="C113" s="53" t="str">
        <f>IFERROR(VLOOKUP(B113,'👥 بيانات الموظفين'!B:C,2,0),"")</f>
        <v/>
      </c>
      <c r="D113" s="53"/>
      <c r="E113" s="62"/>
      <c r="F113" s="54"/>
      <c r="G113" s="53"/>
      <c r="H113" s="53"/>
      <c r="I113" s="53"/>
      <c r="J113" s="53"/>
      <c r="K113" s="53"/>
    </row>
    <row r="114" spans="1:11" ht="22.15" customHeight="1" x14ac:dyDescent="0.2">
      <c r="A114" s="57" t="str">
        <f>IF(B114&lt;&gt;"",110,"")</f>
        <v/>
      </c>
      <c r="B114" s="57"/>
      <c r="C114" s="57" t="str">
        <f>IFERROR(VLOOKUP(B114,'👥 بيانات الموظفين'!B:C,2,0),"")</f>
        <v/>
      </c>
      <c r="D114" s="57"/>
      <c r="E114" s="63"/>
      <c r="F114" s="58"/>
      <c r="G114" s="57"/>
      <c r="H114" s="57"/>
      <c r="I114" s="57"/>
      <c r="J114" s="57"/>
      <c r="K114" s="57"/>
    </row>
    <row r="115" spans="1:11" ht="22.15" customHeight="1" x14ac:dyDescent="0.2">
      <c r="A115" s="53" t="str">
        <f>IF(B115&lt;&gt;"",111,"")</f>
        <v/>
      </c>
      <c r="B115" s="53"/>
      <c r="C115" s="53" t="str">
        <f>IFERROR(VLOOKUP(B115,'👥 بيانات الموظفين'!B:C,2,0),"")</f>
        <v/>
      </c>
      <c r="D115" s="53"/>
      <c r="E115" s="62"/>
      <c r="F115" s="54"/>
      <c r="G115" s="53"/>
      <c r="H115" s="53"/>
      <c r="I115" s="53"/>
      <c r="J115" s="53"/>
      <c r="K115" s="53"/>
    </row>
    <row r="116" spans="1:11" ht="22.15" customHeight="1" x14ac:dyDescent="0.2">
      <c r="A116" s="57" t="str">
        <f>IF(B116&lt;&gt;"",112,"")</f>
        <v/>
      </c>
      <c r="B116" s="57"/>
      <c r="C116" s="57" t="str">
        <f>IFERROR(VLOOKUP(B116,'👥 بيانات الموظفين'!B:C,2,0),"")</f>
        <v/>
      </c>
      <c r="D116" s="57"/>
      <c r="E116" s="63"/>
      <c r="F116" s="58"/>
      <c r="G116" s="57"/>
      <c r="H116" s="57"/>
      <c r="I116" s="57"/>
      <c r="J116" s="57"/>
      <c r="K116" s="57"/>
    </row>
    <row r="117" spans="1:11" ht="22.15" customHeight="1" x14ac:dyDescent="0.2">
      <c r="A117" s="53" t="str">
        <f>IF(B117&lt;&gt;"",113,"")</f>
        <v/>
      </c>
      <c r="B117" s="53"/>
      <c r="C117" s="53" t="str">
        <f>IFERROR(VLOOKUP(B117,'👥 بيانات الموظفين'!B:C,2,0),"")</f>
        <v/>
      </c>
      <c r="D117" s="53"/>
      <c r="E117" s="62"/>
      <c r="F117" s="54"/>
      <c r="G117" s="53"/>
      <c r="H117" s="53"/>
      <c r="I117" s="53"/>
      <c r="J117" s="53"/>
      <c r="K117" s="53"/>
    </row>
    <row r="118" spans="1:11" ht="22.15" customHeight="1" x14ac:dyDescent="0.2">
      <c r="A118" s="57" t="str">
        <f>IF(B118&lt;&gt;"",114,"")</f>
        <v/>
      </c>
      <c r="B118" s="57"/>
      <c r="C118" s="57" t="str">
        <f>IFERROR(VLOOKUP(B118,'👥 بيانات الموظفين'!B:C,2,0),"")</f>
        <v/>
      </c>
      <c r="D118" s="57"/>
      <c r="E118" s="63"/>
      <c r="F118" s="58"/>
      <c r="G118" s="57"/>
      <c r="H118" s="57"/>
      <c r="I118" s="57"/>
      <c r="J118" s="57"/>
      <c r="K118" s="57"/>
    </row>
    <row r="119" spans="1:11" ht="22.15" customHeight="1" x14ac:dyDescent="0.2">
      <c r="A119" s="53" t="str">
        <f>IF(B119&lt;&gt;"",115,"")</f>
        <v/>
      </c>
      <c r="B119" s="53"/>
      <c r="C119" s="53" t="str">
        <f>IFERROR(VLOOKUP(B119,'👥 بيانات الموظفين'!B:C,2,0),"")</f>
        <v/>
      </c>
      <c r="D119" s="53"/>
      <c r="E119" s="62"/>
      <c r="F119" s="54"/>
      <c r="G119" s="53"/>
      <c r="H119" s="53"/>
      <c r="I119" s="53"/>
      <c r="J119" s="53"/>
      <c r="K119" s="53"/>
    </row>
    <row r="120" spans="1:11" ht="22.15" customHeight="1" x14ac:dyDescent="0.2">
      <c r="A120" s="57" t="str">
        <f>IF(B120&lt;&gt;"",116,"")</f>
        <v/>
      </c>
      <c r="B120" s="57"/>
      <c r="C120" s="57" t="str">
        <f>IFERROR(VLOOKUP(B120,'👥 بيانات الموظفين'!B:C,2,0),"")</f>
        <v/>
      </c>
      <c r="D120" s="57"/>
      <c r="E120" s="63"/>
      <c r="F120" s="58"/>
      <c r="G120" s="57"/>
      <c r="H120" s="57"/>
      <c r="I120" s="57"/>
      <c r="J120" s="57"/>
      <c r="K120" s="57"/>
    </row>
    <row r="121" spans="1:11" ht="22.15" customHeight="1" x14ac:dyDescent="0.2">
      <c r="A121" s="53" t="str">
        <f>IF(B121&lt;&gt;"",117,"")</f>
        <v/>
      </c>
      <c r="B121" s="53"/>
      <c r="C121" s="53" t="str">
        <f>IFERROR(VLOOKUP(B121,'👥 بيانات الموظفين'!B:C,2,0),"")</f>
        <v/>
      </c>
      <c r="D121" s="53"/>
      <c r="E121" s="62"/>
      <c r="F121" s="54"/>
      <c r="G121" s="53"/>
      <c r="H121" s="53"/>
      <c r="I121" s="53"/>
      <c r="J121" s="53"/>
      <c r="K121" s="53"/>
    </row>
    <row r="122" spans="1:11" ht="22.15" customHeight="1" x14ac:dyDescent="0.2">
      <c r="A122" s="57" t="str">
        <f>IF(B122&lt;&gt;"",118,"")</f>
        <v/>
      </c>
      <c r="B122" s="57"/>
      <c r="C122" s="57" t="str">
        <f>IFERROR(VLOOKUP(B122,'👥 بيانات الموظفين'!B:C,2,0),"")</f>
        <v/>
      </c>
      <c r="D122" s="57"/>
      <c r="E122" s="63"/>
      <c r="F122" s="58"/>
      <c r="G122" s="57"/>
      <c r="H122" s="57"/>
      <c r="I122" s="57"/>
      <c r="J122" s="57"/>
      <c r="K122" s="57"/>
    </row>
    <row r="123" spans="1:11" ht="22.15" customHeight="1" x14ac:dyDescent="0.2">
      <c r="A123" s="53" t="str">
        <f>IF(B123&lt;&gt;"",119,"")</f>
        <v/>
      </c>
      <c r="B123" s="53"/>
      <c r="C123" s="53" t="str">
        <f>IFERROR(VLOOKUP(B123,'👥 بيانات الموظفين'!B:C,2,0),"")</f>
        <v/>
      </c>
      <c r="D123" s="53"/>
      <c r="E123" s="62"/>
      <c r="F123" s="54"/>
      <c r="G123" s="53"/>
      <c r="H123" s="53"/>
      <c r="I123" s="53"/>
      <c r="J123" s="53"/>
      <c r="K123" s="53"/>
    </row>
    <row r="124" spans="1:11" ht="22.15" customHeight="1" x14ac:dyDescent="0.2">
      <c r="A124" s="57" t="str">
        <f>IF(B124&lt;&gt;"",120,"")</f>
        <v/>
      </c>
      <c r="B124" s="57"/>
      <c r="C124" s="57" t="str">
        <f>IFERROR(VLOOKUP(B124,'👥 بيانات الموظفين'!B:C,2,0),"")</f>
        <v/>
      </c>
      <c r="D124" s="57"/>
      <c r="E124" s="63"/>
      <c r="F124" s="58"/>
      <c r="G124" s="57"/>
      <c r="H124" s="57"/>
      <c r="I124" s="57"/>
      <c r="J124" s="57"/>
      <c r="K124" s="57"/>
    </row>
    <row r="125" spans="1:11" ht="22.15" customHeight="1" x14ac:dyDescent="0.2">
      <c r="A125" s="53" t="str">
        <f>IF(B125&lt;&gt;"",121,"")</f>
        <v/>
      </c>
      <c r="B125" s="53"/>
      <c r="C125" s="53" t="str">
        <f>IFERROR(VLOOKUP(B125,'👥 بيانات الموظفين'!B:C,2,0),"")</f>
        <v/>
      </c>
      <c r="D125" s="53"/>
      <c r="E125" s="62"/>
      <c r="F125" s="54"/>
      <c r="G125" s="53"/>
      <c r="H125" s="53"/>
      <c r="I125" s="53"/>
      <c r="J125" s="53"/>
      <c r="K125" s="53"/>
    </row>
    <row r="126" spans="1:11" ht="22.15" customHeight="1" x14ac:dyDescent="0.2">
      <c r="A126" s="57" t="str">
        <f>IF(B126&lt;&gt;"",122,"")</f>
        <v/>
      </c>
      <c r="B126" s="57"/>
      <c r="C126" s="57" t="str">
        <f>IFERROR(VLOOKUP(B126,'👥 بيانات الموظفين'!B:C,2,0),"")</f>
        <v/>
      </c>
      <c r="D126" s="57"/>
      <c r="E126" s="63"/>
      <c r="F126" s="58"/>
      <c r="G126" s="57"/>
      <c r="H126" s="57"/>
      <c r="I126" s="57"/>
      <c r="J126" s="57"/>
      <c r="K126" s="57"/>
    </row>
    <row r="127" spans="1:11" ht="22.15" customHeight="1" x14ac:dyDescent="0.2">
      <c r="A127" s="53" t="str">
        <f>IF(B127&lt;&gt;"",123,"")</f>
        <v/>
      </c>
      <c r="B127" s="53"/>
      <c r="C127" s="53" t="str">
        <f>IFERROR(VLOOKUP(B127,'👥 بيانات الموظفين'!B:C,2,0),"")</f>
        <v/>
      </c>
      <c r="D127" s="53"/>
      <c r="E127" s="62"/>
      <c r="F127" s="54"/>
      <c r="G127" s="53"/>
      <c r="H127" s="53"/>
      <c r="I127" s="53"/>
      <c r="J127" s="53"/>
      <c r="K127" s="53"/>
    </row>
    <row r="128" spans="1:11" ht="22.15" customHeight="1" x14ac:dyDescent="0.2">
      <c r="A128" s="57" t="str">
        <f>IF(B128&lt;&gt;"",124,"")</f>
        <v/>
      </c>
      <c r="B128" s="57"/>
      <c r="C128" s="57" t="str">
        <f>IFERROR(VLOOKUP(B128,'👥 بيانات الموظفين'!B:C,2,0),"")</f>
        <v/>
      </c>
      <c r="D128" s="57"/>
      <c r="E128" s="63"/>
      <c r="F128" s="58"/>
      <c r="G128" s="57"/>
      <c r="H128" s="57"/>
      <c r="I128" s="57"/>
      <c r="J128" s="57"/>
      <c r="K128" s="57"/>
    </row>
    <row r="129" spans="1:11" ht="22.15" customHeight="1" x14ac:dyDescent="0.2">
      <c r="A129" s="53" t="str">
        <f>IF(B129&lt;&gt;"",125,"")</f>
        <v/>
      </c>
      <c r="B129" s="53"/>
      <c r="C129" s="53" t="str">
        <f>IFERROR(VLOOKUP(B129,'👥 بيانات الموظفين'!B:C,2,0),"")</f>
        <v/>
      </c>
      <c r="D129" s="53"/>
      <c r="E129" s="62"/>
      <c r="F129" s="54"/>
      <c r="G129" s="53"/>
      <c r="H129" s="53"/>
      <c r="I129" s="53"/>
      <c r="J129" s="53"/>
      <c r="K129" s="53"/>
    </row>
    <row r="130" spans="1:11" ht="22.15" customHeight="1" x14ac:dyDescent="0.2">
      <c r="A130" s="57" t="str">
        <f>IF(B130&lt;&gt;"",126,"")</f>
        <v/>
      </c>
      <c r="B130" s="57"/>
      <c r="C130" s="57" t="str">
        <f>IFERROR(VLOOKUP(B130,'👥 بيانات الموظفين'!B:C,2,0),"")</f>
        <v/>
      </c>
      <c r="D130" s="57"/>
      <c r="E130" s="63"/>
      <c r="F130" s="58"/>
      <c r="G130" s="57"/>
      <c r="H130" s="57"/>
      <c r="I130" s="57"/>
      <c r="J130" s="57"/>
      <c r="K130" s="57"/>
    </row>
    <row r="131" spans="1:11" ht="22.15" customHeight="1" x14ac:dyDescent="0.2">
      <c r="A131" s="53" t="str">
        <f>IF(B131&lt;&gt;"",127,"")</f>
        <v/>
      </c>
      <c r="B131" s="53"/>
      <c r="C131" s="53" t="str">
        <f>IFERROR(VLOOKUP(B131,'👥 بيانات الموظفين'!B:C,2,0),"")</f>
        <v/>
      </c>
      <c r="D131" s="53"/>
      <c r="E131" s="62"/>
      <c r="F131" s="54"/>
      <c r="G131" s="53"/>
      <c r="H131" s="53"/>
      <c r="I131" s="53"/>
      <c r="J131" s="53"/>
      <c r="K131" s="53"/>
    </row>
    <row r="132" spans="1:11" ht="22.15" customHeight="1" x14ac:dyDescent="0.2">
      <c r="A132" s="57" t="str">
        <f>IF(B132&lt;&gt;"",128,"")</f>
        <v/>
      </c>
      <c r="B132" s="57"/>
      <c r="C132" s="57" t="str">
        <f>IFERROR(VLOOKUP(B132,'👥 بيانات الموظفين'!B:C,2,0),"")</f>
        <v/>
      </c>
      <c r="D132" s="57"/>
      <c r="E132" s="63"/>
      <c r="F132" s="58"/>
      <c r="G132" s="57"/>
      <c r="H132" s="57"/>
      <c r="I132" s="57"/>
      <c r="J132" s="57"/>
      <c r="K132" s="57"/>
    </row>
    <row r="133" spans="1:11" ht="22.15" customHeight="1" x14ac:dyDescent="0.2">
      <c r="A133" s="53" t="str">
        <f>IF(B133&lt;&gt;"",129,"")</f>
        <v/>
      </c>
      <c r="B133" s="53"/>
      <c r="C133" s="53" t="str">
        <f>IFERROR(VLOOKUP(B133,'👥 بيانات الموظفين'!B:C,2,0),"")</f>
        <v/>
      </c>
      <c r="D133" s="53"/>
      <c r="E133" s="62"/>
      <c r="F133" s="54"/>
      <c r="G133" s="53"/>
      <c r="H133" s="53"/>
      <c r="I133" s="53"/>
      <c r="J133" s="53"/>
      <c r="K133" s="53"/>
    </row>
    <row r="134" spans="1:11" ht="22.15" customHeight="1" x14ac:dyDescent="0.2">
      <c r="A134" s="57" t="str">
        <f>IF(B134&lt;&gt;"",130,"")</f>
        <v/>
      </c>
      <c r="B134" s="57"/>
      <c r="C134" s="57" t="str">
        <f>IFERROR(VLOOKUP(B134,'👥 بيانات الموظفين'!B:C,2,0),"")</f>
        <v/>
      </c>
      <c r="D134" s="57"/>
      <c r="E134" s="63"/>
      <c r="F134" s="58"/>
      <c r="G134" s="57"/>
      <c r="H134" s="57"/>
      <c r="I134" s="57"/>
      <c r="J134" s="57"/>
      <c r="K134" s="57"/>
    </row>
    <row r="135" spans="1:11" ht="22.15" customHeight="1" x14ac:dyDescent="0.2">
      <c r="A135" s="53" t="str">
        <f>IF(B135&lt;&gt;"",131,"")</f>
        <v/>
      </c>
      <c r="B135" s="53"/>
      <c r="C135" s="53" t="str">
        <f>IFERROR(VLOOKUP(B135,'👥 بيانات الموظفين'!B:C,2,0),"")</f>
        <v/>
      </c>
      <c r="D135" s="53"/>
      <c r="E135" s="62"/>
      <c r="F135" s="54"/>
      <c r="G135" s="53"/>
      <c r="H135" s="53"/>
      <c r="I135" s="53"/>
      <c r="J135" s="53"/>
      <c r="K135" s="53"/>
    </row>
    <row r="136" spans="1:11" ht="22.15" customHeight="1" x14ac:dyDescent="0.2">
      <c r="A136" s="57" t="str">
        <f>IF(B136&lt;&gt;"",132,"")</f>
        <v/>
      </c>
      <c r="B136" s="57"/>
      <c r="C136" s="57" t="str">
        <f>IFERROR(VLOOKUP(B136,'👥 بيانات الموظفين'!B:C,2,0),"")</f>
        <v/>
      </c>
      <c r="D136" s="57"/>
      <c r="E136" s="63"/>
      <c r="F136" s="58"/>
      <c r="G136" s="57"/>
      <c r="H136" s="57"/>
      <c r="I136" s="57"/>
      <c r="J136" s="57"/>
      <c r="K136" s="57"/>
    </row>
    <row r="137" spans="1:11" ht="22.15" customHeight="1" x14ac:dyDescent="0.2">
      <c r="A137" s="53" t="str">
        <f>IF(B137&lt;&gt;"",133,"")</f>
        <v/>
      </c>
      <c r="B137" s="53"/>
      <c r="C137" s="53" t="str">
        <f>IFERROR(VLOOKUP(B137,'👥 بيانات الموظفين'!B:C,2,0),"")</f>
        <v/>
      </c>
      <c r="D137" s="53"/>
      <c r="E137" s="62"/>
      <c r="F137" s="54"/>
      <c r="G137" s="53"/>
      <c r="H137" s="53"/>
      <c r="I137" s="53"/>
      <c r="J137" s="53"/>
      <c r="K137" s="53"/>
    </row>
    <row r="138" spans="1:11" ht="22.15" customHeight="1" x14ac:dyDescent="0.2">
      <c r="A138" s="57" t="str">
        <f>IF(B138&lt;&gt;"",134,"")</f>
        <v/>
      </c>
      <c r="B138" s="57"/>
      <c r="C138" s="57" t="str">
        <f>IFERROR(VLOOKUP(B138,'👥 بيانات الموظفين'!B:C,2,0),"")</f>
        <v/>
      </c>
      <c r="D138" s="57"/>
      <c r="E138" s="63"/>
      <c r="F138" s="58"/>
      <c r="G138" s="57"/>
      <c r="H138" s="57"/>
      <c r="I138" s="57"/>
      <c r="J138" s="57"/>
      <c r="K138" s="57"/>
    </row>
    <row r="139" spans="1:11" ht="22.15" customHeight="1" x14ac:dyDescent="0.2">
      <c r="A139" s="53" t="str">
        <f>IF(B139&lt;&gt;"",135,"")</f>
        <v/>
      </c>
      <c r="B139" s="53"/>
      <c r="C139" s="53" t="str">
        <f>IFERROR(VLOOKUP(B139,'👥 بيانات الموظفين'!B:C,2,0),"")</f>
        <v/>
      </c>
      <c r="D139" s="53"/>
      <c r="E139" s="62"/>
      <c r="F139" s="54"/>
      <c r="G139" s="53"/>
      <c r="H139" s="53"/>
      <c r="I139" s="53"/>
      <c r="J139" s="53"/>
      <c r="K139" s="53"/>
    </row>
    <row r="140" spans="1:11" ht="22.15" customHeight="1" x14ac:dyDescent="0.2">
      <c r="A140" s="57" t="str">
        <f>IF(B140&lt;&gt;"",136,"")</f>
        <v/>
      </c>
      <c r="B140" s="57"/>
      <c r="C140" s="57" t="str">
        <f>IFERROR(VLOOKUP(B140,'👥 بيانات الموظفين'!B:C,2,0),"")</f>
        <v/>
      </c>
      <c r="D140" s="57"/>
      <c r="E140" s="63"/>
      <c r="F140" s="58"/>
      <c r="G140" s="57"/>
      <c r="H140" s="57"/>
      <c r="I140" s="57"/>
      <c r="J140" s="57"/>
      <c r="K140" s="57"/>
    </row>
    <row r="141" spans="1:11" ht="22.15" customHeight="1" x14ac:dyDescent="0.2">
      <c r="A141" s="53" t="str">
        <f>IF(B141&lt;&gt;"",137,"")</f>
        <v/>
      </c>
      <c r="B141" s="53"/>
      <c r="C141" s="53" t="str">
        <f>IFERROR(VLOOKUP(B141,'👥 بيانات الموظفين'!B:C,2,0),"")</f>
        <v/>
      </c>
      <c r="D141" s="53"/>
      <c r="E141" s="62"/>
      <c r="F141" s="54"/>
      <c r="G141" s="53"/>
      <c r="H141" s="53"/>
      <c r="I141" s="53"/>
      <c r="J141" s="53"/>
      <c r="K141" s="53"/>
    </row>
    <row r="142" spans="1:11" ht="22.15" customHeight="1" x14ac:dyDescent="0.2">
      <c r="A142" s="57" t="str">
        <f>IF(B142&lt;&gt;"",138,"")</f>
        <v/>
      </c>
      <c r="B142" s="57"/>
      <c r="C142" s="57" t="str">
        <f>IFERROR(VLOOKUP(B142,'👥 بيانات الموظفين'!B:C,2,0),"")</f>
        <v/>
      </c>
      <c r="D142" s="57"/>
      <c r="E142" s="63"/>
      <c r="F142" s="58"/>
      <c r="G142" s="57"/>
      <c r="H142" s="57"/>
      <c r="I142" s="57"/>
      <c r="J142" s="57"/>
      <c r="K142" s="57"/>
    </row>
    <row r="143" spans="1:11" ht="22.15" customHeight="1" x14ac:dyDescent="0.2">
      <c r="A143" s="53" t="str">
        <f>IF(B143&lt;&gt;"",139,"")</f>
        <v/>
      </c>
      <c r="B143" s="53"/>
      <c r="C143" s="53" t="str">
        <f>IFERROR(VLOOKUP(B143,'👥 بيانات الموظفين'!B:C,2,0),"")</f>
        <v/>
      </c>
      <c r="D143" s="53"/>
      <c r="E143" s="62"/>
      <c r="F143" s="54"/>
      <c r="G143" s="53"/>
      <c r="H143" s="53"/>
      <c r="I143" s="53"/>
      <c r="J143" s="53"/>
      <c r="K143" s="53"/>
    </row>
    <row r="144" spans="1:11" ht="22.15" customHeight="1" x14ac:dyDescent="0.2">
      <c r="A144" s="57" t="str">
        <f>IF(B144&lt;&gt;"",140,"")</f>
        <v/>
      </c>
      <c r="B144" s="57"/>
      <c r="C144" s="57" t="str">
        <f>IFERROR(VLOOKUP(B144,'👥 بيانات الموظفين'!B:C,2,0),"")</f>
        <v/>
      </c>
      <c r="D144" s="57"/>
      <c r="E144" s="63"/>
      <c r="F144" s="58"/>
      <c r="G144" s="57"/>
      <c r="H144" s="57"/>
      <c r="I144" s="57"/>
      <c r="J144" s="57"/>
      <c r="K144" s="57"/>
    </row>
    <row r="145" spans="1:11" ht="22.15" customHeight="1" x14ac:dyDescent="0.2">
      <c r="A145" s="53" t="str">
        <f>IF(B145&lt;&gt;"",141,"")</f>
        <v/>
      </c>
      <c r="B145" s="53"/>
      <c r="C145" s="53" t="str">
        <f>IFERROR(VLOOKUP(B145,'👥 بيانات الموظفين'!B:C,2,0),"")</f>
        <v/>
      </c>
      <c r="D145" s="53"/>
      <c r="E145" s="62"/>
      <c r="F145" s="54"/>
      <c r="G145" s="53"/>
      <c r="H145" s="53"/>
      <c r="I145" s="53"/>
      <c r="J145" s="53"/>
      <c r="K145" s="53"/>
    </row>
    <row r="146" spans="1:11" ht="22.15" customHeight="1" x14ac:dyDescent="0.2">
      <c r="A146" s="57" t="str">
        <f>IF(B146&lt;&gt;"",142,"")</f>
        <v/>
      </c>
      <c r="B146" s="57"/>
      <c r="C146" s="57" t="str">
        <f>IFERROR(VLOOKUP(B146,'👥 بيانات الموظفين'!B:C,2,0),"")</f>
        <v/>
      </c>
      <c r="D146" s="57"/>
      <c r="E146" s="63"/>
      <c r="F146" s="58"/>
      <c r="G146" s="57"/>
      <c r="H146" s="57"/>
      <c r="I146" s="57"/>
      <c r="J146" s="57"/>
      <c r="K146" s="57"/>
    </row>
    <row r="147" spans="1:11" ht="22.15" customHeight="1" x14ac:dyDescent="0.2">
      <c r="A147" s="53" t="str">
        <f>IF(B147&lt;&gt;"",143,"")</f>
        <v/>
      </c>
      <c r="B147" s="53"/>
      <c r="C147" s="53" t="str">
        <f>IFERROR(VLOOKUP(B147,'👥 بيانات الموظفين'!B:C,2,0),"")</f>
        <v/>
      </c>
      <c r="D147" s="53"/>
      <c r="E147" s="62"/>
      <c r="F147" s="54"/>
      <c r="G147" s="53"/>
      <c r="H147" s="53"/>
      <c r="I147" s="53"/>
      <c r="J147" s="53"/>
      <c r="K147" s="53"/>
    </row>
    <row r="148" spans="1:11" ht="22.15" customHeight="1" x14ac:dyDescent="0.2">
      <c r="A148" s="57" t="str">
        <f>IF(B148&lt;&gt;"",144,"")</f>
        <v/>
      </c>
      <c r="B148" s="57"/>
      <c r="C148" s="57" t="str">
        <f>IFERROR(VLOOKUP(B148,'👥 بيانات الموظفين'!B:C,2,0),"")</f>
        <v/>
      </c>
      <c r="D148" s="57"/>
      <c r="E148" s="63"/>
      <c r="F148" s="58"/>
      <c r="G148" s="57"/>
      <c r="H148" s="57"/>
      <c r="I148" s="57"/>
      <c r="J148" s="57"/>
      <c r="K148" s="57"/>
    </row>
    <row r="149" spans="1:11" ht="22.15" customHeight="1" x14ac:dyDescent="0.2">
      <c r="A149" s="53" t="str">
        <f>IF(B149&lt;&gt;"",145,"")</f>
        <v/>
      </c>
      <c r="B149" s="53"/>
      <c r="C149" s="53" t="str">
        <f>IFERROR(VLOOKUP(B149,'👥 بيانات الموظفين'!B:C,2,0),"")</f>
        <v/>
      </c>
      <c r="D149" s="53"/>
      <c r="E149" s="62"/>
      <c r="F149" s="54"/>
      <c r="G149" s="53"/>
      <c r="H149" s="53"/>
      <c r="I149" s="53"/>
      <c r="J149" s="53"/>
      <c r="K149" s="53"/>
    </row>
    <row r="150" spans="1:11" ht="22.15" customHeight="1" x14ac:dyDescent="0.2">
      <c r="A150" s="57" t="str">
        <f>IF(B150&lt;&gt;"",146,"")</f>
        <v/>
      </c>
      <c r="B150" s="57"/>
      <c r="C150" s="57" t="str">
        <f>IFERROR(VLOOKUP(B150,'👥 بيانات الموظفين'!B:C,2,0),"")</f>
        <v/>
      </c>
      <c r="D150" s="57"/>
      <c r="E150" s="63"/>
      <c r="F150" s="58"/>
      <c r="G150" s="57"/>
      <c r="H150" s="57"/>
      <c r="I150" s="57"/>
      <c r="J150" s="57"/>
      <c r="K150" s="57"/>
    </row>
    <row r="151" spans="1:11" ht="22.15" customHeight="1" x14ac:dyDescent="0.2">
      <c r="A151" s="53" t="str">
        <f>IF(B151&lt;&gt;"",147,"")</f>
        <v/>
      </c>
      <c r="B151" s="53"/>
      <c r="C151" s="53" t="str">
        <f>IFERROR(VLOOKUP(B151,'👥 بيانات الموظفين'!B:C,2,0),"")</f>
        <v/>
      </c>
      <c r="D151" s="53"/>
      <c r="E151" s="62"/>
      <c r="F151" s="54"/>
      <c r="G151" s="53"/>
      <c r="H151" s="53"/>
      <c r="I151" s="53"/>
      <c r="J151" s="53"/>
      <c r="K151" s="53"/>
    </row>
    <row r="152" spans="1:11" ht="22.15" customHeight="1" x14ac:dyDescent="0.2">
      <c r="A152" s="57" t="str">
        <f>IF(B152&lt;&gt;"",148,"")</f>
        <v/>
      </c>
      <c r="B152" s="57"/>
      <c r="C152" s="57" t="str">
        <f>IFERROR(VLOOKUP(B152,'👥 بيانات الموظفين'!B:C,2,0),"")</f>
        <v/>
      </c>
      <c r="D152" s="57"/>
      <c r="E152" s="63"/>
      <c r="F152" s="58"/>
      <c r="G152" s="57"/>
      <c r="H152" s="57"/>
      <c r="I152" s="57"/>
      <c r="J152" s="57"/>
      <c r="K152" s="57"/>
    </row>
    <row r="153" spans="1:11" ht="22.15" customHeight="1" x14ac:dyDescent="0.2">
      <c r="A153" s="53" t="str">
        <f>IF(B153&lt;&gt;"",149,"")</f>
        <v/>
      </c>
      <c r="B153" s="53"/>
      <c r="C153" s="53" t="str">
        <f>IFERROR(VLOOKUP(B153,'👥 بيانات الموظفين'!B:C,2,0),"")</f>
        <v/>
      </c>
      <c r="D153" s="53"/>
      <c r="E153" s="62"/>
      <c r="F153" s="54"/>
      <c r="G153" s="53"/>
      <c r="H153" s="53"/>
      <c r="I153" s="53"/>
      <c r="J153" s="53"/>
      <c r="K153" s="53"/>
    </row>
    <row r="154" spans="1:11" ht="22.15" customHeight="1" x14ac:dyDescent="0.2">
      <c r="A154" s="57" t="str">
        <f>IF(B154&lt;&gt;"",150,"")</f>
        <v/>
      </c>
      <c r="B154" s="57"/>
      <c r="C154" s="57" t="str">
        <f>IFERROR(VLOOKUP(B154,'👥 بيانات الموظفين'!B:C,2,0),"")</f>
        <v/>
      </c>
      <c r="D154" s="57"/>
      <c r="E154" s="63"/>
      <c r="F154" s="58"/>
      <c r="G154" s="57"/>
      <c r="H154" s="57"/>
      <c r="I154" s="57"/>
      <c r="J154" s="57"/>
      <c r="K154" s="57"/>
    </row>
    <row r="155" spans="1:11" ht="22.15" customHeight="1" x14ac:dyDescent="0.2">
      <c r="A155" s="53" t="str">
        <f>IF(B155&lt;&gt;"",151,"")</f>
        <v/>
      </c>
      <c r="B155" s="53"/>
      <c r="C155" s="53" t="str">
        <f>IFERROR(VLOOKUP(B155,'👥 بيانات الموظفين'!B:C,2,0),"")</f>
        <v/>
      </c>
      <c r="D155" s="53"/>
      <c r="E155" s="62"/>
      <c r="F155" s="54"/>
      <c r="G155" s="53"/>
      <c r="H155" s="53"/>
      <c r="I155" s="53"/>
      <c r="J155" s="53"/>
      <c r="K155" s="53"/>
    </row>
    <row r="156" spans="1:11" ht="22.15" customHeight="1" x14ac:dyDescent="0.2">
      <c r="A156" s="57" t="str">
        <f>IF(B156&lt;&gt;"",152,"")</f>
        <v/>
      </c>
      <c r="B156" s="57"/>
      <c r="C156" s="57" t="str">
        <f>IFERROR(VLOOKUP(B156,'👥 بيانات الموظفين'!B:C,2,0),"")</f>
        <v/>
      </c>
      <c r="D156" s="57"/>
      <c r="E156" s="63"/>
      <c r="F156" s="58"/>
      <c r="G156" s="57"/>
      <c r="H156" s="57"/>
      <c r="I156" s="57"/>
      <c r="J156" s="57"/>
      <c r="K156" s="57"/>
    </row>
    <row r="157" spans="1:11" ht="22.15" customHeight="1" x14ac:dyDescent="0.2">
      <c r="A157" s="53" t="str">
        <f>IF(B157&lt;&gt;"",153,"")</f>
        <v/>
      </c>
      <c r="B157" s="53"/>
      <c r="C157" s="53" t="str">
        <f>IFERROR(VLOOKUP(B157,'👥 بيانات الموظفين'!B:C,2,0),"")</f>
        <v/>
      </c>
      <c r="D157" s="53"/>
      <c r="E157" s="62"/>
      <c r="F157" s="54"/>
      <c r="G157" s="53"/>
      <c r="H157" s="53"/>
      <c r="I157" s="53"/>
      <c r="J157" s="53"/>
      <c r="K157" s="53"/>
    </row>
    <row r="158" spans="1:11" ht="22.15" customHeight="1" x14ac:dyDescent="0.2">
      <c r="A158" s="57" t="str">
        <f>IF(B158&lt;&gt;"",154,"")</f>
        <v/>
      </c>
      <c r="B158" s="57"/>
      <c r="C158" s="57" t="str">
        <f>IFERROR(VLOOKUP(B158,'👥 بيانات الموظفين'!B:C,2,0),"")</f>
        <v/>
      </c>
      <c r="D158" s="57"/>
      <c r="E158" s="63"/>
      <c r="F158" s="58"/>
      <c r="G158" s="57"/>
      <c r="H158" s="57"/>
      <c r="I158" s="57"/>
      <c r="J158" s="57"/>
      <c r="K158" s="57"/>
    </row>
    <row r="159" spans="1:11" ht="22.15" customHeight="1" x14ac:dyDescent="0.2">
      <c r="A159" s="53" t="str">
        <f>IF(B159&lt;&gt;"",155,"")</f>
        <v/>
      </c>
      <c r="B159" s="53"/>
      <c r="C159" s="53" t="str">
        <f>IFERROR(VLOOKUP(B159,'👥 بيانات الموظفين'!B:C,2,0),"")</f>
        <v/>
      </c>
      <c r="D159" s="53"/>
      <c r="E159" s="62"/>
      <c r="F159" s="54"/>
      <c r="G159" s="53"/>
      <c r="H159" s="53"/>
      <c r="I159" s="53"/>
      <c r="J159" s="53"/>
      <c r="K159" s="53"/>
    </row>
    <row r="160" spans="1:11" ht="22.15" customHeight="1" x14ac:dyDescent="0.2">
      <c r="A160" s="57" t="str">
        <f>IF(B160&lt;&gt;"",156,"")</f>
        <v/>
      </c>
      <c r="B160" s="57"/>
      <c r="C160" s="57" t="str">
        <f>IFERROR(VLOOKUP(B160,'👥 بيانات الموظفين'!B:C,2,0),"")</f>
        <v/>
      </c>
      <c r="D160" s="57"/>
      <c r="E160" s="63"/>
      <c r="F160" s="58"/>
      <c r="G160" s="57"/>
      <c r="H160" s="57"/>
      <c r="I160" s="57"/>
      <c r="J160" s="57"/>
      <c r="K160" s="57"/>
    </row>
    <row r="161" spans="1:11" ht="22.15" customHeight="1" x14ac:dyDescent="0.2">
      <c r="A161" s="53" t="str">
        <f>IF(B161&lt;&gt;"",157,"")</f>
        <v/>
      </c>
      <c r="B161" s="53"/>
      <c r="C161" s="53" t="str">
        <f>IFERROR(VLOOKUP(B161,'👥 بيانات الموظفين'!B:C,2,0),"")</f>
        <v/>
      </c>
      <c r="D161" s="53"/>
      <c r="E161" s="62"/>
      <c r="F161" s="54"/>
      <c r="G161" s="53"/>
      <c r="H161" s="53"/>
      <c r="I161" s="53"/>
      <c r="J161" s="53"/>
      <c r="K161" s="53"/>
    </row>
    <row r="162" spans="1:11" ht="22.15" customHeight="1" x14ac:dyDescent="0.2">
      <c r="A162" s="57" t="str">
        <f>IF(B162&lt;&gt;"",158,"")</f>
        <v/>
      </c>
      <c r="B162" s="57"/>
      <c r="C162" s="57" t="str">
        <f>IFERROR(VLOOKUP(B162,'👥 بيانات الموظفين'!B:C,2,0),"")</f>
        <v/>
      </c>
      <c r="D162" s="57"/>
      <c r="E162" s="63"/>
      <c r="F162" s="58"/>
      <c r="G162" s="57"/>
      <c r="H162" s="57"/>
      <c r="I162" s="57"/>
      <c r="J162" s="57"/>
      <c r="K162" s="57"/>
    </row>
    <row r="163" spans="1:11" ht="22.15" customHeight="1" x14ac:dyDescent="0.2">
      <c r="A163" s="53" t="str">
        <f>IF(B163&lt;&gt;"",159,"")</f>
        <v/>
      </c>
      <c r="B163" s="53"/>
      <c r="C163" s="53" t="str">
        <f>IFERROR(VLOOKUP(B163,'👥 بيانات الموظفين'!B:C,2,0),"")</f>
        <v/>
      </c>
      <c r="D163" s="53"/>
      <c r="E163" s="62"/>
      <c r="F163" s="54"/>
      <c r="G163" s="53"/>
      <c r="H163" s="53"/>
      <c r="I163" s="53"/>
      <c r="J163" s="53"/>
      <c r="K163" s="53"/>
    </row>
    <row r="164" spans="1:11" ht="22.15" customHeight="1" x14ac:dyDescent="0.2">
      <c r="A164" s="57" t="str">
        <f>IF(B164&lt;&gt;"",160,"")</f>
        <v/>
      </c>
      <c r="B164" s="57"/>
      <c r="C164" s="57" t="str">
        <f>IFERROR(VLOOKUP(B164,'👥 بيانات الموظفين'!B:C,2,0),"")</f>
        <v/>
      </c>
      <c r="D164" s="57"/>
      <c r="E164" s="63"/>
      <c r="F164" s="58"/>
      <c r="G164" s="57"/>
      <c r="H164" s="57"/>
      <c r="I164" s="57"/>
      <c r="J164" s="57"/>
      <c r="K164" s="57"/>
    </row>
    <row r="165" spans="1:11" ht="22.15" customHeight="1" x14ac:dyDescent="0.2">
      <c r="A165" s="53" t="str">
        <f>IF(B165&lt;&gt;"",161,"")</f>
        <v/>
      </c>
      <c r="B165" s="53"/>
      <c r="C165" s="53" t="str">
        <f>IFERROR(VLOOKUP(B165,'👥 بيانات الموظفين'!B:C,2,0),"")</f>
        <v/>
      </c>
      <c r="D165" s="53"/>
      <c r="E165" s="62"/>
      <c r="F165" s="54"/>
      <c r="G165" s="53"/>
      <c r="H165" s="53"/>
      <c r="I165" s="53"/>
      <c r="J165" s="53"/>
      <c r="K165" s="53"/>
    </row>
    <row r="166" spans="1:11" ht="22.15" customHeight="1" x14ac:dyDescent="0.2">
      <c r="A166" s="57" t="str">
        <f>IF(B166&lt;&gt;"",162,"")</f>
        <v/>
      </c>
      <c r="B166" s="57"/>
      <c r="C166" s="57" t="str">
        <f>IFERROR(VLOOKUP(B166,'👥 بيانات الموظفين'!B:C,2,0),"")</f>
        <v/>
      </c>
      <c r="D166" s="57"/>
      <c r="E166" s="63"/>
      <c r="F166" s="58"/>
      <c r="G166" s="57"/>
      <c r="H166" s="57"/>
      <c r="I166" s="57"/>
      <c r="J166" s="57"/>
      <c r="K166" s="57"/>
    </row>
    <row r="167" spans="1:11" ht="22.15" customHeight="1" x14ac:dyDescent="0.2">
      <c r="A167" s="53" t="str">
        <f>IF(B167&lt;&gt;"",163,"")</f>
        <v/>
      </c>
      <c r="B167" s="53"/>
      <c r="C167" s="53" t="str">
        <f>IFERROR(VLOOKUP(B167,'👥 بيانات الموظفين'!B:C,2,0),"")</f>
        <v/>
      </c>
      <c r="D167" s="53"/>
      <c r="E167" s="62"/>
      <c r="F167" s="54"/>
      <c r="G167" s="53"/>
      <c r="H167" s="53"/>
      <c r="I167" s="53"/>
      <c r="J167" s="53"/>
      <c r="K167" s="53"/>
    </row>
    <row r="168" spans="1:11" ht="22.15" customHeight="1" x14ac:dyDescent="0.2">
      <c r="A168" s="57" t="str">
        <f>IF(B168&lt;&gt;"",164,"")</f>
        <v/>
      </c>
      <c r="B168" s="57"/>
      <c r="C168" s="57" t="str">
        <f>IFERROR(VLOOKUP(B168,'👥 بيانات الموظفين'!B:C,2,0),"")</f>
        <v/>
      </c>
      <c r="D168" s="57"/>
      <c r="E168" s="63"/>
      <c r="F168" s="58"/>
      <c r="G168" s="57"/>
      <c r="H168" s="57"/>
      <c r="I168" s="57"/>
      <c r="J168" s="57"/>
      <c r="K168" s="57"/>
    </row>
    <row r="169" spans="1:11" ht="22.15" customHeight="1" x14ac:dyDescent="0.2">
      <c r="A169" s="53" t="str">
        <f>IF(B169&lt;&gt;"",165,"")</f>
        <v/>
      </c>
      <c r="B169" s="53"/>
      <c r="C169" s="53" t="str">
        <f>IFERROR(VLOOKUP(B169,'👥 بيانات الموظفين'!B:C,2,0),"")</f>
        <v/>
      </c>
      <c r="D169" s="53"/>
      <c r="E169" s="62"/>
      <c r="F169" s="54"/>
      <c r="G169" s="53"/>
      <c r="H169" s="53"/>
      <c r="I169" s="53"/>
      <c r="J169" s="53"/>
      <c r="K169" s="53"/>
    </row>
    <row r="170" spans="1:11" ht="22.15" customHeight="1" x14ac:dyDescent="0.2">
      <c r="A170" s="57" t="str">
        <f>IF(B170&lt;&gt;"",166,"")</f>
        <v/>
      </c>
      <c r="B170" s="57"/>
      <c r="C170" s="57" t="str">
        <f>IFERROR(VLOOKUP(B170,'👥 بيانات الموظفين'!B:C,2,0),"")</f>
        <v/>
      </c>
      <c r="D170" s="57"/>
      <c r="E170" s="63"/>
      <c r="F170" s="58"/>
      <c r="G170" s="57"/>
      <c r="H170" s="57"/>
      <c r="I170" s="57"/>
      <c r="J170" s="57"/>
      <c r="K170" s="57"/>
    </row>
    <row r="171" spans="1:11" ht="22.15" customHeight="1" x14ac:dyDescent="0.2">
      <c r="A171" s="53" t="str">
        <f>IF(B171&lt;&gt;"",167,"")</f>
        <v/>
      </c>
      <c r="B171" s="53"/>
      <c r="C171" s="53" t="str">
        <f>IFERROR(VLOOKUP(B171,'👥 بيانات الموظفين'!B:C,2,0),"")</f>
        <v/>
      </c>
      <c r="D171" s="53"/>
      <c r="E171" s="62"/>
      <c r="F171" s="54"/>
      <c r="G171" s="53"/>
      <c r="H171" s="53"/>
      <c r="I171" s="53"/>
      <c r="J171" s="53"/>
      <c r="K171" s="53"/>
    </row>
    <row r="172" spans="1:11" ht="22.15" customHeight="1" x14ac:dyDescent="0.2">
      <c r="A172" s="57" t="str">
        <f>IF(B172&lt;&gt;"",168,"")</f>
        <v/>
      </c>
      <c r="B172" s="57"/>
      <c r="C172" s="57" t="str">
        <f>IFERROR(VLOOKUP(B172,'👥 بيانات الموظفين'!B:C,2,0),"")</f>
        <v/>
      </c>
      <c r="D172" s="57"/>
      <c r="E172" s="63"/>
      <c r="F172" s="58"/>
      <c r="G172" s="57"/>
      <c r="H172" s="57"/>
      <c r="I172" s="57"/>
      <c r="J172" s="57"/>
      <c r="K172" s="57"/>
    </row>
    <row r="173" spans="1:11" ht="22.15" customHeight="1" x14ac:dyDescent="0.2">
      <c r="A173" s="53" t="str">
        <f>IF(B173&lt;&gt;"",169,"")</f>
        <v/>
      </c>
      <c r="B173" s="53"/>
      <c r="C173" s="53" t="str">
        <f>IFERROR(VLOOKUP(B173,'👥 بيانات الموظفين'!B:C,2,0),"")</f>
        <v/>
      </c>
      <c r="D173" s="53"/>
      <c r="E173" s="62"/>
      <c r="F173" s="54"/>
      <c r="G173" s="53"/>
      <c r="H173" s="53"/>
      <c r="I173" s="53"/>
      <c r="J173" s="53"/>
      <c r="K173" s="53"/>
    </row>
    <row r="174" spans="1:11" ht="22.15" customHeight="1" x14ac:dyDescent="0.2">
      <c r="A174" s="57" t="str">
        <f>IF(B174&lt;&gt;"",170,"")</f>
        <v/>
      </c>
      <c r="B174" s="57"/>
      <c r="C174" s="57" t="str">
        <f>IFERROR(VLOOKUP(B174,'👥 بيانات الموظفين'!B:C,2,0),"")</f>
        <v/>
      </c>
      <c r="D174" s="57"/>
      <c r="E174" s="63"/>
      <c r="F174" s="58"/>
      <c r="G174" s="57"/>
      <c r="H174" s="57"/>
      <c r="I174" s="57"/>
      <c r="J174" s="57"/>
      <c r="K174" s="57"/>
    </row>
    <row r="175" spans="1:11" ht="22.15" customHeight="1" x14ac:dyDescent="0.2">
      <c r="A175" s="53" t="str">
        <f>IF(B175&lt;&gt;"",171,"")</f>
        <v/>
      </c>
      <c r="B175" s="53"/>
      <c r="C175" s="53" t="str">
        <f>IFERROR(VLOOKUP(B175,'👥 بيانات الموظفين'!B:C,2,0),"")</f>
        <v/>
      </c>
      <c r="D175" s="53"/>
      <c r="E175" s="62"/>
      <c r="F175" s="54"/>
      <c r="G175" s="53"/>
      <c r="H175" s="53"/>
      <c r="I175" s="53"/>
      <c r="J175" s="53"/>
      <c r="K175" s="53"/>
    </row>
    <row r="176" spans="1:11" ht="22.15" customHeight="1" x14ac:dyDescent="0.2">
      <c r="A176" s="57" t="str">
        <f>IF(B176&lt;&gt;"",172,"")</f>
        <v/>
      </c>
      <c r="B176" s="57"/>
      <c r="C176" s="57" t="str">
        <f>IFERROR(VLOOKUP(B176,'👥 بيانات الموظفين'!B:C,2,0),"")</f>
        <v/>
      </c>
      <c r="D176" s="57"/>
      <c r="E176" s="63"/>
      <c r="F176" s="58"/>
      <c r="G176" s="57"/>
      <c r="H176" s="57"/>
      <c r="I176" s="57"/>
      <c r="J176" s="57"/>
      <c r="K176" s="57"/>
    </row>
    <row r="177" spans="1:11" ht="22.15" customHeight="1" x14ac:dyDescent="0.2">
      <c r="A177" s="53" t="str">
        <f>IF(B177&lt;&gt;"",173,"")</f>
        <v/>
      </c>
      <c r="B177" s="53"/>
      <c r="C177" s="53" t="str">
        <f>IFERROR(VLOOKUP(B177,'👥 بيانات الموظفين'!B:C,2,0),"")</f>
        <v/>
      </c>
      <c r="D177" s="53"/>
      <c r="E177" s="62"/>
      <c r="F177" s="54"/>
      <c r="G177" s="53"/>
      <c r="H177" s="53"/>
      <c r="I177" s="53"/>
      <c r="J177" s="53"/>
      <c r="K177" s="53"/>
    </row>
    <row r="178" spans="1:11" ht="22.15" customHeight="1" x14ac:dyDescent="0.2">
      <c r="A178" s="57" t="str">
        <f>IF(B178&lt;&gt;"",174,"")</f>
        <v/>
      </c>
      <c r="B178" s="57"/>
      <c r="C178" s="57" t="str">
        <f>IFERROR(VLOOKUP(B178,'👥 بيانات الموظفين'!B:C,2,0),"")</f>
        <v/>
      </c>
      <c r="D178" s="57"/>
      <c r="E178" s="63"/>
      <c r="F178" s="58"/>
      <c r="G178" s="57"/>
      <c r="H178" s="57"/>
      <c r="I178" s="57"/>
      <c r="J178" s="57"/>
      <c r="K178" s="57"/>
    </row>
    <row r="179" spans="1:11" ht="22.15" customHeight="1" x14ac:dyDescent="0.2">
      <c r="A179" s="53" t="str">
        <f>IF(B179&lt;&gt;"",175,"")</f>
        <v/>
      </c>
      <c r="B179" s="53"/>
      <c r="C179" s="53" t="str">
        <f>IFERROR(VLOOKUP(B179,'👥 بيانات الموظفين'!B:C,2,0),"")</f>
        <v/>
      </c>
      <c r="D179" s="53"/>
      <c r="E179" s="62"/>
      <c r="F179" s="54"/>
      <c r="G179" s="53"/>
      <c r="H179" s="53"/>
      <c r="I179" s="53"/>
      <c r="J179" s="53"/>
      <c r="K179" s="53"/>
    </row>
    <row r="180" spans="1:11" ht="22.15" customHeight="1" x14ac:dyDescent="0.2">
      <c r="A180" s="57" t="str">
        <f>IF(B180&lt;&gt;"",176,"")</f>
        <v/>
      </c>
      <c r="B180" s="57"/>
      <c r="C180" s="57" t="str">
        <f>IFERROR(VLOOKUP(B180,'👥 بيانات الموظفين'!B:C,2,0),"")</f>
        <v/>
      </c>
      <c r="D180" s="57"/>
      <c r="E180" s="63"/>
      <c r="F180" s="58"/>
      <c r="G180" s="57"/>
      <c r="H180" s="57"/>
      <c r="I180" s="57"/>
      <c r="J180" s="57"/>
      <c r="K180" s="57"/>
    </row>
    <row r="181" spans="1:11" ht="22.15" customHeight="1" x14ac:dyDescent="0.2">
      <c r="A181" s="53" t="str">
        <f>IF(B181&lt;&gt;"",177,"")</f>
        <v/>
      </c>
      <c r="B181" s="53"/>
      <c r="C181" s="53" t="str">
        <f>IFERROR(VLOOKUP(B181,'👥 بيانات الموظفين'!B:C,2,0),"")</f>
        <v/>
      </c>
      <c r="D181" s="53"/>
      <c r="E181" s="62"/>
      <c r="F181" s="54"/>
      <c r="G181" s="53"/>
      <c r="H181" s="53"/>
      <c r="I181" s="53"/>
      <c r="J181" s="53"/>
      <c r="K181" s="53"/>
    </row>
    <row r="182" spans="1:11" ht="22.15" customHeight="1" x14ac:dyDescent="0.2">
      <c r="A182" s="57" t="str">
        <f>IF(B182&lt;&gt;"",178,"")</f>
        <v/>
      </c>
      <c r="B182" s="57"/>
      <c r="C182" s="57" t="str">
        <f>IFERROR(VLOOKUP(B182,'👥 بيانات الموظفين'!B:C,2,0),"")</f>
        <v/>
      </c>
      <c r="D182" s="57"/>
      <c r="E182" s="63"/>
      <c r="F182" s="58"/>
      <c r="G182" s="57"/>
      <c r="H182" s="57"/>
      <c r="I182" s="57"/>
      <c r="J182" s="57"/>
      <c r="K182" s="57"/>
    </row>
    <row r="183" spans="1:11" ht="22.15" customHeight="1" x14ac:dyDescent="0.2">
      <c r="A183" s="53" t="str">
        <f>IF(B183&lt;&gt;"",179,"")</f>
        <v/>
      </c>
      <c r="B183" s="53"/>
      <c r="C183" s="53" t="str">
        <f>IFERROR(VLOOKUP(B183,'👥 بيانات الموظفين'!B:C,2,0),"")</f>
        <v/>
      </c>
      <c r="D183" s="53"/>
      <c r="E183" s="62"/>
      <c r="F183" s="54"/>
      <c r="G183" s="53"/>
      <c r="H183" s="53"/>
      <c r="I183" s="53"/>
      <c r="J183" s="53"/>
      <c r="K183" s="53"/>
    </row>
    <row r="184" spans="1:11" ht="22.15" customHeight="1" x14ac:dyDescent="0.2">
      <c r="A184" s="57" t="str">
        <f>IF(B184&lt;&gt;"",180,"")</f>
        <v/>
      </c>
      <c r="B184" s="57"/>
      <c r="C184" s="57" t="str">
        <f>IFERROR(VLOOKUP(B184,'👥 بيانات الموظفين'!B:C,2,0),"")</f>
        <v/>
      </c>
      <c r="D184" s="57"/>
      <c r="E184" s="63"/>
      <c r="F184" s="58"/>
      <c r="G184" s="57"/>
      <c r="H184" s="57"/>
      <c r="I184" s="57"/>
      <c r="J184" s="57"/>
      <c r="K184" s="57"/>
    </row>
    <row r="185" spans="1:11" ht="22.15" customHeight="1" x14ac:dyDescent="0.2">
      <c r="A185" s="53" t="str">
        <f>IF(B185&lt;&gt;"",181,"")</f>
        <v/>
      </c>
      <c r="B185" s="53"/>
      <c r="C185" s="53" t="str">
        <f>IFERROR(VLOOKUP(B185,'👥 بيانات الموظفين'!B:C,2,0),"")</f>
        <v/>
      </c>
      <c r="D185" s="53"/>
      <c r="E185" s="62"/>
      <c r="F185" s="54"/>
      <c r="G185" s="53"/>
      <c r="H185" s="53"/>
      <c r="I185" s="53"/>
      <c r="J185" s="53"/>
      <c r="K185" s="53"/>
    </row>
    <row r="186" spans="1:11" ht="22.15" customHeight="1" x14ac:dyDescent="0.2">
      <c r="A186" s="57" t="str">
        <f>IF(B186&lt;&gt;"",182,"")</f>
        <v/>
      </c>
      <c r="B186" s="57"/>
      <c r="C186" s="57" t="str">
        <f>IFERROR(VLOOKUP(B186,'👥 بيانات الموظفين'!B:C,2,0),"")</f>
        <v/>
      </c>
      <c r="D186" s="57"/>
      <c r="E186" s="63"/>
      <c r="F186" s="58"/>
      <c r="G186" s="57"/>
      <c r="H186" s="57"/>
      <c r="I186" s="57"/>
      <c r="J186" s="57"/>
      <c r="K186" s="57"/>
    </row>
    <row r="187" spans="1:11" ht="22.15" customHeight="1" x14ac:dyDescent="0.2">
      <c r="A187" s="53" t="str">
        <f>IF(B187&lt;&gt;"",183,"")</f>
        <v/>
      </c>
      <c r="B187" s="53"/>
      <c r="C187" s="53" t="str">
        <f>IFERROR(VLOOKUP(B187,'👥 بيانات الموظفين'!B:C,2,0),"")</f>
        <v/>
      </c>
      <c r="D187" s="53"/>
      <c r="E187" s="62"/>
      <c r="F187" s="54"/>
      <c r="G187" s="53"/>
      <c r="H187" s="53"/>
      <c r="I187" s="53"/>
      <c r="J187" s="53"/>
      <c r="K187" s="53"/>
    </row>
    <row r="188" spans="1:11" ht="22.15" customHeight="1" x14ac:dyDescent="0.2">
      <c r="A188" s="57" t="str">
        <f>IF(B188&lt;&gt;"",184,"")</f>
        <v/>
      </c>
      <c r="B188" s="57"/>
      <c r="C188" s="57" t="str">
        <f>IFERROR(VLOOKUP(B188,'👥 بيانات الموظفين'!B:C,2,0),"")</f>
        <v/>
      </c>
      <c r="D188" s="57"/>
      <c r="E188" s="63"/>
      <c r="F188" s="58"/>
      <c r="G188" s="57"/>
      <c r="H188" s="57"/>
      <c r="I188" s="57"/>
      <c r="J188" s="57"/>
      <c r="K188" s="57"/>
    </row>
    <row r="189" spans="1:11" ht="22.15" customHeight="1" x14ac:dyDescent="0.2">
      <c r="A189" s="53" t="str">
        <f>IF(B189&lt;&gt;"",185,"")</f>
        <v/>
      </c>
      <c r="B189" s="53"/>
      <c r="C189" s="53" t="str">
        <f>IFERROR(VLOOKUP(B189,'👥 بيانات الموظفين'!B:C,2,0),"")</f>
        <v/>
      </c>
      <c r="D189" s="53"/>
      <c r="E189" s="62"/>
      <c r="F189" s="54"/>
      <c r="G189" s="53"/>
      <c r="H189" s="53"/>
      <c r="I189" s="53"/>
      <c r="J189" s="53"/>
      <c r="K189" s="53"/>
    </row>
    <row r="190" spans="1:11" ht="22.15" customHeight="1" x14ac:dyDescent="0.2">
      <c r="A190" s="57" t="str">
        <f>IF(B190&lt;&gt;"",186,"")</f>
        <v/>
      </c>
      <c r="B190" s="57"/>
      <c r="C190" s="57" t="str">
        <f>IFERROR(VLOOKUP(B190,'👥 بيانات الموظفين'!B:C,2,0),"")</f>
        <v/>
      </c>
      <c r="D190" s="57"/>
      <c r="E190" s="63"/>
      <c r="F190" s="58"/>
      <c r="G190" s="57"/>
      <c r="H190" s="57"/>
      <c r="I190" s="57"/>
      <c r="J190" s="57"/>
      <c r="K190" s="57"/>
    </row>
    <row r="191" spans="1:11" ht="22.15" customHeight="1" x14ac:dyDescent="0.2">
      <c r="A191" s="53" t="str">
        <f>IF(B191&lt;&gt;"",187,"")</f>
        <v/>
      </c>
      <c r="B191" s="53"/>
      <c r="C191" s="53" t="str">
        <f>IFERROR(VLOOKUP(B191,'👥 بيانات الموظفين'!B:C,2,0),"")</f>
        <v/>
      </c>
      <c r="D191" s="53"/>
      <c r="E191" s="62"/>
      <c r="F191" s="54"/>
      <c r="G191" s="53"/>
      <c r="H191" s="53"/>
      <c r="I191" s="53"/>
      <c r="J191" s="53"/>
      <c r="K191" s="53"/>
    </row>
    <row r="192" spans="1:11" ht="22.15" customHeight="1" x14ac:dyDescent="0.2">
      <c r="A192" s="57" t="str">
        <f>IF(B192&lt;&gt;"",188,"")</f>
        <v/>
      </c>
      <c r="B192" s="57"/>
      <c r="C192" s="57" t="str">
        <f>IFERROR(VLOOKUP(B192,'👥 بيانات الموظفين'!B:C,2,0),"")</f>
        <v/>
      </c>
      <c r="D192" s="57"/>
      <c r="E192" s="63"/>
      <c r="F192" s="58"/>
      <c r="G192" s="57"/>
      <c r="H192" s="57"/>
      <c r="I192" s="57"/>
      <c r="J192" s="57"/>
      <c r="K192" s="57"/>
    </row>
    <row r="193" spans="1:11" ht="22.15" customHeight="1" x14ac:dyDescent="0.2">
      <c r="A193" s="53" t="str">
        <f>IF(B193&lt;&gt;"",189,"")</f>
        <v/>
      </c>
      <c r="B193" s="53"/>
      <c r="C193" s="53" t="str">
        <f>IFERROR(VLOOKUP(B193,'👥 بيانات الموظفين'!B:C,2,0),"")</f>
        <v/>
      </c>
      <c r="D193" s="53"/>
      <c r="E193" s="62"/>
      <c r="F193" s="54"/>
      <c r="G193" s="53"/>
      <c r="H193" s="53"/>
      <c r="I193" s="53"/>
      <c r="J193" s="53"/>
      <c r="K193" s="53"/>
    </row>
    <row r="194" spans="1:11" ht="22.15" customHeight="1" x14ac:dyDescent="0.2">
      <c r="A194" s="57" t="str">
        <f>IF(B194&lt;&gt;"",190,"")</f>
        <v/>
      </c>
      <c r="B194" s="57"/>
      <c r="C194" s="57" t="str">
        <f>IFERROR(VLOOKUP(B194,'👥 بيانات الموظفين'!B:C,2,0),"")</f>
        <v/>
      </c>
      <c r="D194" s="57"/>
      <c r="E194" s="63"/>
      <c r="F194" s="58"/>
      <c r="G194" s="57"/>
      <c r="H194" s="57"/>
      <c r="I194" s="57"/>
      <c r="J194" s="57"/>
      <c r="K194" s="57"/>
    </row>
    <row r="195" spans="1:11" ht="22.15" customHeight="1" x14ac:dyDescent="0.2">
      <c r="A195" s="53" t="str">
        <f>IF(B195&lt;&gt;"",191,"")</f>
        <v/>
      </c>
      <c r="B195" s="53"/>
      <c r="C195" s="53" t="str">
        <f>IFERROR(VLOOKUP(B195,'👥 بيانات الموظفين'!B:C,2,0),"")</f>
        <v/>
      </c>
      <c r="D195" s="53"/>
      <c r="E195" s="62"/>
      <c r="F195" s="54"/>
      <c r="G195" s="53"/>
      <c r="H195" s="53"/>
      <c r="I195" s="53"/>
      <c r="J195" s="53"/>
      <c r="K195" s="53"/>
    </row>
    <row r="196" spans="1:11" ht="22.15" customHeight="1" x14ac:dyDescent="0.2">
      <c r="A196" s="57" t="str">
        <f>IF(B196&lt;&gt;"",192,"")</f>
        <v/>
      </c>
      <c r="B196" s="57"/>
      <c r="C196" s="57" t="str">
        <f>IFERROR(VLOOKUP(B196,'👥 بيانات الموظفين'!B:C,2,0),"")</f>
        <v/>
      </c>
      <c r="D196" s="57"/>
      <c r="E196" s="63"/>
      <c r="F196" s="58"/>
      <c r="G196" s="57"/>
      <c r="H196" s="57"/>
      <c r="I196" s="57"/>
      <c r="J196" s="57"/>
      <c r="K196" s="57"/>
    </row>
    <row r="197" spans="1:11" ht="22.15" customHeight="1" x14ac:dyDescent="0.2">
      <c r="A197" s="53" t="str">
        <f>IF(B197&lt;&gt;"",193,"")</f>
        <v/>
      </c>
      <c r="B197" s="53"/>
      <c r="C197" s="53" t="str">
        <f>IFERROR(VLOOKUP(B197,'👥 بيانات الموظفين'!B:C,2,0),"")</f>
        <v/>
      </c>
      <c r="D197" s="53"/>
      <c r="E197" s="62"/>
      <c r="F197" s="54"/>
      <c r="G197" s="53"/>
      <c r="H197" s="53"/>
      <c r="I197" s="53"/>
      <c r="J197" s="53"/>
      <c r="K197" s="53"/>
    </row>
    <row r="198" spans="1:11" ht="22.15" customHeight="1" x14ac:dyDescent="0.2">
      <c r="A198" s="57" t="str">
        <f>IF(B198&lt;&gt;"",194,"")</f>
        <v/>
      </c>
      <c r="B198" s="57"/>
      <c r="C198" s="57" t="str">
        <f>IFERROR(VLOOKUP(B198,'👥 بيانات الموظفين'!B:C,2,0),"")</f>
        <v/>
      </c>
      <c r="D198" s="57"/>
      <c r="E198" s="63"/>
      <c r="F198" s="58"/>
      <c r="G198" s="57"/>
      <c r="H198" s="57"/>
      <c r="I198" s="57"/>
      <c r="J198" s="57"/>
      <c r="K198" s="57"/>
    </row>
    <row r="199" spans="1:11" ht="22.15" customHeight="1" x14ac:dyDescent="0.2">
      <c r="A199" s="53" t="str">
        <f>IF(B199&lt;&gt;"",195,"")</f>
        <v/>
      </c>
      <c r="B199" s="53"/>
      <c r="C199" s="53" t="str">
        <f>IFERROR(VLOOKUP(B199,'👥 بيانات الموظفين'!B:C,2,0),"")</f>
        <v/>
      </c>
      <c r="D199" s="53"/>
      <c r="E199" s="62"/>
      <c r="F199" s="54"/>
      <c r="G199" s="53"/>
      <c r="H199" s="53"/>
      <c r="I199" s="53"/>
      <c r="J199" s="53"/>
      <c r="K199" s="53"/>
    </row>
    <row r="200" spans="1:11" ht="22.15" customHeight="1" x14ac:dyDescent="0.2">
      <c r="A200" s="57" t="str">
        <f>IF(B200&lt;&gt;"",196,"")</f>
        <v/>
      </c>
      <c r="B200" s="57"/>
      <c r="C200" s="57" t="str">
        <f>IFERROR(VLOOKUP(B200,'👥 بيانات الموظفين'!B:C,2,0),"")</f>
        <v/>
      </c>
      <c r="D200" s="57"/>
      <c r="E200" s="63"/>
      <c r="F200" s="58"/>
      <c r="G200" s="57"/>
      <c r="H200" s="57"/>
      <c r="I200" s="57"/>
      <c r="J200" s="57"/>
      <c r="K200" s="57"/>
    </row>
    <row r="201" spans="1:11" ht="22.15" customHeight="1" x14ac:dyDescent="0.2">
      <c r="A201" s="53" t="str">
        <f>IF(B201&lt;&gt;"",197,"")</f>
        <v/>
      </c>
      <c r="B201" s="53"/>
      <c r="C201" s="53" t="str">
        <f>IFERROR(VLOOKUP(B201,'👥 بيانات الموظفين'!B:C,2,0),"")</f>
        <v/>
      </c>
      <c r="D201" s="53"/>
      <c r="E201" s="62"/>
      <c r="F201" s="54"/>
      <c r="G201" s="53"/>
      <c r="H201" s="53"/>
      <c r="I201" s="53"/>
      <c r="J201" s="53"/>
      <c r="K201" s="53"/>
    </row>
    <row r="202" spans="1:11" ht="22.15" customHeight="1" x14ac:dyDescent="0.2">
      <c r="A202" s="57" t="str">
        <f>IF(B202&lt;&gt;"",198,"")</f>
        <v/>
      </c>
      <c r="B202" s="57"/>
      <c r="C202" s="57" t="str">
        <f>IFERROR(VLOOKUP(B202,'👥 بيانات الموظفين'!B:C,2,0),"")</f>
        <v/>
      </c>
      <c r="D202" s="57"/>
      <c r="E202" s="63"/>
      <c r="F202" s="58"/>
      <c r="G202" s="57"/>
      <c r="H202" s="57"/>
      <c r="I202" s="57"/>
      <c r="J202" s="57"/>
      <c r="K202" s="57"/>
    </row>
    <row r="203" spans="1:11" ht="22.15" customHeight="1" x14ac:dyDescent="0.2">
      <c r="A203" s="53" t="str">
        <f>IF(B203&lt;&gt;"",199,"")</f>
        <v/>
      </c>
      <c r="B203" s="53"/>
      <c r="C203" s="53" t="str">
        <f>IFERROR(VLOOKUP(B203,'👥 بيانات الموظفين'!B:C,2,0),"")</f>
        <v/>
      </c>
      <c r="D203" s="53"/>
      <c r="E203" s="62"/>
      <c r="F203" s="54"/>
      <c r="G203" s="53"/>
      <c r="H203" s="53"/>
      <c r="I203" s="53"/>
      <c r="J203" s="53"/>
      <c r="K203" s="53"/>
    </row>
    <row r="204" spans="1:11" ht="22.15" customHeight="1" x14ac:dyDescent="0.2">
      <c r="A204" s="57" t="str">
        <f>IF(B204&lt;&gt;"",200,"")</f>
        <v/>
      </c>
      <c r="B204" s="57"/>
      <c r="C204" s="57" t="str">
        <f>IFERROR(VLOOKUP(B204,'👥 بيانات الموظفين'!B:C,2,0),"")</f>
        <v/>
      </c>
      <c r="D204" s="57"/>
      <c r="E204" s="63"/>
      <c r="F204" s="58"/>
      <c r="G204" s="57"/>
      <c r="H204" s="57"/>
      <c r="I204" s="57"/>
      <c r="J204" s="57"/>
      <c r="K204" s="57"/>
    </row>
    <row r="205" spans="1:11" ht="22.15" customHeight="1" x14ac:dyDescent="0.2">
      <c r="A205" s="53" t="str">
        <f>IF(B205&lt;&gt;"",201,"")</f>
        <v/>
      </c>
      <c r="B205" s="53"/>
      <c r="C205" s="53" t="str">
        <f>IFERROR(VLOOKUP(B205,'👥 بيانات الموظفين'!B:C,2,0),"")</f>
        <v/>
      </c>
      <c r="D205" s="53"/>
      <c r="E205" s="62"/>
      <c r="F205" s="54"/>
      <c r="G205" s="53"/>
      <c r="H205" s="53"/>
      <c r="I205" s="53"/>
      <c r="J205" s="53"/>
      <c r="K205" s="53"/>
    </row>
    <row r="206" spans="1:11" ht="22.15" customHeight="1" x14ac:dyDescent="0.2">
      <c r="A206" s="57" t="str">
        <f>IF(B206&lt;&gt;"",202,"")</f>
        <v/>
      </c>
      <c r="B206" s="57"/>
      <c r="C206" s="57" t="str">
        <f>IFERROR(VLOOKUP(B206,'👥 بيانات الموظفين'!B:C,2,0),"")</f>
        <v/>
      </c>
      <c r="D206" s="57"/>
      <c r="E206" s="63"/>
      <c r="F206" s="58"/>
      <c r="G206" s="57"/>
      <c r="H206" s="57"/>
      <c r="I206" s="57"/>
      <c r="J206" s="57"/>
      <c r="K206" s="57"/>
    </row>
    <row r="207" spans="1:11" ht="22.15" customHeight="1" x14ac:dyDescent="0.2">
      <c r="A207" s="53" t="str">
        <f>IF(B207&lt;&gt;"",203,"")</f>
        <v/>
      </c>
      <c r="B207" s="53"/>
      <c r="C207" s="53" t="str">
        <f>IFERROR(VLOOKUP(B207,'👥 بيانات الموظفين'!B:C,2,0),"")</f>
        <v/>
      </c>
      <c r="D207" s="53"/>
      <c r="E207" s="62"/>
      <c r="F207" s="54"/>
      <c r="G207" s="53"/>
      <c r="H207" s="53"/>
      <c r="I207" s="53"/>
      <c r="J207" s="53"/>
      <c r="K207" s="53"/>
    </row>
    <row r="208" spans="1:11" ht="22.15" customHeight="1" x14ac:dyDescent="0.2">
      <c r="A208" s="57" t="str">
        <f>IF(B208&lt;&gt;"",204,"")</f>
        <v/>
      </c>
      <c r="B208" s="57"/>
      <c r="C208" s="57" t="str">
        <f>IFERROR(VLOOKUP(B208,'👥 بيانات الموظفين'!B:C,2,0),"")</f>
        <v/>
      </c>
      <c r="D208" s="57"/>
      <c r="E208" s="63"/>
      <c r="F208" s="58"/>
      <c r="G208" s="57"/>
      <c r="H208" s="57"/>
      <c r="I208" s="57"/>
      <c r="J208" s="57"/>
      <c r="K208" s="57"/>
    </row>
    <row r="209" spans="1:11" ht="22.15" customHeight="1" x14ac:dyDescent="0.2">
      <c r="A209" s="53" t="str">
        <f>IF(B209&lt;&gt;"",205,"")</f>
        <v/>
      </c>
      <c r="B209" s="53"/>
      <c r="C209" s="53" t="str">
        <f>IFERROR(VLOOKUP(B209,'👥 بيانات الموظفين'!B:C,2,0),"")</f>
        <v/>
      </c>
      <c r="D209" s="53"/>
      <c r="E209" s="62"/>
      <c r="F209" s="54"/>
      <c r="G209" s="53"/>
      <c r="H209" s="53"/>
      <c r="I209" s="53"/>
      <c r="J209" s="53"/>
      <c r="K209" s="53"/>
    </row>
    <row r="210" spans="1:11" ht="22.15" customHeight="1" x14ac:dyDescent="0.2">
      <c r="A210" s="57" t="str">
        <f>IF(B210&lt;&gt;"",206,"")</f>
        <v/>
      </c>
      <c r="B210" s="57"/>
      <c r="C210" s="57" t="str">
        <f>IFERROR(VLOOKUP(B210,'👥 بيانات الموظفين'!B:C,2,0),"")</f>
        <v/>
      </c>
      <c r="D210" s="57"/>
      <c r="E210" s="63"/>
      <c r="F210" s="58"/>
      <c r="G210" s="57"/>
      <c r="H210" s="57"/>
      <c r="I210" s="57"/>
      <c r="J210" s="57"/>
      <c r="K210" s="57"/>
    </row>
    <row r="211" spans="1:11" ht="22.15" customHeight="1" x14ac:dyDescent="0.2">
      <c r="A211" s="53" t="str">
        <f>IF(B211&lt;&gt;"",207,"")</f>
        <v/>
      </c>
      <c r="B211" s="53"/>
      <c r="C211" s="53" t="str">
        <f>IFERROR(VLOOKUP(B211,'👥 بيانات الموظفين'!B:C,2,0),"")</f>
        <v/>
      </c>
      <c r="D211" s="53"/>
      <c r="E211" s="62"/>
      <c r="F211" s="54"/>
      <c r="G211" s="53"/>
      <c r="H211" s="53"/>
      <c r="I211" s="53"/>
      <c r="J211" s="53"/>
      <c r="K211" s="53"/>
    </row>
    <row r="212" spans="1:11" ht="22.15" customHeight="1" x14ac:dyDescent="0.2">
      <c r="A212" s="57" t="str">
        <f>IF(B212&lt;&gt;"",208,"")</f>
        <v/>
      </c>
      <c r="B212" s="57"/>
      <c r="C212" s="57" t="str">
        <f>IFERROR(VLOOKUP(B212,'👥 بيانات الموظفين'!B:C,2,0),"")</f>
        <v/>
      </c>
      <c r="D212" s="57"/>
      <c r="E212" s="63"/>
      <c r="F212" s="58"/>
      <c r="G212" s="57"/>
      <c r="H212" s="57"/>
      <c r="I212" s="57"/>
      <c r="J212" s="57"/>
      <c r="K212" s="57"/>
    </row>
    <row r="213" spans="1:11" ht="22.15" customHeight="1" x14ac:dyDescent="0.2">
      <c r="A213" s="53" t="str">
        <f>IF(B213&lt;&gt;"",209,"")</f>
        <v/>
      </c>
      <c r="B213" s="53"/>
      <c r="C213" s="53" t="str">
        <f>IFERROR(VLOOKUP(B213,'👥 بيانات الموظفين'!B:C,2,0),"")</f>
        <v/>
      </c>
      <c r="D213" s="53"/>
      <c r="E213" s="62"/>
      <c r="F213" s="54"/>
      <c r="G213" s="53"/>
      <c r="H213" s="53"/>
      <c r="I213" s="53"/>
      <c r="J213" s="53"/>
      <c r="K213" s="53"/>
    </row>
    <row r="214" spans="1:11" ht="22.15" customHeight="1" x14ac:dyDescent="0.2">
      <c r="A214" s="57" t="str">
        <f>IF(B214&lt;&gt;"",210,"")</f>
        <v/>
      </c>
      <c r="B214" s="57"/>
      <c r="C214" s="57" t="str">
        <f>IFERROR(VLOOKUP(B214,'👥 بيانات الموظفين'!B:C,2,0),"")</f>
        <v/>
      </c>
      <c r="D214" s="57"/>
      <c r="E214" s="63"/>
      <c r="F214" s="58"/>
      <c r="G214" s="57"/>
      <c r="H214" s="57"/>
      <c r="I214" s="57"/>
      <c r="J214" s="57"/>
      <c r="K214" s="57"/>
    </row>
    <row r="215" spans="1:11" ht="22.15" customHeight="1" x14ac:dyDescent="0.2">
      <c r="A215" s="53" t="str">
        <f>IF(B215&lt;&gt;"",211,"")</f>
        <v/>
      </c>
      <c r="B215" s="53"/>
      <c r="C215" s="53" t="str">
        <f>IFERROR(VLOOKUP(B215,'👥 بيانات الموظفين'!B:C,2,0),"")</f>
        <v/>
      </c>
      <c r="D215" s="53"/>
      <c r="E215" s="62"/>
      <c r="F215" s="54"/>
      <c r="G215" s="53"/>
      <c r="H215" s="53"/>
      <c r="I215" s="53"/>
      <c r="J215" s="53"/>
      <c r="K215" s="53"/>
    </row>
    <row r="216" spans="1:11" ht="22.15" customHeight="1" x14ac:dyDescent="0.2">
      <c r="A216" s="57" t="str">
        <f>IF(B216&lt;&gt;"",212,"")</f>
        <v/>
      </c>
      <c r="B216" s="57"/>
      <c r="C216" s="57" t="str">
        <f>IFERROR(VLOOKUP(B216,'👥 بيانات الموظفين'!B:C,2,0),"")</f>
        <v/>
      </c>
      <c r="D216" s="57"/>
      <c r="E216" s="63"/>
      <c r="F216" s="58"/>
      <c r="G216" s="57"/>
      <c r="H216" s="57"/>
      <c r="I216" s="57"/>
      <c r="J216" s="57"/>
      <c r="K216" s="57"/>
    </row>
    <row r="217" spans="1:11" ht="22.15" customHeight="1" x14ac:dyDescent="0.2">
      <c r="A217" s="53" t="str">
        <f>IF(B217&lt;&gt;"",213,"")</f>
        <v/>
      </c>
      <c r="B217" s="53"/>
      <c r="C217" s="53" t="str">
        <f>IFERROR(VLOOKUP(B217,'👥 بيانات الموظفين'!B:C,2,0),"")</f>
        <v/>
      </c>
      <c r="D217" s="53"/>
      <c r="E217" s="62"/>
      <c r="F217" s="54"/>
      <c r="G217" s="53"/>
      <c r="H217" s="53"/>
      <c r="I217" s="53"/>
      <c r="J217" s="53"/>
      <c r="K217" s="53"/>
    </row>
    <row r="218" spans="1:11" ht="22.15" customHeight="1" x14ac:dyDescent="0.2">
      <c r="A218" s="57" t="str">
        <f>IF(B218&lt;&gt;"",214,"")</f>
        <v/>
      </c>
      <c r="B218" s="57"/>
      <c r="C218" s="57" t="str">
        <f>IFERROR(VLOOKUP(B218,'👥 بيانات الموظفين'!B:C,2,0),"")</f>
        <v/>
      </c>
      <c r="D218" s="57"/>
      <c r="E218" s="63"/>
      <c r="F218" s="58"/>
      <c r="G218" s="57"/>
      <c r="H218" s="57"/>
      <c r="I218" s="57"/>
      <c r="J218" s="57"/>
      <c r="K218" s="57"/>
    </row>
    <row r="219" spans="1:11" ht="22.15" customHeight="1" x14ac:dyDescent="0.2">
      <c r="A219" s="53" t="str">
        <f>IF(B219&lt;&gt;"",215,"")</f>
        <v/>
      </c>
      <c r="B219" s="53"/>
      <c r="C219" s="53" t="str">
        <f>IFERROR(VLOOKUP(B219,'👥 بيانات الموظفين'!B:C,2,0),"")</f>
        <v/>
      </c>
      <c r="D219" s="53"/>
      <c r="E219" s="62"/>
      <c r="F219" s="54"/>
      <c r="G219" s="53"/>
      <c r="H219" s="53"/>
      <c r="I219" s="53"/>
      <c r="J219" s="53"/>
      <c r="K219" s="53"/>
    </row>
    <row r="220" spans="1:11" ht="22.15" customHeight="1" x14ac:dyDescent="0.2">
      <c r="A220" s="57" t="str">
        <f>IF(B220&lt;&gt;"",216,"")</f>
        <v/>
      </c>
      <c r="B220" s="57"/>
      <c r="C220" s="57" t="str">
        <f>IFERROR(VLOOKUP(B220,'👥 بيانات الموظفين'!B:C,2,0),"")</f>
        <v/>
      </c>
      <c r="D220" s="57"/>
      <c r="E220" s="63"/>
      <c r="F220" s="58"/>
      <c r="G220" s="57"/>
      <c r="H220" s="57"/>
      <c r="I220" s="57"/>
      <c r="J220" s="57"/>
      <c r="K220" s="57"/>
    </row>
    <row r="221" spans="1:11" ht="22.15" customHeight="1" x14ac:dyDescent="0.2">
      <c r="A221" s="53" t="str">
        <f>IF(B221&lt;&gt;"",217,"")</f>
        <v/>
      </c>
      <c r="B221" s="53"/>
      <c r="C221" s="53" t="str">
        <f>IFERROR(VLOOKUP(B221,'👥 بيانات الموظفين'!B:C,2,0),"")</f>
        <v/>
      </c>
      <c r="D221" s="53"/>
      <c r="E221" s="62"/>
      <c r="F221" s="54"/>
      <c r="G221" s="53"/>
      <c r="H221" s="53"/>
      <c r="I221" s="53"/>
      <c r="J221" s="53"/>
      <c r="K221" s="53"/>
    </row>
    <row r="222" spans="1:11" ht="22.15" customHeight="1" x14ac:dyDescent="0.2">
      <c r="A222" s="57" t="str">
        <f>IF(B222&lt;&gt;"",218,"")</f>
        <v/>
      </c>
      <c r="B222" s="57"/>
      <c r="C222" s="57" t="str">
        <f>IFERROR(VLOOKUP(B222,'👥 بيانات الموظفين'!B:C,2,0),"")</f>
        <v/>
      </c>
      <c r="D222" s="57"/>
      <c r="E222" s="63"/>
      <c r="F222" s="58"/>
      <c r="G222" s="57"/>
      <c r="H222" s="57"/>
      <c r="I222" s="57"/>
      <c r="J222" s="57"/>
      <c r="K222" s="57"/>
    </row>
    <row r="223" spans="1:11" ht="22.15" customHeight="1" x14ac:dyDescent="0.2">
      <c r="A223" s="53" t="str">
        <f>IF(B223&lt;&gt;"",219,"")</f>
        <v/>
      </c>
      <c r="B223" s="53"/>
      <c r="C223" s="53" t="str">
        <f>IFERROR(VLOOKUP(B223,'👥 بيانات الموظفين'!B:C,2,0),"")</f>
        <v/>
      </c>
      <c r="D223" s="53"/>
      <c r="E223" s="62"/>
      <c r="F223" s="54"/>
      <c r="G223" s="53"/>
      <c r="H223" s="53"/>
      <c r="I223" s="53"/>
      <c r="J223" s="53"/>
      <c r="K223" s="53"/>
    </row>
    <row r="224" spans="1:11" ht="22.15" customHeight="1" x14ac:dyDescent="0.2">
      <c r="A224" s="57" t="str">
        <f>IF(B224&lt;&gt;"",220,"")</f>
        <v/>
      </c>
      <c r="B224" s="57"/>
      <c r="C224" s="57" t="str">
        <f>IFERROR(VLOOKUP(B224,'👥 بيانات الموظفين'!B:C,2,0),"")</f>
        <v/>
      </c>
      <c r="D224" s="57"/>
      <c r="E224" s="63"/>
      <c r="F224" s="58"/>
      <c r="G224" s="57"/>
      <c r="H224" s="57"/>
      <c r="I224" s="57"/>
      <c r="J224" s="57"/>
      <c r="K224" s="57"/>
    </row>
    <row r="225" spans="1:11" ht="22.15" customHeight="1" x14ac:dyDescent="0.2">
      <c r="A225" s="53" t="str">
        <f>IF(B225&lt;&gt;"",221,"")</f>
        <v/>
      </c>
      <c r="B225" s="53"/>
      <c r="C225" s="53" t="str">
        <f>IFERROR(VLOOKUP(B225,'👥 بيانات الموظفين'!B:C,2,0),"")</f>
        <v/>
      </c>
      <c r="D225" s="53"/>
      <c r="E225" s="62"/>
      <c r="F225" s="54"/>
      <c r="G225" s="53"/>
      <c r="H225" s="53"/>
      <c r="I225" s="53"/>
      <c r="J225" s="53"/>
      <c r="K225" s="53"/>
    </row>
    <row r="226" spans="1:11" ht="22.15" customHeight="1" x14ac:dyDescent="0.2">
      <c r="A226" s="57" t="str">
        <f>IF(B226&lt;&gt;"",222,"")</f>
        <v/>
      </c>
      <c r="B226" s="57"/>
      <c r="C226" s="57" t="str">
        <f>IFERROR(VLOOKUP(B226,'👥 بيانات الموظفين'!B:C,2,0),"")</f>
        <v/>
      </c>
      <c r="D226" s="57"/>
      <c r="E226" s="63"/>
      <c r="F226" s="58"/>
      <c r="G226" s="57"/>
      <c r="H226" s="57"/>
      <c r="I226" s="57"/>
      <c r="J226" s="57"/>
      <c r="K226" s="57"/>
    </row>
    <row r="227" spans="1:11" ht="22.15" customHeight="1" x14ac:dyDescent="0.2">
      <c r="A227" s="53" t="str">
        <f>IF(B227&lt;&gt;"",223,"")</f>
        <v/>
      </c>
      <c r="B227" s="53"/>
      <c r="C227" s="53" t="str">
        <f>IFERROR(VLOOKUP(B227,'👥 بيانات الموظفين'!B:C,2,0),"")</f>
        <v/>
      </c>
      <c r="D227" s="53"/>
      <c r="E227" s="62"/>
      <c r="F227" s="54"/>
      <c r="G227" s="53"/>
      <c r="H227" s="53"/>
      <c r="I227" s="53"/>
      <c r="J227" s="53"/>
      <c r="K227" s="53"/>
    </row>
    <row r="228" spans="1:11" ht="22.15" customHeight="1" x14ac:dyDescent="0.2">
      <c r="A228" s="57" t="str">
        <f>IF(B228&lt;&gt;"",224,"")</f>
        <v/>
      </c>
      <c r="B228" s="57"/>
      <c r="C228" s="57" t="str">
        <f>IFERROR(VLOOKUP(B228,'👥 بيانات الموظفين'!B:C,2,0),"")</f>
        <v/>
      </c>
      <c r="D228" s="57"/>
      <c r="E228" s="63"/>
      <c r="F228" s="58"/>
      <c r="G228" s="57"/>
      <c r="H228" s="57"/>
      <c r="I228" s="57"/>
      <c r="J228" s="57"/>
      <c r="K228" s="57"/>
    </row>
    <row r="229" spans="1:11" ht="22.15" customHeight="1" x14ac:dyDescent="0.2">
      <c r="A229" s="53" t="str">
        <f>IF(B229&lt;&gt;"",225,"")</f>
        <v/>
      </c>
      <c r="B229" s="53"/>
      <c r="C229" s="53" t="str">
        <f>IFERROR(VLOOKUP(B229,'👥 بيانات الموظفين'!B:C,2,0),"")</f>
        <v/>
      </c>
      <c r="D229" s="53"/>
      <c r="E229" s="62"/>
      <c r="F229" s="54"/>
      <c r="G229" s="53"/>
      <c r="H229" s="53"/>
      <c r="I229" s="53"/>
      <c r="J229" s="53"/>
      <c r="K229" s="53"/>
    </row>
    <row r="230" spans="1:11" ht="22.15" customHeight="1" x14ac:dyDescent="0.2">
      <c r="A230" s="57" t="str">
        <f>IF(B230&lt;&gt;"",226,"")</f>
        <v/>
      </c>
      <c r="B230" s="57"/>
      <c r="C230" s="57" t="str">
        <f>IFERROR(VLOOKUP(B230,'👥 بيانات الموظفين'!B:C,2,0),"")</f>
        <v/>
      </c>
      <c r="D230" s="57"/>
      <c r="E230" s="63"/>
      <c r="F230" s="58"/>
      <c r="G230" s="57"/>
      <c r="H230" s="57"/>
      <c r="I230" s="57"/>
      <c r="J230" s="57"/>
      <c r="K230" s="57"/>
    </row>
    <row r="231" spans="1:11" ht="22.15" customHeight="1" x14ac:dyDescent="0.2">
      <c r="A231" s="53" t="str">
        <f>IF(B231&lt;&gt;"",227,"")</f>
        <v/>
      </c>
      <c r="B231" s="53"/>
      <c r="C231" s="53" t="str">
        <f>IFERROR(VLOOKUP(B231,'👥 بيانات الموظفين'!B:C,2,0),"")</f>
        <v/>
      </c>
      <c r="D231" s="53"/>
      <c r="E231" s="62"/>
      <c r="F231" s="54"/>
      <c r="G231" s="53"/>
      <c r="H231" s="53"/>
      <c r="I231" s="53"/>
      <c r="J231" s="53"/>
      <c r="K231" s="53"/>
    </row>
    <row r="232" spans="1:11" ht="22.15" customHeight="1" x14ac:dyDescent="0.2">
      <c r="A232" s="57" t="str">
        <f>IF(B232&lt;&gt;"",228,"")</f>
        <v/>
      </c>
      <c r="B232" s="57"/>
      <c r="C232" s="57" t="str">
        <f>IFERROR(VLOOKUP(B232,'👥 بيانات الموظفين'!B:C,2,0),"")</f>
        <v/>
      </c>
      <c r="D232" s="57"/>
      <c r="E232" s="63"/>
      <c r="F232" s="58"/>
      <c r="G232" s="57"/>
      <c r="H232" s="57"/>
      <c r="I232" s="57"/>
      <c r="J232" s="57"/>
      <c r="K232" s="57"/>
    </row>
    <row r="233" spans="1:11" ht="22.15" customHeight="1" x14ac:dyDescent="0.2">
      <c r="A233" s="53" t="str">
        <f>IF(B233&lt;&gt;"",229,"")</f>
        <v/>
      </c>
      <c r="B233" s="53"/>
      <c r="C233" s="53" t="str">
        <f>IFERROR(VLOOKUP(B233,'👥 بيانات الموظفين'!B:C,2,0),"")</f>
        <v/>
      </c>
      <c r="D233" s="53"/>
      <c r="E233" s="62"/>
      <c r="F233" s="54"/>
      <c r="G233" s="53"/>
      <c r="H233" s="53"/>
      <c r="I233" s="53"/>
      <c r="J233" s="53"/>
      <c r="K233" s="53"/>
    </row>
    <row r="234" spans="1:11" ht="22.15" customHeight="1" x14ac:dyDescent="0.2">
      <c r="A234" s="57" t="str">
        <f>IF(B234&lt;&gt;"",230,"")</f>
        <v/>
      </c>
      <c r="B234" s="57"/>
      <c r="C234" s="57" t="str">
        <f>IFERROR(VLOOKUP(B234,'👥 بيانات الموظفين'!B:C,2,0),"")</f>
        <v/>
      </c>
      <c r="D234" s="57"/>
      <c r="E234" s="63"/>
      <c r="F234" s="58"/>
      <c r="G234" s="57"/>
      <c r="H234" s="57"/>
      <c r="I234" s="57"/>
      <c r="J234" s="57"/>
      <c r="K234" s="57"/>
    </row>
    <row r="235" spans="1:11" ht="22.15" customHeight="1" x14ac:dyDescent="0.2">
      <c r="A235" s="53" t="str">
        <f>IF(B235&lt;&gt;"",231,"")</f>
        <v/>
      </c>
      <c r="B235" s="53"/>
      <c r="C235" s="53" t="str">
        <f>IFERROR(VLOOKUP(B235,'👥 بيانات الموظفين'!B:C,2,0),"")</f>
        <v/>
      </c>
      <c r="D235" s="53"/>
      <c r="E235" s="62"/>
      <c r="F235" s="54"/>
      <c r="G235" s="53"/>
      <c r="H235" s="53"/>
      <c r="I235" s="53"/>
      <c r="J235" s="53"/>
      <c r="K235" s="53"/>
    </row>
    <row r="236" spans="1:11" ht="22.15" customHeight="1" x14ac:dyDescent="0.2">
      <c r="A236" s="57" t="str">
        <f>IF(B236&lt;&gt;"",232,"")</f>
        <v/>
      </c>
      <c r="B236" s="57"/>
      <c r="C236" s="57" t="str">
        <f>IFERROR(VLOOKUP(B236,'👥 بيانات الموظفين'!B:C,2,0),"")</f>
        <v/>
      </c>
      <c r="D236" s="57"/>
      <c r="E236" s="63"/>
      <c r="F236" s="58"/>
      <c r="G236" s="57"/>
      <c r="H236" s="57"/>
      <c r="I236" s="57"/>
      <c r="J236" s="57"/>
      <c r="K236" s="57"/>
    </row>
    <row r="237" spans="1:11" ht="22.15" customHeight="1" x14ac:dyDescent="0.2">
      <c r="A237" s="53" t="str">
        <f>IF(B237&lt;&gt;"",233,"")</f>
        <v/>
      </c>
      <c r="B237" s="53"/>
      <c r="C237" s="53" t="str">
        <f>IFERROR(VLOOKUP(B237,'👥 بيانات الموظفين'!B:C,2,0),"")</f>
        <v/>
      </c>
      <c r="D237" s="53"/>
      <c r="E237" s="62"/>
      <c r="F237" s="54"/>
      <c r="G237" s="53"/>
      <c r="H237" s="53"/>
      <c r="I237" s="53"/>
      <c r="J237" s="53"/>
      <c r="K237" s="53"/>
    </row>
    <row r="238" spans="1:11" ht="22.15" customHeight="1" x14ac:dyDescent="0.2">
      <c r="A238" s="57" t="str">
        <f>IF(B238&lt;&gt;"",234,"")</f>
        <v/>
      </c>
      <c r="B238" s="57"/>
      <c r="C238" s="57" t="str">
        <f>IFERROR(VLOOKUP(B238,'👥 بيانات الموظفين'!B:C,2,0),"")</f>
        <v/>
      </c>
      <c r="D238" s="57"/>
      <c r="E238" s="63"/>
      <c r="F238" s="58"/>
      <c r="G238" s="57"/>
      <c r="H238" s="57"/>
      <c r="I238" s="57"/>
      <c r="J238" s="57"/>
      <c r="K238" s="57"/>
    </row>
    <row r="239" spans="1:11" ht="22.15" customHeight="1" x14ac:dyDescent="0.2">
      <c r="A239" s="53" t="str">
        <f>IF(B239&lt;&gt;"",235,"")</f>
        <v/>
      </c>
      <c r="B239" s="53"/>
      <c r="C239" s="53" t="str">
        <f>IFERROR(VLOOKUP(B239,'👥 بيانات الموظفين'!B:C,2,0),"")</f>
        <v/>
      </c>
      <c r="D239" s="53"/>
      <c r="E239" s="62"/>
      <c r="F239" s="54"/>
      <c r="G239" s="53"/>
      <c r="H239" s="53"/>
      <c r="I239" s="53"/>
      <c r="J239" s="53"/>
      <c r="K239" s="53"/>
    </row>
    <row r="240" spans="1:11" ht="22.15" customHeight="1" x14ac:dyDescent="0.2">
      <c r="A240" s="57" t="str">
        <f>IF(B240&lt;&gt;"",236,"")</f>
        <v/>
      </c>
      <c r="B240" s="57"/>
      <c r="C240" s="57" t="str">
        <f>IFERROR(VLOOKUP(B240,'👥 بيانات الموظفين'!B:C,2,0),"")</f>
        <v/>
      </c>
      <c r="D240" s="57"/>
      <c r="E240" s="63"/>
      <c r="F240" s="58"/>
      <c r="G240" s="57"/>
      <c r="H240" s="57"/>
      <c r="I240" s="57"/>
      <c r="J240" s="57"/>
      <c r="K240" s="57"/>
    </row>
    <row r="241" spans="1:11" ht="22.15" customHeight="1" x14ac:dyDescent="0.2">
      <c r="A241" s="53" t="str">
        <f>IF(B241&lt;&gt;"",237,"")</f>
        <v/>
      </c>
      <c r="B241" s="53"/>
      <c r="C241" s="53" t="str">
        <f>IFERROR(VLOOKUP(B241,'👥 بيانات الموظفين'!B:C,2,0),"")</f>
        <v/>
      </c>
      <c r="D241" s="53"/>
      <c r="E241" s="62"/>
      <c r="F241" s="54"/>
      <c r="G241" s="53"/>
      <c r="H241" s="53"/>
      <c r="I241" s="53"/>
      <c r="J241" s="53"/>
      <c r="K241" s="53"/>
    </row>
    <row r="242" spans="1:11" ht="22.15" customHeight="1" x14ac:dyDescent="0.2">
      <c r="A242" s="57" t="str">
        <f>IF(B242&lt;&gt;"",238,"")</f>
        <v/>
      </c>
      <c r="B242" s="57"/>
      <c r="C242" s="57" t="str">
        <f>IFERROR(VLOOKUP(B242,'👥 بيانات الموظفين'!B:C,2,0),"")</f>
        <v/>
      </c>
      <c r="D242" s="57"/>
      <c r="E242" s="63"/>
      <c r="F242" s="58"/>
      <c r="G242" s="57"/>
      <c r="H242" s="57"/>
      <c r="I242" s="57"/>
      <c r="J242" s="57"/>
      <c r="K242" s="57"/>
    </row>
    <row r="243" spans="1:11" ht="22.15" customHeight="1" x14ac:dyDescent="0.2">
      <c r="A243" s="53" t="str">
        <f>IF(B243&lt;&gt;"",239,"")</f>
        <v/>
      </c>
      <c r="B243" s="53"/>
      <c r="C243" s="53" t="str">
        <f>IFERROR(VLOOKUP(B243,'👥 بيانات الموظفين'!B:C,2,0),"")</f>
        <v/>
      </c>
      <c r="D243" s="53"/>
      <c r="E243" s="62"/>
      <c r="F243" s="54"/>
      <c r="G243" s="53"/>
      <c r="H243" s="53"/>
      <c r="I243" s="53"/>
      <c r="J243" s="53"/>
      <c r="K243" s="53"/>
    </row>
    <row r="244" spans="1:11" ht="22.15" customHeight="1" x14ac:dyDescent="0.2">
      <c r="A244" s="57" t="str">
        <f>IF(B244&lt;&gt;"",240,"")</f>
        <v/>
      </c>
      <c r="B244" s="57"/>
      <c r="C244" s="57" t="str">
        <f>IFERROR(VLOOKUP(B244,'👥 بيانات الموظفين'!B:C,2,0),"")</f>
        <v/>
      </c>
      <c r="D244" s="57"/>
      <c r="E244" s="63"/>
      <c r="F244" s="58"/>
      <c r="G244" s="57"/>
      <c r="H244" s="57"/>
      <c r="I244" s="57"/>
      <c r="J244" s="57"/>
      <c r="K244" s="57"/>
    </row>
    <row r="245" spans="1:11" ht="22.15" customHeight="1" x14ac:dyDescent="0.2">
      <c r="A245" s="53" t="str">
        <f>IF(B245&lt;&gt;"",241,"")</f>
        <v/>
      </c>
      <c r="B245" s="53"/>
      <c r="C245" s="53" t="str">
        <f>IFERROR(VLOOKUP(B245,'👥 بيانات الموظفين'!B:C,2,0),"")</f>
        <v/>
      </c>
      <c r="D245" s="53"/>
      <c r="E245" s="62"/>
      <c r="F245" s="54"/>
      <c r="G245" s="53"/>
      <c r="H245" s="53"/>
      <c r="I245" s="53"/>
      <c r="J245" s="53"/>
      <c r="K245" s="53"/>
    </row>
    <row r="246" spans="1:11" ht="22.15" customHeight="1" x14ac:dyDescent="0.2">
      <c r="A246" s="57" t="str">
        <f>IF(B246&lt;&gt;"",242,"")</f>
        <v/>
      </c>
      <c r="B246" s="57"/>
      <c r="C246" s="57" t="str">
        <f>IFERROR(VLOOKUP(B246,'👥 بيانات الموظفين'!B:C,2,0),"")</f>
        <v/>
      </c>
      <c r="D246" s="57"/>
      <c r="E246" s="63"/>
      <c r="F246" s="58"/>
      <c r="G246" s="57"/>
      <c r="H246" s="57"/>
      <c r="I246" s="57"/>
      <c r="J246" s="57"/>
      <c r="K246" s="57"/>
    </row>
    <row r="247" spans="1:11" ht="22.15" customHeight="1" x14ac:dyDescent="0.2">
      <c r="A247" s="53" t="str">
        <f>IF(B247&lt;&gt;"",243,"")</f>
        <v/>
      </c>
      <c r="B247" s="53"/>
      <c r="C247" s="53" t="str">
        <f>IFERROR(VLOOKUP(B247,'👥 بيانات الموظفين'!B:C,2,0),"")</f>
        <v/>
      </c>
      <c r="D247" s="53"/>
      <c r="E247" s="62"/>
      <c r="F247" s="54"/>
      <c r="G247" s="53"/>
      <c r="H247" s="53"/>
      <c r="I247" s="53"/>
      <c r="J247" s="53"/>
      <c r="K247" s="53"/>
    </row>
    <row r="248" spans="1:11" ht="22.15" customHeight="1" x14ac:dyDescent="0.2">
      <c r="A248" s="57" t="str">
        <f>IF(B248&lt;&gt;"",244,"")</f>
        <v/>
      </c>
      <c r="B248" s="57"/>
      <c r="C248" s="57" t="str">
        <f>IFERROR(VLOOKUP(B248,'👥 بيانات الموظفين'!B:C,2,0),"")</f>
        <v/>
      </c>
      <c r="D248" s="57"/>
      <c r="E248" s="63"/>
      <c r="F248" s="58"/>
      <c r="G248" s="57"/>
      <c r="H248" s="57"/>
      <c r="I248" s="57"/>
      <c r="J248" s="57"/>
      <c r="K248" s="57"/>
    </row>
    <row r="249" spans="1:11" ht="22.15" customHeight="1" x14ac:dyDescent="0.2">
      <c r="A249" s="53" t="str">
        <f>IF(B249&lt;&gt;"",245,"")</f>
        <v/>
      </c>
      <c r="B249" s="53"/>
      <c r="C249" s="53" t="str">
        <f>IFERROR(VLOOKUP(B249,'👥 بيانات الموظفين'!B:C,2,0),"")</f>
        <v/>
      </c>
      <c r="D249" s="53"/>
      <c r="E249" s="62"/>
      <c r="F249" s="54"/>
      <c r="G249" s="53"/>
      <c r="H249" s="53"/>
      <c r="I249" s="53"/>
      <c r="J249" s="53"/>
      <c r="K249" s="53"/>
    </row>
    <row r="250" spans="1:11" ht="22.15" customHeight="1" x14ac:dyDescent="0.2">
      <c r="A250" s="57" t="str">
        <f>IF(B250&lt;&gt;"",246,"")</f>
        <v/>
      </c>
      <c r="B250" s="57"/>
      <c r="C250" s="57" t="str">
        <f>IFERROR(VLOOKUP(B250,'👥 بيانات الموظفين'!B:C,2,0),"")</f>
        <v/>
      </c>
      <c r="D250" s="57"/>
      <c r="E250" s="63"/>
      <c r="F250" s="58"/>
      <c r="G250" s="57"/>
      <c r="H250" s="57"/>
      <c r="I250" s="57"/>
      <c r="J250" s="57"/>
      <c r="K250" s="57"/>
    </row>
    <row r="251" spans="1:11" ht="22.15" customHeight="1" x14ac:dyDescent="0.2">
      <c r="A251" s="53" t="str">
        <f>IF(B251&lt;&gt;"",247,"")</f>
        <v/>
      </c>
      <c r="B251" s="53"/>
      <c r="C251" s="53" t="str">
        <f>IFERROR(VLOOKUP(B251,'👥 بيانات الموظفين'!B:C,2,0),"")</f>
        <v/>
      </c>
      <c r="D251" s="53"/>
      <c r="E251" s="62"/>
      <c r="F251" s="54"/>
      <c r="G251" s="53"/>
      <c r="H251" s="53"/>
      <c r="I251" s="53"/>
      <c r="J251" s="53"/>
      <c r="K251" s="53"/>
    </row>
    <row r="252" spans="1:11" ht="22.15" customHeight="1" x14ac:dyDescent="0.2">
      <c r="A252" s="57" t="str">
        <f>IF(B252&lt;&gt;"",248,"")</f>
        <v/>
      </c>
      <c r="B252" s="57"/>
      <c r="C252" s="57" t="str">
        <f>IFERROR(VLOOKUP(B252,'👥 بيانات الموظفين'!B:C,2,0),"")</f>
        <v/>
      </c>
      <c r="D252" s="57"/>
      <c r="E252" s="63"/>
      <c r="F252" s="58"/>
      <c r="G252" s="57"/>
      <c r="H252" s="57"/>
      <c r="I252" s="57"/>
      <c r="J252" s="57"/>
      <c r="K252" s="57"/>
    </row>
    <row r="253" spans="1:11" ht="22.15" customHeight="1" x14ac:dyDescent="0.2">
      <c r="A253" s="53" t="str">
        <f>IF(B253&lt;&gt;"",249,"")</f>
        <v/>
      </c>
      <c r="B253" s="53"/>
      <c r="C253" s="53" t="str">
        <f>IFERROR(VLOOKUP(B253,'👥 بيانات الموظفين'!B:C,2,0),"")</f>
        <v/>
      </c>
      <c r="D253" s="53"/>
      <c r="E253" s="62"/>
      <c r="F253" s="54"/>
      <c r="G253" s="53"/>
      <c r="H253" s="53"/>
      <c r="I253" s="53"/>
      <c r="J253" s="53"/>
      <c r="K253" s="53"/>
    </row>
    <row r="254" spans="1:11" ht="22.15" customHeight="1" x14ac:dyDescent="0.2">
      <c r="A254" s="57" t="str">
        <f>IF(B254&lt;&gt;"",250,"")</f>
        <v/>
      </c>
      <c r="B254" s="57"/>
      <c r="C254" s="57" t="str">
        <f>IFERROR(VLOOKUP(B254,'👥 بيانات الموظفين'!B:C,2,0),"")</f>
        <v/>
      </c>
      <c r="D254" s="57"/>
      <c r="E254" s="63"/>
      <c r="F254" s="58"/>
      <c r="G254" s="57"/>
      <c r="H254" s="57"/>
      <c r="I254" s="57"/>
      <c r="J254" s="57"/>
      <c r="K254" s="57"/>
    </row>
    <row r="255" spans="1:11" ht="22.15" customHeight="1" x14ac:dyDescent="0.2">
      <c r="A255" s="53" t="str">
        <f>IF(B255&lt;&gt;"",251,"")</f>
        <v/>
      </c>
      <c r="B255" s="53"/>
      <c r="C255" s="53" t="str">
        <f>IFERROR(VLOOKUP(B255,'👥 بيانات الموظفين'!B:C,2,0),"")</f>
        <v/>
      </c>
      <c r="D255" s="53"/>
      <c r="E255" s="62"/>
      <c r="F255" s="54"/>
      <c r="G255" s="53"/>
      <c r="H255" s="53"/>
      <c r="I255" s="53"/>
      <c r="J255" s="53"/>
      <c r="K255" s="53"/>
    </row>
    <row r="256" spans="1:11" ht="22.15" customHeight="1" x14ac:dyDescent="0.2">
      <c r="A256" s="57" t="str">
        <f>IF(B256&lt;&gt;"",252,"")</f>
        <v/>
      </c>
      <c r="B256" s="57"/>
      <c r="C256" s="57" t="str">
        <f>IFERROR(VLOOKUP(B256,'👥 بيانات الموظفين'!B:C,2,0),"")</f>
        <v/>
      </c>
      <c r="D256" s="57"/>
      <c r="E256" s="63"/>
      <c r="F256" s="58"/>
      <c r="G256" s="57"/>
      <c r="H256" s="57"/>
      <c r="I256" s="57"/>
      <c r="J256" s="57"/>
      <c r="K256" s="57"/>
    </row>
    <row r="257" spans="1:11" ht="22.15" customHeight="1" x14ac:dyDescent="0.2">
      <c r="A257" s="53" t="str">
        <f>IF(B257&lt;&gt;"",253,"")</f>
        <v/>
      </c>
      <c r="B257" s="53"/>
      <c r="C257" s="53" t="str">
        <f>IFERROR(VLOOKUP(B257,'👥 بيانات الموظفين'!B:C,2,0),"")</f>
        <v/>
      </c>
      <c r="D257" s="53"/>
      <c r="E257" s="62"/>
      <c r="F257" s="54"/>
      <c r="G257" s="53"/>
      <c r="H257" s="53"/>
      <c r="I257" s="53"/>
      <c r="J257" s="53"/>
      <c r="K257" s="53"/>
    </row>
    <row r="258" spans="1:11" ht="22.15" customHeight="1" x14ac:dyDescent="0.2">
      <c r="A258" s="57" t="str">
        <f>IF(B258&lt;&gt;"",254,"")</f>
        <v/>
      </c>
      <c r="B258" s="57"/>
      <c r="C258" s="57" t="str">
        <f>IFERROR(VLOOKUP(B258,'👥 بيانات الموظفين'!B:C,2,0),"")</f>
        <v/>
      </c>
      <c r="D258" s="57"/>
      <c r="E258" s="63"/>
      <c r="F258" s="58"/>
      <c r="G258" s="57"/>
      <c r="H258" s="57"/>
      <c r="I258" s="57"/>
      <c r="J258" s="57"/>
      <c r="K258" s="57"/>
    </row>
    <row r="259" spans="1:11" ht="22.15" customHeight="1" x14ac:dyDescent="0.2">
      <c r="A259" s="53" t="str">
        <f>IF(B259&lt;&gt;"",255,"")</f>
        <v/>
      </c>
      <c r="B259" s="53"/>
      <c r="C259" s="53" t="str">
        <f>IFERROR(VLOOKUP(B259,'👥 بيانات الموظفين'!B:C,2,0),"")</f>
        <v/>
      </c>
      <c r="D259" s="53"/>
      <c r="E259" s="62"/>
      <c r="F259" s="54"/>
      <c r="G259" s="53"/>
      <c r="H259" s="53"/>
      <c r="I259" s="53"/>
      <c r="J259" s="53"/>
      <c r="K259" s="53"/>
    </row>
    <row r="260" spans="1:11" ht="22.15" customHeight="1" x14ac:dyDescent="0.2">
      <c r="A260" s="57" t="str">
        <f>IF(B260&lt;&gt;"",256,"")</f>
        <v/>
      </c>
      <c r="B260" s="57"/>
      <c r="C260" s="57" t="str">
        <f>IFERROR(VLOOKUP(B260,'👥 بيانات الموظفين'!B:C,2,0),"")</f>
        <v/>
      </c>
      <c r="D260" s="57"/>
      <c r="E260" s="63"/>
      <c r="F260" s="58"/>
      <c r="G260" s="57"/>
      <c r="H260" s="57"/>
      <c r="I260" s="57"/>
      <c r="J260" s="57"/>
      <c r="K260" s="57"/>
    </row>
    <row r="261" spans="1:11" ht="22.15" customHeight="1" x14ac:dyDescent="0.2">
      <c r="A261" s="53" t="str">
        <f>IF(B261&lt;&gt;"",257,"")</f>
        <v/>
      </c>
      <c r="B261" s="53"/>
      <c r="C261" s="53" t="str">
        <f>IFERROR(VLOOKUP(B261,'👥 بيانات الموظفين'!B:C,2,0),"")</f>
        <v/>
      </c>
      <c r="D261" s="53"/>
      <c r="E261" s="62"/>
      <c r="F261" s="54"/>
      <c r="G261" s="53"/>
      <c r="H261" s="53"/>
      <c r="I261" s="53"/>
      <c r="J261" s="53"/>
      <c r="K261" s="53"/>
    </row>
    <row r="262" spans="1:11" ht="22.15" customHeight="1" x14ac:dyDescent="0.2">
      <c r="A262" s="57" t="str">
        <f>IF(B262&lt;&gt;"",258,"")</f>
        <v/>
      </c>
      <c r="B262" s="57"/>
      <c r="C262" s="57" t="str">
        <f>IFERROR(VLOOKUP(B262,'👥 بيانات الموظفين'!B:C,2,0),"")</f>
        <v/>
      </c>
      <c r="D262" s="57"/>
      <c r="E262" s="63"/>
      <c r="F262" s="58"/>
      <c r="G262" s="57"/>
      <c r="H262" s="57"/>
      <c r="I262" s="57"/>
      <c r="J262" s="57"/>
      <c r="K262" s="57"/>
    </row>
    <row r="263" spans="1:11" ht="22.15" customHeight="1" x14ac:dyDescent="0.2">
      <c r="A263" s="53" t="str">
        <f>IF(B263&lt;&gt;"",259,"")</f>
        <v/>
      </c>
      <c r="B263" s="53"/>
      <c r="C263" s="53" t="str">
        <f>IFERROR(VLOOKUP(B263,'👥 بيانات الموظفين'!B:C,2,0),"")</f>
        <v/>
      </c>
      <c r="D263" s="53"/>
      <c r="E263" s="62"/>
      <c r="F263" s="54"/>
      <c r="G263" s="53"/>
      <c r="H263" s="53"/>
      <c r="I263" s="53"/>
      <c r="J263" s="53"/>
      <c r="K263" s="53"/>
    </row>
    <row r="264" spans="1:11" ht="22.15" customHeight="1" x14ac:dyDescent="0.2">
      <c r="A264" s="57" t="str">
        <f>IF(B264&lt;&gt;"",260,"")</f>
        <v/>
      </c>
      <c r="B264" s="57"/>
      <c r="C264" s="57" t="str">
        <f>IFERROR(VLOOKUP(B264,'👥 بيانات الموظفين'!B:C,2,0),"")</f>
        <v/>
      </c>
      <c r="D264" s="57"/>
      <c r="E264" s="63"/>
      <c r="F264" s="58"/>
      <c r="G264" s="57"/>
      <c r="H264" s="57"/>
      <c r="I264" s="57"/>
      <c r="J264" s="57"/>
      <c r="K264" s="57"/>
    </row>
    <row r="265" spans="1:11" ht="22.15" customHeight="1" x14ac:dyDescent="0.2">
      <c r="A265" s="53" t="str">
        <f>IF(B265&lt;&gt;"",261,"")</f>
        <v/>
      </c>
      <c r="B265" s="53"/>
      <c r="C265" s="53" t="str">
        <f>IFERROR(VLOOKUP(B265,'👥 بيانات الموظفين'!B:C,2,0),"")</f>
        <v/>
      </c>
      <c r="D265" s="53"/>
      <c r="E265" s="62"/>
      <c r="F265" s="54"/>
      <c r="G265" s="53"/>
      <c r="H265" s="53"/>
      <c r="I265" s="53"/>
      <c r="J265" s="53"/>
      <c r="K265" s="53"/>
    </row>
    <row r="266" spans="1:11" ht="22.15" customHeight="1" x14ac:dyDescent="0.2">
      <c r="A266" s="57" t="str">
        <f>IF(B266&lt;&gt;"",262,"")</f>
        <v/>
      </c>
      <c r="B266" s="57"/>
      <c r="C266" s="57" t="str">
        <f>IFERROR(VLOOKUP(B266,'👥 بيانات الموظفين'!B:C,2,0),"")</f>
        <v/>
      </c>
      <c r="D266" s="57"/>
      <c r="E266" s="63"/>
      <c r="F266" s="58"/>
      <c r="G266" s="57"/>
      <c r="H266" s="57"/>
      <c r="I266" s="57"/>
      <c r="J266" s="57"/>
      <c r="K266" s="57"/>
    </row>
    <row r="267" spans="1:11" ht="22.15" customHeight="1" x14ac:dyDescent="0.2">
      <c r="A267" s="53" t="str">
        <f>IF(B267&lt;&gt;"",263,"")</f>
        <v/>
      </c>
      <c r="B267" s="53"/>
      <c r="C267" s="53" t="str">
        <f>IFERROR(VLOOKUP(B267,'👥 بيانات الموظفين'!B:C,2,0),"")</f>
        <v/>
      </c>
      <c r="D267" s="53"/>
      <c r="E267" s="62"/>
      <c r="F267" s="54"/>
      <c r="G267" s="53"/>
      <c r="H267" s="53"/>
      <c r="I267" s="53"/>
      <c r="J267" s="53"/>
      <c r="K267" s="53"/>
    </row>
    <row r="268" spans="1:11" ht="22.15" customHeight="1" x14ac:dyDescent="0.2">
      <c r="A268" s="57" t="str">
        <f>IF(B268&lt;&gt;"",264,"")</f>
        <v/>
      </c>
      <c r="B268" s="57"/>
      <c r="C268" s="57" t="str">
        <f>IFERROR(VLOOKUP(B268,'👥 بيانات الموظفين'!B:C,2,0),"")</f>
        <v/>
      </c>
      <c r="D268" s="57"/>
      <c r="E268" s="63"/>
      <c r="F268" s="58"/>
      <c r="G268" s="57"/>
      <c r="H268" s="57"/>
      <c r="I268" s="57"/>
      <c r="J268" s="57"/>
      <c r="K268" s="57"/>
    </row>
    <row r="269" spans="1:11" ht="22.15" customHeight="1" x14ac:dyDescent="0.2">
      <c r="A269" s="53" t="str">
        <f>IF(B269&lt;&gt;"",265,"")</f>
        <v/>
      </c>
      <c r="B269" s="53"/>
      <c r="C269" s="53" t="str">
        <f>IFERROR(VLOOKUP(B269,'👥 بيانات الموظفين'!B:C,2,0),"")</f>
        <v/>
      </c>
      <c r="D269" s="53"/>
      <c r="E269" s="62"/>
      <c r="F269" s="54"/>
      <c r="G269" s="53"/>
      <c r="H269" s="53"/>
      <c r="I269" s="53"/>
      <c r="J269" s="53"/>
      <c r="K269" s="53"/>
    </row>
    <row r="270" spans="1:11" ht="22.15" customHeight="1" x14ac:dyDescent="0.2">
      <c r="A270" s="57" t="str">
        <f>IF(B270&lt;&gt;"",266,"")</f>
        <v/>
      </c>
      <c r="B270" s="57"/>
      <c r="C270" s="57" t="str">
        <f>IFERROR(VLOOKUP(B270,'👥 بيانات الموظفين'!B:C,2,0),"")</f>
        <v/>
      </c>
      <c r="D270" s="57"/>
      <c r="E270" s="63"/>
      <c r="F270" s="58"/>
      <c r="G270" s="57"/>
      <c r="H270" s="57"/>
      <c r="I270" s="57"/>
      <c r="J270" s="57"/>
      <c r="K270" s="57"/>
    </row>
    <row r="271" spans="1:11" ht="22.15" customHeight="1" x14ac:dyDescent="0.2">
      <c r="A271" s="53" t="str">
        <f>IF(B271&lt;&gt;"",267,"")</f>
        <v/>
      </c>
      <c r="B271" s="53"/>
      <c r="C271" s="53" t="str">
        <f>IFERROR(VLOOKUP(B271,'👥 بيانات الموظفين'!B:C,2,0),"")</f>
        <v/>
      </c>
      <c r="D271" s="53"/>
      <c r="E271" s="62"/>
      <c r="F271" s="54"/>
      <c r="G271" s="53"/>
      <c r="H271" s="53"/>
      <c r="I271" s="53"/>
      <c r="J271" s="53"/>
      <c r="K271" s="53"/>
    </row>
    <row r="272" spans="1:11" ht="22.15" customHeight="1" x14ac:dyDescent="0.2">
      <c r="A272" s="57" t="str">
        <f>IF(B272&lt;&gt;"",268,"")</f>
        <v/>
      </c>
      <c r="B272" s="57"/>
      <c r="C272" s="57" t="str">
        <f>IFERROR(VLOOKUP(B272,'👥 بيانات الموظفين'!B:C,2,0),"")</f>
        <v/>
      </c>
      <c r="D272" s="57"/>
      <c r="E272" s="63"/>
      <c r="F272" s="58"/>
      <c r="G272" s="57"/>
      <c r="H272" s="57"/>
      <c r="I272" s="57"/>
      <c r="J272" s="57"/>
      <c r="K272" s="57"/>
    </row>
    <row r="273" spans="1:11" ht="22.15" customHeight="1" x14ac:dyDescent="0.2">
      <c r="A273" s="53" t="str">
        <f>IF(B273&lt;&gt;"",269,"")</f>
        <v/>
      </c>
      <c r="B273" s="53"/>
      <c r="C273" s="53" t="str">
        <f>IFERROR(VLOOKUP(B273,'👥 بيانات الموظفين'!B:C,2,0),"")</f>
        <v/>
      </c>
      <c r="D273" s="53"/>
      <c r="E273" s="62"/>
      <c r="F273" s="54"/>
      <c r="G273" s="53"/>
      <c r="H273" s="53"/>
      <c r="I273" s="53"/>
      <c r="J273" s="53"/>
      <c r="K273" s="53"/>
    </row>
    <row r="274" spans="1:11" ht="22.15" customHeight="1" x14ac:dyDescent="0.2">
      <c r="A274" s="57" t="str">
        <f>IF(B274&lt;&gt;"",270,"")</f>
        <v/>
      </c>
      <c r="B274" s="57"/>
      <c r="C274" s="57" t="str">
        <f>IFERROR(VLOOKUP(B274,'👥 بيانات الموظفين'!B:C,2,0),"")</f>
        <v/>
      </c>
      <c r="D274" s="57"/>
      <c r="E274" s="63"/>
      <c r="F274" s="58"/>
      <c r="G274" s="57"/>
      <c r="H274" s="57"/>
      <c r="I274" s="57"/>
      <c r="J274" s="57"/>
      <c r="K274" s="57"/>
    </row>
    <row r="275" spans="1:11" ht="22.15" customHeight="1" x14ac:dyDescent="0.2">
      <c r="A275" s="53" t="str">
        <f>IF(B275&lt;&gt;"",271,"")</f>
        <v/>
      </c>
      <c r="B275" s="53"/>
      <c r="C275" s="53" t="str">
        <f>IFERROR(VLOOKUP(B275,'👥 بيانات الموظفين'!B:C,2,0),"")</f>
        <v/>
      </c>
      <c r="D275" s="53"/>
      <c r="E275" s="62"/>
      <c r="F275" s="54"/>
      <c r="G275" s="53"/>
      <c r="H275" s="53"/>
      <c r="I275" s="53"/>
      <c r="J275" s="53"/>
      <c r="K275" s="53"/>
    </row>
    <row r="276" spans="1:11" ht="22.15" customHeight="1" x14ac:dyDescent="0.2">
      <c r="A276" s="57" t="str">
        <f>IF(B276&lt;&gt;"",272,"")</f>
        <v/>
      </c>
      <c r="B276" s="57"/>
      <c r="C276" s="57" t="str">
        <f>IFERROR(VLOOKUP(B276,'👥 بيانات الموظفين'!B:C,2,0),"")</f>
        <v/>
      </c>
      <c r="D276" s="57"/>
      <c r="E276" s="63"/>
      <c r="F276" s="58"/>
      <c r="G276" s="57"/>
      <c r="H276" s="57"/>
      <c r="I276" s="57"/>
      <c r="J276" s="57"/>
      <c r="K276" s="57"/>
    </row>
    <row r="277" spans="1:11" ht="22.15" customHeight="1" x14ac:dyDescent="0.2">
      <c r="A277" s="53" t="str">
        <f>IF(B277&lt;&gt;"",273,"")</f>
        <v/>
      </c>
      <c r="B277" s="53"/>
      <c r="C277" s="53" t="str">
        <f>IFERROR(VLOOKUP(B277,'👥 بيانات الموظفين'!B:C,2,0),"")</f>
        <v/>
      </c>
      <c r="D277" s="53"/>
      <c r="E277" s="62"/>
      <c r="F277" s="54"/>
      <c r="G277" s="53"/>
      <c r="H277" s="53"/>
      <c r="I277" s="53"/>
      <c r="J277" s="53"/>
      <c r="K277" s="53"/>
    </row>
    <row r="278" spans="1:11" ht="22.15" customHeight="1" x14ac:dyDescent="0.2">
      <c r="A278" s="57" t="str">
        <f>IF(B278&lt;&gt;"",274,"")</f>
        <v/>
      </c>
      <c r="B278" s="57"/>
      <c r="C278" s="57" t="str">
        <f>IFERROR(VLOOKUP(B278,'👥 بيانات الموظفين'!B:C,2,0),"")</f>
        <v/>
      </c>
      <c r="D278" s="57"/>
      <c r="E278" s="63"/>
      <c r="F278" s="58"/>
      <c r="G278" s="57"/>
      <c r="H278" s="57"/>
      <c r="I278" s="57"/>
      <c r="J278" s="57"/>
      <c r="K278" s="57"/>
    </row>
    <row r="279" spans="1:11" ht="22.15" customHeight="1" x14ac:dyDescent="0.2">
      <c r="A279" s="53" t="str">
        <f>IF(B279&lt;&gt;"",275,"")</f>
        <v/>
      </c>
      <c r="B279" s="53"/>
      <c r="C279" s="53" t="str">
        <f>IFERROR(VLOOKUP(B279,'👥 بيانات الموظفين'!B:C,2,0),"")</f>
        <v/>
      </c>
      <c r="D279" s="53"/>
      <c r="E279" s="62"/>
      <c r="F279" s="54"/>
      <c r="G279" s="53"/>
      <c r="H279" s="53"/>
      <c r="I279" s="53"/>
      <c r="J279" s="53"/>
      <c r="K279" s="53"/>
    </row>
    <row r="280" spans="1:11" ht="22.15" customHeight="1" x14ac:dyDescent="0.2">
      <c r="A280" s="57" t="str">
        <f>IF(B280&lt;&gt;"",276,"")</f>
        <v/>
      </c>
      <c r="B280" s="57"/>
      <c r="C280" s="57" t="str">
        <f>IFERROR(VLOOKUP(B280,'👥 بيانات الموظفين'!B:C,2,0),"")</f>
        <v/>
      </c>
      <c r="D280" s="57"/>
      <c r="E280" s="63"/>
      <c r="F280" s="58"/>
      <c r="G280" s="57"/>
      <c r="H280" s="57"/>
      <c r="I280" s="57"/>
      <c r="J280" s="57"/>
      <c r="K280" s="57"/>
    </row>
    <row r="281" spans="1:11" ht="22.15" customHeight="1" x14ac:dyDescent="0.2">
      <c r="A281" s="53" t="str">
        <f>IF(B281&lt;&gt;"",277,"")</f>
        <v/>
      </c>
      <c r="B281" s="53"/>
      <c r="C281" s="53" t="str">
        <f>IFERROR(VLOOKUP(B281,'👥 بيانات الموظفين'!B:C,2,0),"")</f>
        <v/>
      </c>
      <c r="D281" s="53"/>
      <c r="E281" s="62"/>
      <c r="F281" s="54"/>
      <c r="G281" s="53"/>
      <c r="H281" s="53"/>
      <c r="I281" s="53"/>
      <c r="J281" s="53"/>
      <c r="K281" s="53"/>
    </row>
    <row r="282" spans="1:11" ht="22.15" customHeight="1" x14ac:dyDescent="0.2">
      <c r="A282" s="57" t="str">
        <f>IF(B282&lt;&gt;"",278,"")</f>
        <v/>
      </c>
      <c r="B282" s="57"/>
      <c r="C282" s="57" t="str">
        <f>IFERROR(VLOOKUP(B282,'👥 بيانات الموظفين'!B:C,2,0),"")</f>
        <v/>
      </c>
      <c r="D282" s="57"/>
      <c r="E282" s="63"/>
      <c r="F282" s="58"/>
      <c r="G282" s="57"/>
      <c r="H282" s="57"/>
      <c r="I282" s="57"/>
      <c r="J282" s="57"/>
      <c r="K282" s="57"/>
    </row>
    <row r="283" spans="1:11" ht="22.15" customHeight="1" x14ac:dyDescent="0.2">
      <c r="A283" s="53" t="str">
        <f>IF(B283&lt;&gt;"",279,"")</f>
        <v/>
      </c>
      <c r="B283" s="53"/>
      <c r="C283" s="53" t="str">
        <f>IFERROR(VLOOKUP(B283,'👥 بيانات الموظفين'!B:C,2,0),"")</f>
        <v/>
      </c>
      <c r="D283" s="53"/>
      <c r="E283" s="62"/>
      <c r="F283" s="54"/>
      <c r="G283" s="53"/>
      <c r="H283" s="53"/>
      <c r="I283" s="53"/>
      <c r="J283" s="53"/>
      <c r="K283" s="53"/>
    </row>
    <row r="284" spans="1:11" ht="22.15" customHeight="1" x14ac:dyDescent="0.2">
      <c r="A284" s="57" t="str">
        <f>IF(B284&lt;&gt;"",280,"")</f>
        <v/>
      </c>
      <c r="B284" s="57"/>
      <c r="C284" s="57" t="str">
        <f>IFERROR(VLOOKUP(B284,'👥 بيانات الموظفين'!B:C,2,0),"")</f>
        <v/>
      </c>
      <c r="D284" s="57"/>
      <c r="E284" s="63"/>
      <c r="F284" s="58"/>
      <c r="G284" s="57"/>
      <c r="H284" s="57"/>
      <c r="I284" s="57"/>
      <c r="J284" s="57"/>
      <c r="K284" s="57"/>
    </row>
    <row r="285" spans="1:11" ht="22.15" customHeight="1" x14ac:dyDescent="0.2">
      <c r="A285" s="53" t="str">
        <f>IF(B285&lt;&gt;"",281,"")</f>
        <v/>
      </c>
      <c r="B285" s="53"/>
      <c r="C285" s="53" t="str">
        <f>IFERROR(VLOOKUP(B285,'👥 بيانات الموظفين'!B:C,2,0),"")</f>
        <v/>
      </c>
      <c r="D285" s="53"/>
      <c r="E285" s="62"/>
      <c r="F285" s="54"/>
      <c r="G285" s="53"/>
      <c r="H285" s="53"/>
      <c r="I285" s="53"/>
      <c r="J285" s="53"/>
      <c r="K285" s="53"/>
    </row>
    <row r="286" spans="1:11" ht="22.15" customHeight="1" x14ac:dyDescent="0.2">
      <c r="A286" s="57" t="str">
        <f>IF(B286&lt;&gt;"",282,"")</f>
        <v/>
      </c>
      <c r="B286" s="57"/>
      <c r="C286" s="57" t="str">
        <f>IFERROR(VLOOKUP(B286,'👥 بيانات الموظفين'!B:C,2,0),"")</f>
        <v/>
      </c>
      <c r="D286" s="57"/>
      <c r="E286" s="63"/>
      <c r="F286" s="58"/>
      <c r="G286" s="57"/>
      <c r="H286" s="57"/>
      <c r="I286" s="57"/>
      <c r="J286" s="57"/>
      <c r="K286" s="57"/>
    </row>
    <row r="287" spans="1:11" ht="22.15" customHeight="1" x14ac:dyDescent="0.2">
      <c r="A287" s="53" t="str">
        <f>IF(B287&lt;&gt;"",283,"")</f>
        <v/>
      </c>
      <c r="B287" s="53"/>
      <c r="C287" s="53" t="str">
        <f>IFERROR(VLOOKUP(B287,'👥 بيانات الموظفين'!B:C,2,0),"")</f>
        <v/>
      </c>
      <c r="D287" s="53"/>
      <c r="E287" s="62"/>
      <c r="F287" s="54"/>
      <c r="G287" s="53"/>
      <c r="H287" s="53"/>
      <c r="I287" s="53"/>
      <c r="J287" s="53"/>
      <c r="K287" s="53"/>
    </row>
    <row r="288" spans="1:11" ht="22.15" customHeight="1" x14ac:dyDescent="0.2">
      <c r="A288" s="57" t="str">
        <f>IF(B288&lt;&gt;"",284,"")</f>
        <v/>
      </c>
      <c r="B288" s="57"/>
      <c r="C288" s="57" t="str">
        <f>IFERROR(VLOOKUP(B288,'👥 بيانات الموظفين'!B:C,2,0),"")</f>
        <v/>
      </c>
      <c r="D288" s="57"/>
      <c r="E288" s="63"/>
      <c r="F288" s="58"/>
      <c r="G288" s="57"/>
      <c r="H288" s="57"/>
      <c r="I288" s="57"/>
      <c r="J288" s="57"/>
      <c r="K288" s="57"/>
    </row>
    <row r="289" spans="1:11" ht="22.15" customHeight="1" x14ac:dyDescent="0.2">
      <c r="A289" s="53" t="str">
        <f>IF(B289&lt;&gt;"",285,"")</f>
        <v/>
      </c>
      <c r="B289" s="53"/>
      <c r="C289" s="53" t="str">
        <f>IFERROR(VLOOKUP(B289,'👥 بيانات الموظفين'!B:C,2,0),"")</f>
        <v/>
      </c>
      <c r="D289" s="53"/>
      <c r="E289" s="62"/>
      <c r="F289" s="54"/>
      <c r="G289" s="53"/>
      <c r="H289" s="53"/>
      <c r="I289" s="53"/>
      <c r="J289" s="53"/>
      <c r="K289" s="53"/>
    </row>
    <row r="290" spans="1:11" ht="22.15" customHeight="1" x14ac:dyDescent="0.2">
      <c r="A290" s="57" t="str">
        <f>IF(B290&lt;&gt;"",286,"")</f>
        <v/>
      </c>
      <c r="B290" s="57"/>
      <c r="C290" s="57" t="str">
        <f>IFERROR(VLOOKUP(B290,'👥 بيانات الموظفين'!B:C,2,0),"")</f>
        <v/>
      </c>
      <c r="D290" s="57"/>
      <c r="E290" s="63"/>
      <c r="F290" s="58"/>
      <c r="G290" s="57"/>
      <c r="H290" s="57"/>
      <c r="I290" s="57"/>
      <c r="J290" s="57"/>
      <c r="K290" s="57"/>
    </row>
    <row r="291" spans="1:11" ht="22.15" customHeight="1" x14ac:dyDescent="0.2">
      <c r="A291" s="53" t="str">
        <f>IF(B291&lt;&gt;"",287,"")</f>
        <v/>
      </c>
      <c r="B291" s="53"/>
      <c r="C291" s="53" t="str">
        <f>IFERROR(VLOOKUP(B291,'👥 بيانات الموظفين'!B:C,2,0),"")</f>
        <v/>
      </c>
      <c r="D291" s="53"/>
      <c r="E291" s="62"/>
      <c r="F291" s="54"/>
      <c r="G291" s="53"/>
      <c r="H291" s="53"/>
      <c r="I291" s="53"/>
      <c r="J291" s="53"/>
      <c r="K291" s="53"/>
    </row>
    <row r="292" spans="1:11" ht="22.15" customHeight="1" x14ac:dyDescent="0.2">
      <c r="A292" s="57" t="str">
        <f>IF(B292&lt;&gt;"",288,"")</f>
        <v/>
      </c>
      <c r="B292" s="57"/>
      <c r="C292" s="57" t="str">
        <f>IFERROR(VLOOKUP(B292,'👥 بيانات الموظفين'!B:C,2,0),"")</f>
        <v/>
      </c>
      <c r="D292" s="57"/>
      <c r="E292" s="63"/>
      <c r="F292" s="58"/>
      <c r="G292" s="57"/>
      <c r="H292" s="57"/>
      <c r="I292" s="57"/>
      <c r="J292" s="57"/>
      <c r="K292" s="57"/>
    </row>
    <row r="293" spans="1:11" ht="22.15" customHeight="1" x14ac:dyDescent="0.2">
      <c r="A293" s="53" t="str">
        <f>IF(B293&lt;&gt;"",289,"")</f>
        <v/>
      </c>
      <c r="B293" s="53"/>
      <c r="C293" s="53" t="str">
        <f>IFERROR(VLOOKUP(B293,'👥 بيانات الموظفين'!B:C,2,0),"")</f>
        <v/>
      </c>
      <c r="D293" s="53"/>
      <c r="E293" s="62"/>
      <c r="F293" s="54"/>
      <c r="G293" s="53"/>
      <c r="H293" s="53"/>
      <c r="I293" s="53"/>
      <c r="J293" s="53"/>
      <c r="K293" s="53"/>
    </row>
    <row r="294" spans="1:11" ht="22.15" customHeight="1" x14ac:dyDescent="0.2">
      <c r="A294" s="57" t="str">
        <f>IF(B294&lt;&gt;"",290,"")</f>
        <v/>
      </c>
      <c r="B294" s="57"/>
      <c r="C294" s="57" t="str">
        <f>IFERROR(VLOOKUP(B294,'👥 بيانات الموظفين'!B:C,2,0),"")</f>
        <v/>
      </c>
      <c r="D294" s="57"/>
      <c r="E294" s="63"/>
      <c r="F294" s="58"/>
      <c r="G294" s="57"/>
      <c r="H294" s="57"/>
      <c r="I294" s="57"/>
      <c r="J294" s="57"/>
      <c r="K294" s="57"/>
    </row>
    <row r="295" spans="1:11" ht="22.15" customHeight="1" x14ac:dyDescent="0.2">
      <c r="A295" s="53" t="str">
        <f>IF(B295&lt;&gt;"",291,"")</f>
        <v/>
      </c>
      <c r="B295" s="53"/>
      <c r="C295" s="53" t="str">
        <f>IFERROR(VLOOKUP(B295,'👥 بيانات الموظفين'!B:C,2,0),"")</f>
        <v/>
      </c>
      <c r="D295" s="53"/>
      <c r="E295" s="62"/>
      <c r="F295" s="54"/>
      <c r="G295" s="53"/>
      <c r="H295" s="53"/>
      <c r="I295" s="53"/>
      <c r="J295" s="53"/>
      <c r="K295" s="53"/>
    </row>
    <row r="296" spans="1:11" ht="22.15" customHeight="1" x14ac:dyDescent="0.2">
      <c r="A296" s="57" t="str">
        <f>IF(B296&lt;&gt;"",292,"")</f>
        <v/>
      </c>
      <c r="B296" s="57"/>
      <c r="C296" s="57" t="str">
        <f>IFERROR(VLOOKUP(B296,'👥 بيانات الموظفين'!B:C,2,0),"")</f>
        <v/>
      </c>
      <c r="D296" s="57"/>
      <c r="E296" s="63"/>
      <c r="F296" s="58"/>
      <c r="G296" s="57"/>
      <c r="H296" s="57"/>
      <c r="I296" s="57"/>
      <c r="J296" s="57"/>
      <c r="K296" s="57"/>
    </row>
    <row r="297" spans="1:11" ht="22.15" customHeight="1" x14ac:dyDescent="0.2">
      <c r="A297" s="53" t="str">
        <f>IF(B297&lt;&gt;"",293,"")</f>
        <v/>
      </c>
      <c r="B297" s="53"/>
      <c r="C297" s="53" t="str">
        <f>IFERROR(VLOOKUP(B297,'👥 بيانات الموظفين'!B:C,2,0),"")</f>
        <v/>
      </c>
      <c r="D297" s="53"/>
      <c r="E297" s="62"/>
      <c r="F297" s="54"/>
      <c r="G297" s="53"/>
      <c r="H297" s="53"/>
      <c r="I297" s="53"/>
      <c r="J297" s="53"/>
      <c r="K297" s="53"/>
    </row>
    <row r="298" spans="1:11" ht="22.15" customHeight="1" x14ac:dyDescent="0.2">
      <c r="A298" s="57" t="str">
        <f>IF(B298&lt;&gt;"",294,"")</f>
        <v/>
      </c>
      <c r="B298" s="57"/>
      <c r="C298" s="57" t="str">
        <f>IFERROR(VLOOKUP(B298,'👥 بيانات الموظفين'!B:C,2,0),"")</f>
        <v/>
      </c>
      <c r="D298" s="57"/>
      <c r="E298" s="63"/>
      <c r="F298" s="58"/>
      <c r="G298" s="57"/>
      <c r="H298" s="57"/>
      <c r="I298" s="57"/>
      <c r="J298" s="57"/>
      <c r="K298" s="57"/>
    </row>
    <row r="299" spans="1:11" ht="22.15" customHeight="1" x14ac:dyDescent="0.2">
      <c r="A299" s="53" t="str">
        <f>IF(B299&lt;&gt;"",295,"")</f>
        <v/>
      </c>
      <c r="B299" s="53"/>
      <c r="C299" s="53" t="str">
        <f>IFERROR(VLOOKUP(B299,'👥 بيانات الموظفين'!B:C,2,0),"")</f>
        <v/>
      </c>
      <c r="D299" s="53"/>
      <c r="E299" s="62"/>
      <c r="F299" s="54"/>
      <c r="G299" s="53"/>
      <c r="H299" s="53"/>
      <c r="I299" s="53"/>
      <c r="J299" s="53"/>
      <c r="K299" s="53"/>
    </row>
    <row r="300" spans="1:11" ht="22.15" customHeight="1" x14ac:dyDescent="0.2">
      <c r="A300" s="57" t="str">
        <f>IF(B300&lt;&gt;"",296,"")</f>
        <v/>
      </c>
      <c r="B300" s="57"/>
      <c r="C300" s="57" t="str">
        <f>IFERROR(VLOOKUP(B300,'👥 بيانات الموظفين'!B:C,2,0),"")</f>
        <v/>
      </c>
      <c r="D300" s="57"/>
      <c r="E300" s="63"/>
      <c r="F300" s="58"/>
      <c r="G300" s="57"/>
      <c r="H300" s="57"/>
      <c r="I300" s="57"/>
      <c r="J300" s="57"/>
      <c r="K300" s="57"/>
    </row>
    <row r="301" spans="1:11" ht="22.15" customHeight="1" x14ac:dyDescent="0.2">
      <c r="A301" s="53" t="str">
        <f>IF(B301&lt;&gt;"",297,"")</f>
        <v/>
      </c>
      <c r="B301" s="53"/>
      <c r="C301" s="53" t="str">
        <f>IFERROR(VLOOKUP(B301,'👥 بيانات الموظفين'!B:C,2,0),"")</f>
        <v/>
      </c>
      <c r="D301" s="53"/>
      <c r="E301" s="62"/>
      <c r="F301" s="54"/>
      <c r="G301" s="53"/>
      <c r="H301" s="53"/>
      <c r="I301" s="53"/>
      <c r="J301" s="53"/>
      <c r="K301" s="53"/>
    </row>
    <row r="302" spans="1:11" ht="22.15" customHeight="1" x14ac:dyDescent="0.2">
      <c r="A302" s="57" t="str">
        <f>IF(B302&lt;&gt;"",298,"")</f>
        <v/>
      </c>
      <c r="B302" s="57"/>
      <c r="C302" s="57" t="str">
        <f>IFERROR(VLOOKUP(B302,'👥 بيانات الموظفين'!B:C,2,0),"")</f>
        <v/>
      </c>
      <c r="D302" s="57"/>
      <c r="E302" s="63"/>
      <c r="F302" s="58"/>
      <c r="G302" s="57"/>
      <c r="H302" s="57"/>
      <c r="I302" s="57"/>
      <c r="J302" s="57"/>
      <c r="K302" s="57"/>
    </row>
    <row r="303" spans="1:11" ht="22.15" customHeight="1" x14ac:dyDescent="0.2">
      <c r="A303" s="53" t="str">
        <f>IF(B303&lt;&gt;"",299,"")</f>
        <v/>
      </c>
      <c r="B303" s="53"/>
      <c r="C303" s="53" t="str">
        <f>IFERROR(VLOOKUP(B303,'👥 بيانات الموظفين'!B:C,2,0),"")</f>
        <v/>
      </c>
      <c r="D303" s="53"/>
      <c r="E303" s="62"/>
      <c r="F303" s="54"/>
      <c r="G303" s="53"/>
      <c r="H303" s="53"/>
      <c r="I303" s="53"/>
      <c r="J303" s="53"/>
      <c r="K303" s="53"/>
    </row>
    <row r="304" spans="1:11" ht="22.15" customHeight="1" x14ac:dyDescent="0.2">
      <c r="A304" s="57" t="str">
        <f>IF(B304&lt;&gt;"",300,"")</f>
        <v/>
      </c>
      <c r="B304" s="57"/>
      <c r="C304" s="57" t="str">
        <f>IFERROR(VLOOKUP(B304,'👥 بيانات الموظفين'!B:C,2,0),"")</f>
        <v/>
      </c>
      <c r="D304" s="57"/>
      <c r="E304" s="63"/>
      <c r="F304" s="58"/>
      <c r="G304" s="57"/>
      <c r="H304" s="57"/>
      <c r="I304" s="57"/>
      <c r="J304" s="57"/>
      <c r="K304" s="57"/>
    </row>
    <row r="305" spans="1:11" ht="22.15" customHeight="1" x14ac:dyDescent="0.2">
      <c r="A305" s="53" t="str">
        <f>IF(B305&lt;&gt;"",301,"")</f>
        <v/>
      </c>
      <c r="B305" s="53"/>
      <c r="C305" s="53" t="str">
        <f>IFERROR(VLOOKUP(B305,'👥 بيانات الموظفين'!B:C,2,0),"")</f>
        <v/>
      </c>
      <c r="D305" s="53"/>
      <c r="E305" s="62"/>
      <c r="F305" s="54"/>
      <c r="G305" s="53"/>
      <c r="H305" s="53"/>
      <c r="I305" s="53"/>
      <c r="J305" s="53"/>
      <c r="K305" s="53"/>
    </row>
    <row r="306" spans="1:11" ht="22.15" customHeight="1" x14ac:dyDescent="0.2">
      <c r="A306" s="57" t="str">
        <f>IF(B306&lt;&gt;"",302,"")</f>
        <v/>
      </c>
      <c r="B306" s="57"/>
      <c r="C306" s="57" t="str">
        <f>IFERROR(VLOOKUP(B306,'👥 بيانات الموظفين'!B:C,2,0),"")</f>
        <v/>
      </c>
      <c r="D306" s="57"/>
      <c r="E306" s="63"/>
      <c r="F306" s="58"/>
      <c r="G306" s="57"/>
      <c r="H306" s="57"/>
      <c r="I306" s="57"/>
      <c r="J306" s="57"/>
      <c r="K306" s="57"/>
    </row>
    <row r="307" spans="1:11" ht="22.15" customHeight="1" x14ac:dyDescent="0.2">
      <c r="A307" s="53" t="str">
        <f>IF(B307&lt;&gt;"",303,"")</f>
        <v/>
      </c>
      <c r="B307" s="53"/>
      <c r="C307" s="53" t="str">
        <f>IFERROR(VLOOKUP(B307,'👥 بيانات الموظفين'!B:C,2,0),"")</f>
        <v/>
      </c>
      <c r="D307" s="53"/>
      <c r="E307" s="62"/>
      <c r="F307" s="54"/>
      <c r="G307" s="53"/>
      <c r="H307" s="53"/>
      <c r="I307" s="53"/>
      <c r="J307" s="53"/>
      <c r="K307" s="53"/>
    </row>
    <row r="308" spans="1:11" ht="22.15" customHeight="1" x14ac:dyDescent="0.2">
      <c r="A308" s="57" t="str">
        <f>IF(B308&lt;&gt;"",304,"")</f>
        <v/>
      </c>
      <c r="B308" s="57"/>
      <c r="C308" s="57" t="str">
        <f>IFERROR(VLOOKUP(B308,'👥 بيانات الموظفين'!B:C,2,0),"")</f>
        <v/>
      </c>
      <c r="D308" s="57"/>
      <c r="E308" s="63"/>
      <c r="F308" s="58"/>
      <c r="G308" s="57"/>
      <c r="H308" s="57"/>
      <c r="I308" s="57"/>
      <c r="J308" s="57"/>
      <c r="K308" s="57"/>
    </row>
    <row r="309" spans="1:11" ht="22.15" customHeight="1" x14ac:dyDescent="0.2">
      <c r="A309" s="53" t="str">
        <f>IF(B309&lt;&gt;"",305,"")</f>
        <v/>
      </c>
      <c r="B309" s="53"/>
      <c r="C309" s="53" t="str">
        <f>IFERROR(VLOOKUP(B309,'👥 بيانات الموظفين'!B:C,2,0),"")</f>
        <v/>
      </c>
      <c r="D309" s="53"/>
      <c r="E309" s="62"/>
      <c r="F309" s="54"/>
      <c r="G309" s="53"/>
      <c r="H309" s="53"/>
      <c r="I309" s="53"/>
      <c r="J309" s="53"/>
      <c r="K309" s="53"/>
    </row>
    <row r="310" spans="1:11" ht="22.15" customHeight="1" x14ac:dyDescent="0.2">
      <c r="A310" s="57" t="str">
        <f>IF(B310&lt;&gt;"",306,"")</f>
        <v/>
      </c>
      <c r="B310" s="57"/>
      <c r="C310" s="57" t="str">
        <f>IFERROR(VLOOKUP(B310,'👥 بيانات الموظفين'!B:C,2,0),"")</f>
        <v/>
      </c>
      <c r="D310" s="57"/>
      <c r="E310" s="63"/>
      <c r="F310" s="58"/>
      <c r="G310" s="57"/>
      <c r="H310" s="57"/>
      <c r="I310" s="57"/>
      <c r="J310" s="57"/>
      <c r="K310" s="57"/>
    </row>
    <row r="311" spans="1:11" ht="22.15" customHeight="1" x14ac:dyDescent="0.2">
      <c r="A311" s="53" t="str">
        <f>IF(B311&lt;&gt;"",307,"")</f>
        <v/>
      </c>
      <c r="B311" s="53"/>
      <c r="C311" s="53" t="str">
        <f>IFERROR(VLOOKUP(B311,'👥 بيانات الموظفين'!B:C,2,0),"")</f>
        <v/>
      </c>
      <c r="D311" s="53"/>
      <c r="E311" s="62"/>
      <c r="F311" s="54"/>
      <c r="G311" s="53"/>
      <c r="H311" s="53"/>
      <c r="I311" s="53"/>
      <c r="J311" s="53"/>
      <c r="K311" s="53"/>
    </row>
    <row r="312" spans="1:11" ht="22.15" customHeight="1" x14ac:dyDescent="0.2">
      <c r="A312" s="57" t="str">
        <f>IF(B312&lt;&gt;"",308,"")</f>
        <v/>
      </c>
      <c r="B312" s="57"/>
      <c r="C312" s="57" t="str">
        <f>IFERROR(VLOOKUP(B312,'👥 بيانات الموظفين'!B:C,2,0),"")</f>
        <v/>
      </c>
      <c r="D312" s="57"/>
      <c r="E312" s="63"/>
      <c r="F312" s="58"/>
      <c r="G312" s="57"/>
      <c r="H312" s="57"/>
      <c r="I312" s="57"/>
      <c r="J312" s="57"/>
      <c r="K312" s="57"/>
    </row>
    <row r="313" spans="1:11" ht="22.15" customHeight="1" x14ac:dyDescent="0.2">
      <c r="A313" s="53" t="str">
        <f>IF(B313&lt;&gt;"",309,"")</f>
        <v/>
      </c>
      <c r="B313" s="53"/>
      <c r="C313" s="53" t="str">
        <f>IFERROR(VLOOKUP(B313,'👥 بيانات الموظفين'!B:C,2,0),"")</f>
        <v/>
      </c>
      <c r="D313" s="53"/>
      <c r="E313" s="62"/>
      <c r="F313" s="54"/>
      <c r="G313" s="53"/>
      <c r="H313" s="53"/>
      <c r="I313" s="53"/>
      <c r="J313" s="53"/>
      <c r="K313" s="53"/>
    </row>
    <row r="314" spans="1:11" ht="22.15" customHeight="1" x14ac:dyDescent="0.2">
      <c r="A314" s="57" t="str">
        <f>IF(B314&lt;&gt;"",310,"")</f>
        <v/>
      </c>
      <c r="B314" s="57"/>
      <c r="C314" s="57" t="str">
        <f>IFERROR(VLOOKUP(B314,'👥 بيانات الموظفين'!B:C,2,0),"")</f>
        <v/>
      </c>
      <c r="D314" s="57"/>
      <c r="E314" s="63"/>
      <c r="F314" s="58"/>
      <c r="G314" s="57"/>
      <c r="H314" s="57"/>
      <c r="I314" s="57"/>
      <c r="J314" s="57"/>
      <c r="K314" s="57"/>
    </row>
    <row r="315" spans="1:11" ht="22.15" customHeight="1" x14ac:dyDescent="0.2">
      <c r="A315" s="53" t="str">
        <f>IF(B315&lt;&gt;"",311,"")</f>
        <v/>
      </c>
      <c r="B315" s="53"/>
      <c r="C315" s="53" t="str">
        <f>IFERROR(VLOOKUP(B315,'👥 بيانات الموظفين'!B:C,2,0),"")</f>
        <v/>
      </c>
      <c r="D315" s="53"/>
      <c r="E315" s="62"/>
      <c r="F315" s="54"/>
      <c r="G315" s="53"/>
      <c r="H315" s="53"/>
      <c r="I315" s="53"/>
      <c r="J315" s="53"/>
      <c r="K315" s="53"/>
    </row>
    <row r="316" spans="1:11" ht="22.15" customHeight="1" x14ac:dyDescent="0.2">
      <c r="A316" s="57" t="str">
        <f>IF(B316&lt;&gt;"",312,"")</f>
        <v/>
      </c>
      <c r="B316" s="57"/>
      <c r="C316" s="57" t="str">
        <f>IFERROR(VLOOKUP(B316,'👥 بيانات الموظفين'!B:C,2,0),"")</f>
        <v/>
      </c>
      <c r="D316" s="57"/>
      <c r="E316" s="63"/>
      <c r="F316" s="58"/>
      <c r="G316" s="57"/>
      <c r="H316" s="57"/>
      <c r="I316" s="57"/>
      <c r="J316" s="57"/>
      <c r="K316" s="57"/>
    </row>
    <row r="317" spans="1:11" ht="22.15" customHeight="1" x14ac:dyDescent="0.2">
      <c r="A317" s="53" t="str">
        <f>IF(B317&lt;&gt;"",313,"")</f>
        <v/>
      </c>
      <c r="B317" s="53"/>
      <c r="C317" s="53" t="str">
        <f>IFERROR(VLOOKUP(B317,'👥 بيانات الموظفين'!B:C,2,0),"")</f>
        <v/>
      </c>
      <c r="D317" s="53"/>
      <c r="E317" s="62"/>
      <c r="F317" s="54"/>
      <c r="G317" s="53"/>
      <c r="H317" s="53"/>
      <c r="I317" s="53"/>
      <c r="J317" s="53"/>
      <c r="K317" s="53"/>
    </row>
    <row r="318" spans="1:11" ht="22.15" customHeight="1" x14ac:dyDescent="0.2">
      <c r="A318" s="57" t="str">
        <f>IF(B318&lt;&gt;"",314,"")</f>
        <v/>
      </c>
      <c r="B318" s="57"/>
      <c r="C318" s="57" t="str">
        <f>IFERROR(VLOOKUP(B318,'👥 بيانات الموظفين'!B:C,2,0),"")</f>
        <v/>
      </c>
      <c r="D318" s="57"/>
      <c r="E318" s="63"/>
      <c r="F318" s="58"/>
      <c r="G318" s="57"/>
      <c r="H318" s="57"/>
      <c r="I318" s="57"/>
      <c r="J318" s="57"/>
      <c r="K318" s="57"/>
    </row>
    <row r="319" spans="1:11" ht="22.15" customHeight="1" x14ac:dyDescent="0.2">
      <c r="A319" s="53" t="str">
        <f>IF(B319&lt;&gt;"",315,"")</f>
        <v/>
      </c>
      <c r="B319" s="53"/>
      <c r="C319" s="53" t="str">
        <f>IFERROR(VLOOKUP(B319,'👥 بيانات الموظفين'!B:C,2,0),"")</f>
        <v/>
      </c>
      <c r="D319" s="53"/>
      <c r="E319" s="62"/>
      <c r="F319" s="54"/>
      <c r="G319" s="53"/>
      <c r="H319" s="53"/>
      <c r="I319" s="53"/>
      <c r="J319" s="53"/>
      <c r="K319" s="53"/>
    </row>
    <row r="320" spans="1:11" ht="22.15" customHeight="1" x14ac:dyDescent="0.2">
      <c r="A320" s="57" t="str">
        <f>IF(B320&lt;&gt;"",316,"")</f>
        <v/>
      </c>
      <c r="B320" s="57"/>
      <c r="C320" s="57" t="str">
        <f>IFERROR(VLOOKUP(B320,'👥 بيانات الموظفين'!B:C,2,0),"")</f>
        <v/>
      </c>
      <c r="D320" s="57"/>
      <c r="E320" s="63"/>
      <c r="F320" s="58"/>
      <c r="G320" s="57"/>
      <c r="H320" s="57"/>
      <c r="I320" s="57"/>
      <c r="J320" s="57"/>
      <c r="K320" s="57"/>
    </row>
    <row r="321" spans="1:11" ht="22.15" customHeight="1" x14ac:dyDescent="0.2">
      <c r="A321" s="53" t="str">
        <f>IF(B321&lt;&gt;"",317,"")</f>
        <v/>
      </c>
      <c r="B321" s="53"/>
      <c r="C321" s="53" t="str">
        <f>IFERROR(VLOOKUP(B321,'👥 بيانات الموظفين'!B:C,2,0),"")</f>
        <v/>
      </c>
      <c r="D321" s="53"/>
      <c r="E321" s="62"/>
      <c r="F321" s="54"/>
      <c r="G321" s="53"/>
      <c r="H321" s="53"/>
      <c r="I321" s="53"/>
      <c r="J321" s="53"/>
      <c r="K321" s="53"/>
    </row>
    <row r="322" spans="1:11" ht="22.15" customHeight="1" x14ac:dyDescent="0.2">
      <c r="A322" s="57" t="str">
        <f>IF(B322&lt;&gt;"",318,"")</f>
        <v/>
      </c>
      <c r="B322" s="57"/>
      <c r="C322" s="57" t="str">
        <f>IFERROR(VLOOKUP(B322,'👥 بيانات الموظفين'!B:C,2,0),"")</f>
        <v/>
      </c>
      <c r="D322" s="57"/>
      <c r="E322" s="63"/>
      <c r="F322" s="58"/>
      <c r="G322" s="57"/>
      <c r="H322" s="57"/>
      <c r="I322" s="57"/>
      <c r="J322" s="57"/>
      <c r="K322" s="57"/>
    </row>
    <row r="323" spans="1:11" ht="22.15" customHeight="1" x14ac:dyDescent="0.2">
      <c r="A323" s="53" t="str">
        <f>IF(B323&lt;&gt;"",319,"")</f>
        <v/>
      </c>
      <c r="B323" s="53"/>
      <c r="C323" s="53" t="str">
        <f>IFERROR(VLOOKUP(B323,'👥 بيانات الموظفين'!B:C,2,0),"")</f>
        <v/>
      </c>
      <c r="D323" s="53"/>
      <c r="E323" s="62"/>
      <c r="F323" s="54"/>
      <c r="G323" s="53"/>
      <c r="H323" s="53"/>
      <c r="I323" s="53"/>
      <c r="J323" s="53"/>
      <c r="K323" s="53"/>
    </row>
    <row r="324" spans="1:11" ht="22.15" customHeight="1" x14ac:dyDescent="0.2">
      <c r="A324" s="57" t="str">
        <f>IF(B324&lt;&gt;"",320,"")</f>
        <v/>
      </c>
      <c r="B324" s="57"/>
      <c r="C324" s="57" t="str">
        <f>IFERROR(VLOOKUP(B324,'👥 بيانات الموظفين'!B:C,2,0),"")</f>
        <v/>
      </c>
      <c r="D324" s="57"/>
      <c r="E324" s="63"/>
      <c r="F324" s="58"/>
      <c r="G324" s="57"/>
      <c r="H324" s="57"/>
      <c r="I324" s="57"/>
      <c r="J324" s="57"/>
      <c r="K324" s="57"/>
    </row>
    <row r="325" spans="1:11" ht="22.15" customHeight="1" x14ac:dyDescent="0.2">
      <c r="A325" s="53" t="str">
        <f>IF(B325&lt;&gt;"",321,"")</f>
        <v/>
      </c>
      <c r="B325" s="53"/>
      <c r="C325" s="53" t="str">
        <f>IFERROR(VLOOKUP(B325,'👥 بيانات الموظفين'!B:C,2,0),"")</f>
        <v/>
      </c>
      <c r="D325" s="53"/>
      <c r="E325" s="62"/>
      <c r="F325" s="54"/>
      <c r="G325" s="53"/>
      <c r="H325" s="53"/>
      <c r="I325" s="53"/>
      <c r="J325" s="53"/>
      <c r="K325" s="53"/>
    </row>
    <row r="326" spans="1:11" ht="22.15" customHeight="1" x14ac:dyDescent="0.2">
      <c r="A326" s="57" t="str">
        <f>IF(B326&lt;&gt;"",322,"")</f>
        <v/>
      </c>
      <c r="B326" s="57"/>
      <c r="C326" s="57" t="str">
        <f>IFERROR(VLOOKUP(B326,'👥 بيانات الموظفين'!B:C,2,0),"")</f>
        <v/>
      </c>
      <c r="D326" s="57"/>
      <c r="E326" s="63"/>
      <c r="F326" s="58"/>
      <c r="G326" s="57"/>
      <c r="H326" s="57"/>
      <c r="I326" s="57"/>
      <c r="J326" s="57"/>
      <c r="K326" s="57"/>
    </row>
    <row r="327" spans="1:11" ht="22.15" customHeight="1" x14ac:dyDescent="0.2">
      <c r="A327" s="53" t="str">
        <f>IF(B327&lt;&gt;"",323,"")</f>
        <v/>
      </c>
      <c r="B327" s="53"/>
      <c r="C327" s="53" t="str">
        <f>IFERROR(VLOOKUP(B327,'👥 بيانات الموظفين'!B:C,2,0),"")</f>
        <v/>
      </c>
      <c r="D327" s="53"/>
      <c r="E327" s="62"/>
      <c r="F327" s="54"/>
      <c r="G327" s="53"/>
      <c r="H327" s="53"/>
      <c r="I327" s="53"/>
      <c r="J327" s="53"/>
      <c r="K327" s="53"/>
    </row>
    <row r="328" spans="1:11" ht="22.15" customHeight="1" x14ac:dyDescent="0.2">
      <c r="A328" s="57" t="str">
        <f>IF(B328&lt;&gt;"",324,"")</f>
        <v/>
      </c>
      <c r="B328" s="57"/>
      <c r="C328" s="57" t="str">
        <f>IFERROR(VLOOKUP(B328,'👥 بيانات الموظفين'!B:C,2,0),"")</f>
        <v/>
      </c>
      <c r="D328" s="57"/>
      <c r="E328" s="63"/>
      <c r="F328" s="58"/>
      <c r="G328" s="57"/>
      <c r="H328" s="57"/>
      <c r="I328" s="57"/>
      <c r="J328" s="57"/>
      <c r="K328" s="57"/>
    </row>
    <row r="329" spans="1:11" ht="22.15" customHeight="1" x14ac:dyDescent="0.2">
      <c r="A329" s="53" t="str">
        <f>IF(B329&lt;&gt;"",325,"")</f>
        <v/>
      </c>
      <c r="B329" s="53"/>
      <c r="C329" s="53" t="str">
        <f>IFERROR(VLOOKUP(B329,'👥 بيانات الموظفين'!B:C,2,0),"")</f>
        <v/>
      </c>
      <c r="D329" s="53"/>
      <c r="E329" s="62"/>
      <c r="F329" s="54"/>
      <c r="G329" s="53"/>
      <c r="H329" s="53"/>
      <c r="I329" s="53"/>
      <c r="J329" s="53"/>
      <c r="K329" s="53"/>
    </row>
    <row r="330" spans="1:11" ht="22.15" customHeight="1" x14ac:dyDescent="0.2">
      <c r="A330" s="57" t="str">
        <f>IF(B330&lt;&gt;"",326,"")</f>
        <v/>
      </c>
      <c r="B330" s="57"/>
      <c r="C330" s="57" t="str">
        <f>IFERROR(VLOOKUP(B330,'👥 بيانات الموظفين'!B:C,2,0),"")</f>
        <v/>
      </c>
      <c r="D330" s="57"/>
      <c r="E330" s="63"/>
      <c r="F330" s="58"/>
      <c r="G330" s="57"/>
      <c r="H330" s="57"/>
      <c r="I330" s="57"/>
      <c r="J330" s="57"/>
      <c r="K330" s="57"/>
    </row>
    <row r="331" spans="1:11" ht="22.15" customHeight="1" x14ac:dyDescent="0.2">
      <c r="A331" s="53" t="str">
        <f>IF(B331&lt;&gt;"",327,"")</f>
        <v/>
      </c>
      <c r="B331" s="53"/>
      <c r="C331" s="53" t="str">
        <f>IFERROR(VLOOKUP(B331,'👥 بيانات الموظفين'!B:C,2,0),"")</f>
        <v/>
      </c>
      <c r="D331" s="53"/>
      <c r="E331" s="62"/>
      <c r="F331" s="54"/>
      <c r="G331" s="53"/>
      <c r="H331" s="53"/>
      <c r="I331" s="53"/>
      <c r="J331" s="53"/>
      <c r="K331" s="53"/>
    </row>
    <row r="332" spans="1:11" ht="22.15" customHeight="1" x14ac:dyDescent="0.2">
      <c r="A332" s="57" t="str">
        <f>IF(B332&lt;&gt;"",328,"")</f>
        <v/>
      </c>
      <c r="B332" s="57"/>
      <c r="C332" s="57" t="str">
        <f>IFERROR(VLOOKUP(B332,'👥 بيانات الموظفين'!B:C,2,0),"")</f>
        <v/>
      </c>
      <c r="D332" s="57"/>
      <c r="E332" s="63"/>
      <c r="F332" s="58"/>
      <c r="G332" s="57"/>
      <c r="H332" s="57"/>
      <c r="I332" s="57"/>
      <c r="J332" s="57"/>
      <c r="K332" s="57"/>
    </row>
    <row r="333" spans="1:11" ht="22.15" customHeight="1" x14ac:dyDescent="0.2">
      <c r="A333" s="53" t="str">
        <f>IF(B333&lt;&gt;"",329,"")</f>
        <v/>
      </c>
      <c r="B333" s="53"/>
      <c r="C333" s="53" t="str">
        <f>IFERROR(VLOOKUP(B333,'👥 بيانات الموظفين'!B:C,2,0),"")</f>
        <v/>
      </c>
      <c r="D333" s="53"/>
      <c r="E333" s="62"/>
      <c r="F333" s="54"/>
      <c r="G333" s="53"/>
      <c r="H333" s="53"/>
      <c r="I333" s="53"/>
      <c r="J333" s="53"/>
      <c r="K333" s="53"/>
    </row>
    <row r="334" spans="1:11" ht="22.15" customHeight="1" x14ac:dyDescent="0.2">
      <c r="A334" s="57" t="str">
        <f>IF(B334&lt;&gt;"",330,"")</f>
        <v/>
      </c>
      <c r="B334" s="57"/>
      <c r="C334" s="57" t="str">
        <f>IFERROR(VLOOKUP(B334,'👥 بيانات الموظفين'!B:C,2,0),"")</f>
        <v/>
      </c>
      <c r="D334" s="57"/>
      <c r="E334" s="63"/>
      <c r="F334" s="58"/>
      <c r="G334" s="57"/>
      <c r="H334" s="57"/>
      <c r="I334" s="57"/>
      <c r="J334" s="57"/>
      <c r="K334" s="57"/>
    </row>
    <row r="335" spans="1:11" ht="22.15" customHeight="1" x14ac:dyDescent="0.2">
      <c r="A335" s="53" t="str">
        <f>IF(B335&lt;&gt;"",331,"")</f>
        <v/>
      </c>
      <c r="B335" s="53"/>
      <c r="C335" s="53" t="str">
        <f>IFERROR(VLOOKUP(B335,'👥 بيانات الموظفين'!B:C,2,0),"")</f>
        <v/>
      </c>
      <c r="D335" s="53"/>
      <c r="E335" s="62"/>
      <c r="F335" s="54"/>
      <c r="G335" s="53"/>
      <c r="H335" s="53"/>
      <c r="I335" s="53"/>
      <c r="J335" s="53"/>
      <c r="K335" s="53"/>
    </row>
    <row r="336" spans="1:11" ht="22.15" customHeight="1" x14ac:dyDescent="0.2">
      <c r="A336" s="57" t="str">
        <f>IF(B336&lt;&gt;"",332,"")</f>
        <v/>
      </c>
      <c r="B336" s="57"/>
      <c r="C336" s="57" t="str">
        <f>IFERROR(VLOOKUP(B336,'👥 بيانات الموظفين'!B:C,2,0),"")</f>
        <v/>
      </c>
      <c r="D336" s="57"/>
      <c r="E336" s="63"/>
      <c r="F336" s="58"/>
      <c r="G336" s="57"/>
      <c r="H336" s="57"/>
      <c r="I336" s="57"/>
      <c r="J336" s="57"/>
      <c r="K336" s="57"/>
    </row>
    <row r="337" spans="1:11" ht="22.15" customHeight="1" x14ac:dyDescent="0.2">
      <c r="A337" s="53" t="str">
        <f>IF(B337&lt;&gt;"",333,"")</f>
        <v/>
      </c>
      <c r="B337" s="53"/>
      <c r="C337" s="53" t="str">
        <f>IFERROR(VLOOKUP(B337,'👥 بيانات الموظفين'!B:C,2,0),"")</f>
        <v/>
      </c>
      <c r="D337" s="53"/>
      <c r="E337" s="62"/>
      <c r="F337" s="54"/>
      <c r="G337" s="53"/>
      <c r="H337" s="53"/>
      <c r="I337" s="53"/>
      <c r="J337" s="53"/>
      <c r="K337" s="53"/>
    </row>
    <row r="338" spans="1:11" ht="22.15" customHeight="1" x14ac:dyDescent="0.2">
      <c r="A338" s="57" t="str">
        <f>IF(B338&lt;&gt;"",334,"")</f>
        <v/>
      </c>
      <c r="B338" s="57"/>
      <c r="C338" s="57" t="str">
        <f>IFERROR(VLOOKUP(B338,'👥 بيانات الموظفين'!B:C,2,0),"")</f>
        <v/>
      </c>
      <c r="D338" s="57"/>
      <c r="E338" s="63"/>
      <c r="F338" s="58"/>
      <c r="G338" s="57"/>
      <c r="H338" s="57"/>
      <c r="I338" s="57"/>
      <c r="J338" s="57"/>
      <c r="K338" s="57"/>
    </row>
    <row r="339" spans="1:11" ht="22.15" customHeight="1" x14ac:dyDescent="0.2">
      <c r="A339" s="53" t="str">
        <f>IF(B339&lt;&gt;"",335,"")</f>
        <v/>
      </c>
      <c r="B339" s="53"/>
      <c r="C339" s="53" t="str">
        <f>IFERROR(VLOOKUP(B339,'👥 بيانات الموظفين'!B:C,2,0),"")</f>
        <v/>
      </c>
      <c r="D339" s="53"/>
      <c r="E339" s="62"/>
      <c r="F339" s="54"/>
      <c r="G339" s="53"/>
      <c r="H339" s="53"/>
      <c r="I339" s="53"/>
      <c r="J339" s="53"/>
      <c r="K339" s="53"/>
    </row>
    <row r="340" spans="1:11" ht="22.15" customHeight="1" x14ac:dyDescent="0.2">
      <c r="A340" s="57" t="str">
        <f>IF(B340&lt;&gt;"",336,"")</f>
        <v/>
      </c>
      <c r="B340" s="57"/>
      <c r="C340" s="57" t="str">
        <f>IFERROR(VLOOKUP(B340,'👥 بيانات الموظفين'!B:C,2,0),"")</f>
        <v/>
      </c>
      <c r="D340" s="57"/>
      <c r="E340" s="63"/>
      <c r="F340" s="58"/>
      <c r="G340" s="57"/>
      <c r="H340" s="57"/>
      <c r="I340" s="57"/>
      <c r="J340" s="57"/>
      <c r="K340" s="57"/>
    </row>
    <row r="341" spans="1:11" ht="22.15" customHeight="1" x14ac:dyDescent="0.2">
      <c r="A341" s="53" t="str">
        <f>IF(B341&lt;&gt;"",337,"")</f>
        <v/>
      </c>
      <c r="B341" s="53"/>
      <c r="C341" s="53" t="str">
        <f>IFERROR(VLOOKUP(B341,'👥 بيانات الموظفين'!B:C,2,0),"")</f>
        <v/>
      </c>
      <c r="D341" s="53"/>
      <c r="E341" s="62"/>
      <c r="F341" s="54"/>
      <c r="G341" s="53"/>
      <c r="H341" s="53"/>
      <c r="I341" s="53"/>
      <c r="J341" s="53"/>
      <c r="K341" s="53"/>
    </row>
    <row r="342" spans="1:11" ht="22.15" customHeight="1" x14ac:dyDescent="0.2">
      <c r="A342" s="57" t="str">
        <f>IF(B342&lt;&gt;"",338,"")</f>
        <v/>
      </c>
      <c r="B342" s="57"/>
      <c r="C342" s="57" t="str">
        <f>IFERROR(VLOOKUP(B342,'👥 بيانات الموظفين'!B:C,2,0),"")</f>
        <v/>
      </c>
      <c r="D342" s="57"/>
      <c r="E342" s="63"/>
      <c r="F342" s="58"/>
      <c r="G342" s="57"/>
      <c r="H342" s="57"/>
      <c r="I342" s="57"/>
      <c r="J342" s="57"/>
      <c r="K342" s="57"/>
    </row>
    <row r="343" spans="1:11" ht="22.15" customHeight="1" x14ac:dyDescent="0.2">
      <c r="A343" s="53" t="str">
        <f>IF(B343&lt;&gt;"",339,"")</f>
        <v/>
      </c>
      <c r="B343" s="53"/>
      <c r="C343" s="53" t="str">
        <f>IFERROR(VLOOKUP(B343,'👥 بيانات الموظفين'!B:C,2,0),"")</f>
        <v/>
      </c>
      <c r="D343" s="53"/>
      <c r="E343" s="62"/>
      <c r="F343" s="54"/>
      <c r="G343" s="53"/>
      <c r="H343" s="53"/>
      <c r="I343" s="53"/>
      <c r="J343" s="53"/>
      <c r="K343" s="53"/>
    </row>
    <row r="344" spans="1:11" ht="22.15" customHeight="1" x14ac:dyDescent="0.2">
      <c r="A344" s="57" t="str">
        <f>IF(B344&lt;&gt;"",340,"")</f>
        <v/>
      </c>
      <c r="B344" s="57"/>
      <c r="C344" s="57" t="str">
        <f>IFERROR(VLOOKUP(B344,'👥 بيانات الموظفين'!B:C,2,0),"")</f>
        <v/>
      </c>
      <c r="D344" s="57"/>
      <c r="E344" s="63"/>
      <c r="F344" s="58"/>
      <c r="G344" s="57"/>
      <c r="H344" s="57"/>
      <c r="I344" s="57"/>
      <c r="J344" s="57"/>
      <c r="K344" s="57"/>
    </row>
    <row r="345" spans="1:11" ht="22.15" customHeight="1" x14ac:dyDescent="0.2">
      <c r="A345" s="53" t="str">
        <f>IF(B345&lt;&gt;"",341,"")</f>
        <v/>
      </c>
      <c r="B345" s="53"/>
      <c r="C345" s="53" t="str">
        <f>IFERROR(VLOOKUP(B345,'👥 بيانات الموظفين'!B:C,2,0),"")</f>
        <v/>
      </c>
      <c r="D345" s="53"/>
      <c r="E345" s="62"/>
      <c r="F345" s="54"/>
      <c r="G345" s="53"/>
      <c r="H345" s="53"/>
      <c r="I345" s="53"/>
      <c r="J345" s="53"/>
      <c r="K345" s="53"/>
    </row>
    <row r="346" spans="1:11" ht="22.15" customHeight="1" x14ac:dyDescent="0.2">
      <c r="A346" s="57" t="str">
        <f>IF(B346&lt;&gt;"",342,"")</f>
        <v/>
      </c>
      <c r="B346" s="57"/>
      <c r="C346" s="57" t="str">
        <f>IFERROR(VLOOKUP(B346,'👥 بيانات الموظفين'!B:C,2,0),"")</f>
        <v/>
      </c>
      <c r="D346" s="57"/>
      <c r="E346" s="63"/>
      <c r="F346" s="58"/>
      <c r="G346" s="57"/>
      <c r="H346" s="57"/>
      <c r="I346" s="57"/>
      <c r="J346" s="57"/>
      <c r="K346" s="57"/>
    </row>
    <row r="347" spans="1:11" ht="22.15" customHeight="1" x14ac:dyDescent="0.2">
      <c r="A347" s="53" t="str">
        <f>IF(B347&lt;&gt;"",343,"")</f>
        <v/>
      </c>
      <c r="B347" s="53"/>
      <c r="C347" s="53" t="str">
        <f>IFERROR(VLOOKUP(B347,'👥 بيانات الموظفين'!B:C,2,0),"")</f>
        <v/>
      </c>
      <c r="D347" s="53"/>
      <c r="E347" s="62"/>
      <c r="F347" s="54"/>
      <c r="G347" s="53"/>
      <c r="H347" s="53"/>
      <c r="I347" s="53"/>
      <c r="J347" s="53"/>
      <c r="K347" s="53"/>
    </row>
    <row r="348" spans="1:11" ht="22.15" customHeight="1" x14ac:dyDescent="0.2">
      <c r="A348" s="57" t="str">
        <f>IF(B348&lt;&gt;"",344,"")</f>
        <v/>
      </c>
      <c r="B348" s="57"/>
      <c r="C348" s="57" t="str">
        <f>IFERROR(VLOOKUP(B348,'👥 بيانات الموظفين'!B:C,2,0),"")</f>
        <v/>
      </c>
      <c r="D348" s="57"/>
      <c r="E348" s="63"/>
      <c r="F348" s="58"/>
      <c r="G348" s="57"/>
      <c r="H348" s="57"/>
      <c r="I348" s="57"/>
      <c r="J348" s="57"/>
      <c r="K348" s="57"/>
    </row>
    <row r="349" spans="1:11" ht="22.15" customHeight="1" x14ac:dyDescent="0.2">
      <c r="A349" s="53" t="str">
        <f>IF(B349&lt;&gt;"",345,"")</f>
        <v/>
      </c>
      <c r="B349" s="53"/>
      <c r="C349" s="53" t="str">
        <f>IFERROR(VLOOKUP(B349,'👥 بيانات الموظفين'!B:C,2,0),"")</f>
        <v/>
      </c>
      <c r="D349" s="53"/>
      <c r="E349" s="62"/>
      <c r="F349" s="54"/>
      <c r="G349" s="53"/>
      <c r="H349" s="53"/>
      <c r="I349" s="53"/>
      <c r="J349" s="53"/>
      <c r="K349" s="53"/>
    </row>
    <row r="350" spans="1:11" ht="22.15" customHeight="1" x14ac:dyDescent="0.2">
      <c r="A350" s="57" t="str">
        <f>IF(B350&lt;&gt;"",346,"")</f>
        <v/>
      </c>
      <c r="B350" s="57"/>
      <c r="C350" s="57" t="str">
        <f>IFERROR(VLOOKUP(B350,'👥 بيانات الموظفين'!B:C,2,0),"")</f>
        <v/>
      </c>
      <c r="D350" s="57"/>
      <c r="E350" s="63"/>
      <c r="F350" s="58"/>
      <c r="G350" s="57"/>
      <c r="H350" s="57"/>
      <c r="I350" s="57"/>
      <c r="J350" s="57"/>
      <c r="K350" s="57"/>
    </row>
    <row r="351" spans="1:11" ht="22.15" customHeight="1" x14ac:dyDescent="0.2">
      <c r="A351" s="53" t="str">
        <f>IF(B351&lt;&gt;"",347,"")</f>
        <v/>
      </c>
      <c r="B351" s="53"/>
      <c r="C351" s="53" t="str">
        <f>IFERROR(VLOOKUP(B351,'👥 بيانات الموظفين'!B:C,2,0),"")</f>
        <v/>
      </c>
      <c r="D351" s="53"/>
      <c r="E351" s="62"/>
      <c r="F351" s="54"/>
      <c r="G351" s="53"/>
      <c r="H351" s="53"/>
      <c r="I351" s="53"/>
      <c r="J351" s="53"/>
      <c r="K351" s="53"/>
    </row>
    <row r="352" spans="1:11" ht="22.15" customHeight="1" x14ac:dyDescent="0.2">
      <c r="A352" s="57" t="str">
        <f>IF(B352&lt;&gt;"",348,"")</f>
        <v/>
      </c>
      <c r="B352" s="57"/>
      <c r="C352" s="57" t="str">
        <f>IFERROR(VLOOKUP(B352,'👥 بيانات الموظفين'!B:C,2,0),"")</f>
        <v/>
      </c>
      <c r="D352" s="57"/>
      <c r="E352" s="63"/>
      <c r="F352" s="58"/>
      <c r="G352" s="57"/>
      <c r="H352" s="57"/>
      <c r="I352" s="57"/>
      <c r="J352" s="57"/>
      <c r="K352" s="57"/>
    </row>
    <row r="353" spans="1:11" ht="22.15" customHeight="1" x14ac:dyDescent="0.2">
      <c r="A353" s="53" t="str">
        <f>IF(B353&lt;&gt;"",349,"")</f>
        <v/>
      </c>
      <c r="B353" s="53"/>
      <c r="C353" s="53" t="str">
        <f>IFERROR(VLOOKUP(B353,'👥 بيانات الموظفين'!B:C,2,0),"")</f>
        <v/>
      </c>
      <c r="D353" s="53"/>
      <c r="E353" s="62"/>
      <c r="F353" s="54"/>
      <c r="G353" s="53"/>
      <c r="H353" s="53"/>
      <c r="I353" s="53"/>
      <c r="J353" s="53"/>
      <c r="K353" s="53"/>
    </row>
    <row r="354" spans="1:11" ht="22.15" customHeight="1" x14ac:dyDescent="0.2">
      <c r="A354" s="57" t="str">
        <f>IF(B354&lt;&gt;"",350,"")</f>
        <v/>
      </c>
      <c r="B354" s="57"/>
      <c r="C354" s="57" t="str">
        <f>IFERROR(VLOOKUP(B354,'👥 بيانات الموظفين'!B:C,2,0),"")</f>
        <v/>
      </c>
      <c r="D354" s="57"/>
      <c r="E354" s="63"/>
      <c r="F354" s="58"/>
      <c r="G354" s="57"/>
      <c r="H354" s="57"/>
      <c r="I354" s="57"/>
      <c r="J354" s="57"/>
      <c r="K354" s="57"/>
    </row>
    <row r="355" spans="1:11" ht="22.15" customHeight="1" x14ac:dyDescent="0.2">
      <c r="A355" s="53" t="str">
        <f>IF(B355&lt;&gt;"",351,"")</f>
        <v/>
      </c>
      <c r="B355" s="53"/>
      <c r="C355" s="53" t="str">
        <f>IFERROR(VLOOKUP(B355,'👥 بيانات الموظفين'!B:C,2,0),"")</f>
        <v/>
      </c>
      <c r="D355" s="53"/>
      <c r="E355" s="62"/>
      <c r="F355" s="54"/>
      <c r="G355" s="53"/>
      <c r="H355" s="53"/>
      <c r="I355" s="53"/>
      <c r="J355" s="53"/>
      <c r="K355" s="53"/>
    </row>
    <row r="356" spans="1:11" ht="22.15" customHeight="1" x14ac:dyDescent="0.2">
      <c r="A356" s="57" t="str">
        <f>IF(B356&lt;&gt;"",352,"")</f>
        <v/>
      </c>
      <c r="B356" s="57"/>
      <c r="C356" s="57" t="str">
        <f>IFERROR(VLOOKUP(B356,'👥 بيانات الموظفين'!B:C,2,0),"")</f>
        <v/>
      </c>
      <c r="D356" s="57"/>
      <c r="E356" s="63"/>
      <c r="F356" s="58"/>
      <c r="G356" s="57"/>
      <c r="H356" s="57"/>
      <c r="I356" s="57"/>
      <c r="J356" s="57"/>
      <c r="K356" s="57"/>
    </row>
    <row r="357" spans="1:11" ht="22.15" customHeight="1" x14ac:dyDescent="0.2">
      <c r="A357" s="53" t="str">
        <f>IF(B357&lt;&gt;"",353,"")</f>
        <v/>
      </c>
      <c r="B357" s="53"/>
      <c r="C357" s="53" t="str">
        <f>IFERROR(VLOOKUP(B357,'👥 بيانات الموظفين'!B:C,2,0),"")</f>
        <v/>
      </c>
      <c r="D357" s="53"/>
      <c r="E357" s="62"/>
      <c r="F357" s="54"/>
      <c r="G357" s="53"/>
      <c r="H357" s="53"/>
      <c r="I357" s="53"/>
      <c r="J357" s="53"/>
      <c r="K357" s="53"/>
    </row>
    <row r="358" spans="1:11" ht="22.15" customHeight="1" x14ac:dyDescent="0.2">
      <c r="A358" s="57" t="str">
        <f>IF(B358&lt;&gt;"",354,"")</f>
        <v/>
      </c>
      <c r="B358" s="57"/>
      <c r="C358" s="57" t="str">
        <f>IFERROR(VLOOKUP(B358,'👥 بيانات الموظفين'!B:C,2,0),"")</f>
        <v/>
      </c>
      <c r="D358" s="57"/>
      <c r="E358" s="63"/>
      <c r="F358" s="58"/>
      <c r="G358" s="57"/>
      <c r="H358" s="57"/>
      <c r="I358" s="57"/>
      <c r="J358" s="57"/>
      <c r="K358" s="57"/>
    </row>
    <row r="359" spans="1:11" ht="22.15" customHeight="1" x14ac:dyDescent="0.2">
      <c r="A359" s="53" t="str">
        <f>IF(B359&lt;&gt;"",355,"")</f>
        <v/>
      </c>
      <c r="B359" s="53"/>
      <c r="C359" s="53" t="str">
        <f>IFERROR(VLOOKUP(B359,'👥 بيانات الموظفين'!B:C,2,0),"")</f>
        <v/>
      </c>
      <c r="D359" s="53"/>
      <c r="E359" s="62"/>
      <c r="F359" s="54"/>
      <c r="G359" s="53"/>
      <c r="H359" s="53"/>
      <c r="I359" s="53"/>
      <c r="J359" s="53"/>
      <c r="K359" s="53"/>
    </row>
    <row r="360" spans="1:11" ht="22.15" customHeight="1" x14ac:dyDescent="0.2">
      <c r="A360" s="57" t="str">
        <f>IF(B360&lt;&gt;"",356,"")</f>
        <v/>
      </c>
      <c r="B360" s="57"/>
      <c r="C360" s="57" t="str">
        <f>IFERROR(VLOOKUP(B360,'👥 بيانات الموظفين'!B:C,2,0),"")</f>
        <v/>
      </c>
      <c r="D360" s="57"/>
      <c r="E360" s="63"/>
      <c r="F360" s="58"/>
      <c r="G360" s="57"/>
      <c r="H360" s="57"/>
      <c r="I360" s="57"/>
      <c r="J360" s="57"/>
      <c r="K360" s="57"/>
    </row>
    <row r="361" spans="1:11" ht="22.15" customHeight="1" x14ac:dyDescent="0.2">
      <c r="A361" s="53" t="str">
        <f>IF(B361&lt;&gt;"",357,"")</f>
        <v/>
      </c>
      <c r="B361" s="53"/>
      <c r="C361" s="53" t="str">
        <f>IFERROR(VLOOKUP(B361,'👥 بيانات الموظفين'!B:C,2,0),"")</f>
        <v/>
      </c>
      <c r="D361" s="53"/>
      <c r="E361" s="62"/>
      <c r="F361" s="54"/>
      <c r="G361" s="53"/>
      <c r="H361" s="53"/>
      <c r="I361" s="53"/>
      <c r="J361" s="53"/>
      <c r="K361" s="53"/>
    </row>
    <row r="362" spans="1:11" ht="22.15" customHeight="1" x14ac:dyDescent="0.2">
      <c r="A362" s="57" t="str">
        <f>IF(B362&lt;&gt;"",358,"")</f>
        <v/>
      </c>
      <c r="B362" s="57"/>
      <c r="C362" s="57" t="str">
        <f>IFERROR(VLOOKUP(B362,'👥 بيانات الموظفين'!B:C,2,0),"")</f>
        <v/>
      </c>
      <c r="D362" s="57"/>
      <c r="E362" s="63"/>
      <c r="F362" s="58"/>
      <c r="G362" s="57"/>
      <c r="H362" s="57"/>
      <c r="I362" s="57"/>
      <c r="J362" s="57"/>
      <c r="K362" s="57"/>
    </row>
    <row r="363" spans="1:11" ht="22.15" customHeight="1" x14ac:dyDescent="0.2">
      <c r="A363" s="53" t="str">
        <f>IF(B363&lt;&gt;"",359,"")</f>
        <v/>
      </c>
      <c r="B363" s="53"/>
      <c r="C363" s="53" t="str">
        <f>IFERROR(VLOOKUP(B363,'👥 بيانات الموظفين'!B:C,2,0),"")</f>
        <v/>
      </c>
      <c r="D363" s="53"/>
      <c r="E363" s="62"/>
      <c r="F363" s="54"/>
      <c r="G363" s="53"/>
      <c r="H363" s="53"/>
      <c r="I363" s="53"/>
      <c r="J363" s="53"/>
      <c r="K363" s="53"/>
    </row>
    <row r="364" spans="1:11" ht="22.15" customHeight="1" x14ac:dyDescent="0.2">
      <c r="A364" s="57" t="str">
        <f>IF(B364&lt;&gt;"",360,"")</f>
        <v/>
      </c>
      <c r="B364" s="57"/>
      <c r="C364" s="57" t="str">
        <f>IFERROR(VLOOKUP(B364,'👥 بيانات الموظفين'!B:C,2,0),"")</f>
        <v/>
      </c>
      <c r="D364" s="57"/>
      <c r="E364" s="63"/>
      <c r="F364" s="58"/>
      <c r="G364" s="57"/>
      <c r="H364" s="57"/>
      <c r="I364" s="57"/>
      <c r="J364" s="57"/>
      <c r="K364" s="57"/>
    </row>
    <row r="365" spans="1:11" ht="22.15" customHeight="1" x14ac:dyDescent="0.2">
      <c r="A365" s="53" t="str">
        <f>IF(B365&lt;&gt;"",361,"")</f>
        <v/>
      </c>
      <c r="B365" s="53"/>
      <c r="C365" s="53" t="str">
        <f>IFERROR(VLOOKUP(B365,'👥 بيانات الموظفين'!B:C,2,0),"")</f>
        <v/>
      </c>
      <c r="D365" s="53"/>
      <c r="E365" s="62"/>
      <c r="F365" s="54"/>
      <c r="G365" s="53"/>
      <c r="H365" s="53"/>
      <c r="I365" s="53"/>
      <c r="J365" s="53"/>
      <c r="K365" s="53"/>
    </row>
    <row r="366" spans="1:11" ht="22.15" customHeight="1" x14ac:dyDescent="0.2">
      <c r="A366" s="57" t="str">
        <f>IF(B366&lt;&gt;"",362,"")</f>
        <v/>
      </c>
      <c r="B366" s="57"/>
      <c r="C366" s="57" t="str">
        <f>IFERROR(VLOOKUP(B366,'👥 بيانات الموظفين'!B:C,2,0),"")</f>
        <v/>
      </c>
      <c r="D366" s="57"/>
      <c r="E366" s="63"/>
      <c r="F366" s="58"/>
      <c r="G366" s="57"/>
      <c r="H366" s="57"/>
      <c r="I366" s="57"/>
      <c r="J366" s="57"/>
      <c r="K366" s="57"/>
    </row>
    <row r="367" spans="1:11" ht="22.15" customHeight="1" x14ac:dyDescent="0.2">
      <c r="A367" s="53" t="str">
        <f>IF(B367&lt;&gt;"",363,"")</f>
        <v/>
      </c>
      <c r="B367" s="53"/>
      <c r="C367" s="53" t="str">
        <f>IFERROR(VLOOKUP(B367,'👥 بيانات الموظفين'!B:C,2,0),"")</f>
        <v/>
      </c>
      <c r="D367" s="53"/>
      <c r="E367" s="62"/>
      <c r="F367" s="54"/>
      <c r="G367" s="53"/>
      <c r="H367" s="53"/>
      <c r="I367" s="53"/>
      <c r="J367" s="53"/>
      <c r="K367" s="53"/>
    </row>
    <row r="368" spans="1:11" ht="22.15" customHeight="1" x14ac:dyDescent="0.2">
      <c r="A368" s="57" t="str">
        <f>IF(B368&lt;&gt;"",364,"")</f>
        <v/>
      </c>
      <c r="B368" s="57"/>
      <c r="C368" s="57" t="str">
        <f>IFERROR(VLOOKUP(B368,'👥 بيانات الموظفين'!B:C,2,0),"")</f>
        <v/>
      </c>
      <c r="D368" s="57"/>
      <c r="E368" s="63"/>
      <c r="F368" s="58"/>
      <c r="G368" s="57"/>
      <c r="H368" s="57"/>
      <c r="I368" s="57"/>
      <c r="J368" s="57"/>
      <c r="K368" s="57"/>
    </row>
    <row r="369" spans="1:11" ht="22.15" customHeight="1" x14ac:dyDescent="0.2">
      <c r="A369" s="53" t="str">
        <f>IF(B369&lt;&gt;"",365,"")</f>
        <v/>
      </c>
      <c r="B369" s="53"/>
      <c r="C369" s="53" t="str">
        <f>IFERROR(VLOOKUP(B369,'👥 بيانات الموظفين'!B:C,2,0),"")</f>
        <v/>
      </c>
      <c r="D369" s="53"/>
      <c r="E369" s="62"/>
      <c r="F369" s="54"/>
      <c r="G369" s="53"/>
      <c r="H369" s="53"/>
      <c r="I369" s="53"/>
      <c r="J369" s="53"/>
      <c r="K369" s="53"/>
    </row>
    <row r="370" spans="1:11" ht="22.15" customHeight="1" x14ac:dyDescent="0.2">
      <c r="A370" s="57" t="str">
        <f>IF(B370&lt;&gt;"",366,"")</f>
        <v/>
      </c>
      <c r="B370" s="57"/>
      <c r="C370" s="57" t="str">
        <f>IFERROR(VLOOKUP(B370,'👥 بيانات الموظفين'!B:C,2,0),"")</f>
        <v/>
      </c>
      <c r="D370" s="57"/>
      <c r="E370" s="63"/>
      <c r="F370" s="58"/>
      <c r="G370" s="57"/>
      <c r="H370" s="57"/>
      <c r="I370" s="57"/>
      <c r="J370" s="57"/>
      <c r="K370" s="57"/>
    </row>
    <row r="371" spans="1:11" ht="22.15" customHeight="1" x14ac:dyDescent="0.2">
      <c r="A371" s="53" t="str">
        <f>IF(B371&lt;&gt;"",367,"")</f>
        <v/>
      </c>
      <c r="B371" s="53"/>
      <c r="C371" s="53" t="str">
        <f>IFERROR(VLOOKUP(B371,'👥 بيانات الموظفين'!B:C,2,0),"")</f>
        <v/>
      </c>
      <c r="D371" s="53"/>
      <c r="E371" s="62"/>
      <c r="F371" s="54"/>
      <c r="G371" s="53"/>
      <c r="H371" s="53"/>
      <c r="I371" s="53"/>
      <c r="J371" s="53"/>
      <c r="K371" s="53"/>
    </row>
    <row r="372" spans="1:11" ht="22.15" customHeight="1" x14ac:dyDescent="0.2">
      <c r="A372" s="57" t="str">
        <f>IF(B372&lt;&gt;"",368,"")</f>
        <v/>
      </c>
      <c r="B372" s="57"/>
      <c r="C372" s="57" t="str">
        <f>IFERROR(VLOOKUP(B372,'👥 بيانات الموظفين'!B:C,2,0),"")</f>
        <v/>
      </c>
      <c r="D372" s="57"/>
      <c r="E372" s="63"/>
      <c r="F372" s="58"/>
      <c r="G372" s="57"/>
      <c r="H372" s="57"/>
      <c r="I372" s="57"/>
      <c r="J372" s="57"/>
      <c r="K372" s="57"/>
    </row>
    <row r="373" spans="1:11" ht="22.15" customHeight="1" x14ac:dyDescent="0.2">
      <c r="A373" s="53" t="str">
        <f>IF(B373&lt;&gt;"",369,"")</f>
        <v/>
      </c>
      <c r="B373" s="53"/>
      <c r="C373" s="53" t="str">
        <f>IFERROR(VLOOKUP(B373,'👥 بيانات الموظفين'!B:C,2,0),"")</f>
        <v/>
      </c>
      <c r="D373" s="53"/>
      <c r="E373" s="62"/>
      <c r="F373" s="54"/>
      <c r="G373" s="53"/>
      <c r="H373" s="53"/>
      <c r="I373" s="53"/>
      <c r="J373" s="53"/>
      <c r="K373" s="53"/>
    </row>
    <row r="374" spans="1:11" ht="22.15" customHeight="1" x14ac:dyDescent="0.2">
      <c r="A374" s="57" t="str">
        <f>IF(B374&lt;&gt;"",370,"")</f>
        <v/>
      </c>
      <c r="B374" s="57"/>
      <c r="C374" s="57" t="str">
        <f>IFERROR(VLOOKUP(B374,'👥 بيانات الموظفين'!B:C,2,0),"")</f>
        <v/>
      </c>
      <c r="D374" s="57"/>
      <c r="E374" s="63"/>
      <c r="F374" s="58"/>
      <c r="G374" s="57"/>
      <c r="H374" s="57"/>
      <c r="I374" s="57"/>
      <c r="J374" s="57"/>
      <c r="K374" s="57"/>
    </row>
    <row r="375" spans="1:11" ht="22.15" customHeight="1" x14ac:dyDescent="0.2">
      <c r="A375" s="53" t="str">
        <f>IF(B375&lt;&gt;"",371,"")</f>
        <v/>
      </c>
      <c r="B375" s="53"/>
      <c r="C375" s="53" t="str">
        <f>IFERROR(VLOOKUP(B375,'👥 بيانات الموظفين'!B:C,2,0),"")</f>
        <v/>
      </c>
      <c r="D375" s="53"/>
      <c r="E375" s="62"/>
      <c r="F375" s="54"/>
      <c r="G375" s="53"/>
      <c r="H375" s="53"/>
      <c r="I375" s="53"/>
      <c r="J375" s="53"/>
      <c r="K375" s="53"/>
    </row>
    <row r="376" spans="1:11" ht="22.15" customHeight="1" x14ac:dyDescent="0.2">
      <c r="A376" s="57" t="str">
        <f>IF(B376&lt;&gt;"",372,"")</f>
        <v/>
      </c>
      <c r="B376" s="57"/>
      <c r="C376" s="57" t="str">
        <f>IFERROR(VLOOKUP(B376,'👥 بيانات الموظفين'!B:C,2,0),"")</f>
        <v/>
      </c>
      <c r="D376" s="57"/>
      <c r="E376" s="63"/>
      <c r="F376" s="58"/>
      <c r="G376" s="57"/>
      <c r="H376" s="57"/>
      <c r="I376" s="57"/>
      <c r="J376" s="57"/>
      <c r="K376" s="57"/>
    </row>
    <row r="377" spans="1:11" ht="22.15" customHeight="1" x14ac:dyDescent="0.2">
      <c r="A377" s="53" t="str">
        <f>IF(B377&lt;&gt;"",373,"")</f>
        <v/>
      </c>
      <c r="B377" s="53"/>
      <c r="C377" s="53" t="str">
        <f>IFERROR(VLOOKUP(B377,'👥 بيانات الموظفين'!B:C,2,0),"")</f>
        <v/>
      </c>
      <c r="D377" s="53"/>
      <c r="E377" s="62"/>
      <c r="F377" s="54"/>
      <c r="G377" s="53"/>
      <c r="H377" s="53"/>
      <c r="I377" s="53"/>
      <c r="J377" s="53"/>
      <c r="K377" s="53"/>
    </row>
    <row r="378" spans="1:11" ht="22.15" customHeight="1" x14ac:dyDescent="0.2">
      <c r="A378" s="57" t="str">
        <f>IF(B378&lt;&gt;"",374,"")</f>
        <v/>
      </c>
      <c r="B378" s="57"/>
      <c r="C378" s="57" t="str">
        <f>IFERROR(VLOOKUP(B378,'👥 بيانات الموظفين'!B:C,2,0),"")</f>
        <v/>
      </c>
      <c r="D378" s="57"/>
      <c r="E378" s="63"/>
      <c r="F378" s="58"/>
      <c r="G378" s="57"/>
      <c r="H378" s="57"/>
      <c r="I378" s="57"/>
      <c r="J378" s="57"/>
      <c r="K378" s="57"/>
    </row>
    <row r="379" spans="1:11" ht="22.15" customHeight="1" x14ac:dyDescent="0.2">
      <c r="A379" s="53" t="str">
        <f>IF(B379&lt;&gt;"",375,"")</f>
        <v/>
      </c>
      <c r="B379" s="53"/>
      <c r="C379" s="53" t="str">
        <f>IFERROR(VLOOKUP(B379,'👥 بيانات الموظفين'!B:C,2,0),"")</f>
        <v/>
      </c>
      <c r="D379" s="53"/>
      <c r="E379" s="62"/>
      <c r="F379" s="54"/>
      <c r="G379" s="53"/>
      <c r="H379" s="53"/>
      <c r="I379" s="53"/>
      <c r="J379" s="53"/>
      <c r="K379" s="53"/>
    </row>
    <row r="380" spans="1:11" ht="22.15" customHeight="1" x14ac:dyDescent="0.2">
      <c r="A380" s="57" t="str">
        <f>IF(B380&lt;&gt;"",376,"")</f>
        <v/>
      </c>
      <c r="B380" s="57"/>
      <c r="C380" s="57" t="str">
        <f>IFERROR(VLOOKUP(B380,'👥 بيانات الموظفين'!B:C,2,0),"")</f>
        <v/>
      </c>
      <c r="D380" s="57"/>
      <c r="E380" s="63"/>
      <c r="F380" s="58"/>
      <c r="G380" s="57"/>
      <c r="H380" s="57"/>
      <c r="I380" s="57"/>
      <c r="J380" s="57"/>
      <c r="K380" s="57"/>
    </row>
    <row r="381" spans="1:11" ht="22.15" customHeight="1" x14ac:dyDescent="0.2">
      <c r="A381" s="53" t="str">
        <f>IF(B381&lt;&gt;"",377,"")</f>
        <v/>
      </c>
      <c r="B381" s="53"/>
      <c r="C381" s="53" t="str">
        <f>IFERROR(VLOOKUP(B381,'👥 بيانات الموظفين'!B:C,2,0),"")</f>
        <v/>
      </c>
      <c r="D381" s="53"/>
      <c r="E381" s="62"/>
      <c r="F381" s="54"/>
      <c r="G381" s="53"/>
      <c r="H381" s="53"/>
      <c r="I381" s="53"/>
      <c r="J381" s="53"/>
      <c r="K381" s="53"/>
    </row>
    <row r="382" spans="1:11" ht="22.15" customHeight="1" x14ac:dyDescent="0.2">
      <c r="A382" s="57" t="str">
        <f>IF(B382&lt;&gt;"",378,"")</f>
        <v/>
      </c>
      <c r="B382" s="57"/>
      <c r="C382" s="57" t="str">
        <f>IFERROR(VLOOKUP(B382,'👥 بيانات الموظفين'!B:C,2,0),"")</f>
        <v/>
      </c>
      <c r="D382" s="57"/>
      <c r="E382" s="63"/>
      <c r="F382" s="58"/>
      <c r="G382" s="57"/>
      <c r="H382" s="57"/>
      <c r="I382" s="57"/>
      <c r="J382" s="57"/>
      <c r="K382" s="57"/>
    </row>
    <row r="383" spans="1:11" ht="22.15" customHeight="1" x14ac:dyDescent="0.2">
      <c r="A383" s="53" t="str">
        <f>IF(B383&lt;&gt;"",379,"")</f>
        <v/>
      </c>
      <c r="B383" s="53"/>
      <c r="C383" s="53" t="str">
        <f>IFERROR(VLOOKUP(B383,'👥 بيانات الموظفين'!B:C,2,0),"")</f>
        <v/>
      </c>
      <c r="D383" s="53"/>
      <c r="E383" s="62"/>
      <c r="F383" s="54"/>
      <c r="G383" s="53"/>
      <c r="H383" s="53"/>
      <c r="I383" s="53"/>
      <c r="J383" s="53"/>
      <c r="K383" s="53"/>
    </row>
    <row r="384" spans="1:11" ht="22.15" customHeight="1" x14ac:dyDescent="0.2">
      <c r="A384" s="57" t="str">
        <f>IF(B384&lt;&gt;"",380,"")</f>
        <v/>
      </c>
      <c r="B384" s="57"/>
      <c r="C384" s="57" t="str">
        <f>IFERROR(VLOOKUP(B384,'👥 بيانات الموظفين'!B:C,2,0),"")</f>
        <v/>
      </c>
      <c r="D384" s="57"/>
      <c r="E384" s="63"/>
      <c r="F384" s="58"/>
      <c r="G384" s="57"/>
      <c r="H384" s="57"/>
      <c r="I384" s="57"/>
      <c r="J384" s="57"/>
      <c r="K384" s="57"/>
    </row>
    <row r="385" spans="1:11" ht="22.15" customHeight="1" x14ac:dyDescent="0.2">
      <c r="A385" s="53" t="str">
        <f>IF(B385&lt;&gt;"",381,"")</f>
        <v/>
      </c>
      <c r="B385" s="53"/>
      <c r="C385" s="53" t="str">
        <f>IFERROR(VLOOKUP(B385,'👥 بيانات الموظفين'!B:C,2,0),"")</f>
        <v/>
      </c>
      <c r="D385" s="53"/>
      <c r="E385" s="62"/>
      <c r="F385" s="54"/>
      <c r="G385" s="53"/>
      <c r="H385" s="53"/>
      <c r="I385" s="53"/>
      <c r="J385" s="53"/>
      <c r="K385" s="53"/>
    </row>
    <row r="386" spans="1:11" ht="22.15" customHeight="1" x14ac:dyDescent="0.2">
      <c r="A386" s="57" t="str">
        <f>IF(B386&lt;&gt;"",382,"")</f>
        <v/>
      </c>
      <c r="B386" s="57"/>
      <c r="C386" s="57" t="str">
        <f>IFERROR(VLOOKUP(B386,'👥 بيانات الموظفين'!B:C,2,0),"")</f>
        <v/>
      </c>
      <c r="D386" s="57"/>
      <c r="E386" s="63"/>
      <c r="F386" s="58"/>
      <c r="G386" s="57"/>
      <c r="H386" s="57"/>
      <c r="I386" s="57"/>
      <c r="J386" s="57"/>
      <c r="K386" s="57"/>
    </row>
    <row r="387" spans="1:11" ht="22.15" customHeight="1" x14ac:dyDescent="0.2">
      <c r="A387" s="53" t="str">
        <f>IF(B387&lt;&gt;"",383,"")</f>
        <v/>
      </c>
      <c r="B387" s="53"/>
      <c r="C387" s="53" t="str">
        <f>IFERROR(VLOOKUP(B387,'👥 بيانات الموظفين'!B:C,2,0),"")</f>
        <v/>
      </c>
      <c r="D387" s="53"/>
      <c r="E387" s="62"/>
      <c r="F387" s="54"/>
      <c r="G387" s="53"/>
      <c r="H387" s="53"/>
      <c r="I387" s="53"/>
      <c r="J387" s="53"/>
      <c r="K387" s="53"/>
    </row>
    <row r="388" spans="1:11" ht="22.15" customHeight="1" x14ac:dyDescent="0.2">
      <c r="A388" s="57" t="str">
        <f>IF(B388&lt;&gt;"",384,"")</f>
        <v/>
      </c>
      <c r="B388" s="57"/>
      <c r="C388" s="57" t="str">
        <f>IFERROR(VLOOKUP(B388,'👥 بيانات الموظفين'!B:C,2,0),"")</f>
        <v/>
      </c>
      <c r="D388" s="57"/>
      <c r="E388" s="63"/>
      <c r="F388" s="58"/>
      <c r="G388" s="57"/>
      <c r="H388" s="57"/>
      <c r="I388" s="57"/>
      <c r="J388" s="57"/>
      <c r="K388" s="57"/>
    </row>
    <row r="389" spans="1:11" ht="22.15" customHeight="1" x14ac:dyDescent="0.2">
      <c r="A389" s="53" t="str">
        <f>IF(B389&lt;&gt;"",385,"")</f>
        <v/>
      </c>
      <c r="B389" s="53"/>
      <c r="C389" s="53" t="str">
        <f>IFERROR(VLOOKUP(B389,'👥 بيانات الموظفين'!B:C,2,0),"")</f>
        <v/>
      </c>
      <c r="D389" s="53"/>
      <c r="E389" s="62"/>
      <c r="F389" s="54"/>
      <c r="G389" s="53"/>
      <c r="H389" s="53"/>
      <c r="I389" s="53"/>
      <c r="J389" s="53"/>
      <c r="K389" s="53"/>
    </row>
    <row r="390" spans="1:11" ht="22.15" customHeight="1" x14ac:dyDescent="0.2">
      <c r="A390" s="57" t="str">
        <f>IF(B390&lt;&gt;"",386,"")</f>
        <v/>
      </c>
      <c r="B390" s="57"/>
      <c r="C390" s="57" t="str">
        <f>IFERROR(VLOOKUP(B390,'👥 بيانات الموظفين'!B:C,2,0),"")</f>
        <v/>
      </c>
      <c r="D390" s="57"/>
      <c r="E390" s="63"/>
      <c r="F390" s="58"/>
      <c r="G390" s="57"/>
      <c r="H390" s="57"/>
      <c r="I390" s="57"/>
      <c r="J390" s="57"/>
      <c r="K390" s="57"/>
    </row>
    <row r="391" spans="1:11" ht="22.15" customHeight="1" x14ac:dyDescent="0.2">
      <c r="A391" s="53" t="str">
        <f>IF(B391&lt;&gt;"",387,"")</f>
        <v/>
      </c>
      <c r="B391" s="53"/>
      <c r="C391" s="53" t="str">
        <f>IFERROR(VLOOKUP(B391,'👥 بيانات الموظفين'!B:C,2,0),"")</f>
        <v/>
      </c>
      <c r="D391" s="53"/>
      <c r="E391" s="62"/>
      <c r="F391" s="54"/>
      <c r="G391" s="53"/>
      <c r="H391" s="53"/>
      <c r="I391" s="53"/>
      <c r="J391" s="53"/>
      <c r="K391" s="53"/>
    </row>
    <row r="392" spans="1:11" ht="22.15" customHeight="1" x14ac:dyDescent="0.2">
      <c r="A392" s="57" t="str">
        <f>IF(B392&lt;&gt;"",388,"")</f>
        <v/>
      </c>
      <c r="B392" s="57"/>
      <c r="C392" s="57" t="str">
        <f>IFERROR(VLOOKUP(B392,'👥 بيانات الموظفين'!B:C,2,0),"")</f>
        <v/>
      </c>
      <c r="D392" s="57"/>
      <c r="E392" s="63"/>
      <c r="F392" s="58"/>
      <c r="G392" s="57"/>
      <c r="H392" s="57"/>
      <c r="I392" s="57"/>
      <c r="J392" s="57"/>
      <c r="K392" s="57"/>
    </row>
    <row r="393" spans="1:11" ht="22.15" customHeight="1" x14ac:dyDescent="0.2">
      <c r="A393" s="53" t="str">
        <f>IF(B393&lt;&gt;"",389,"")</f>
        <v/>
      </c>
      <c r="B393" s="53"/>
      <c r="C393" s="53" t="str">
        <f>IFERROR(VLOOKUP(B393,'👥 بيانات الموظفين'!B:C,2,0),"")</f>
        <v/>
      </c>
      <c r="D393" s="53"/>
      <c r="E393" s="62"/>
      <c r="F393" s="54"/>
      <c r="G393" s="53"/>
      <c r="H393" s="53"/>
      <c r="I393" s="53"/>
      <c r="J393" s="53"/>
      <c r="K393" s="53"/>
    </row>
    <row r="394" spans="1:11" ht="22.15" customHeight="1" x14ac:dyDescent="0.2">
      <c r="A394" s="57" t="str">
        <f>IF(B394&lt;&gt;"",390,"")</f>
        <v/>
      </c>
      <c r="B394" s="57"/>
      <c r="C394" s="57" t="str">
        <f>IFERROR(VLOOKUP(B394,'👥 بيانات الموظفين'!B:C,2,0),"")</f>
        <v/>
      </c>
      <c r="D394" s="57"/>
      <c r="E394" s="63"/>
      <c r="F394" s="58"/>
      <c r="G394" s="57"/>
      <c r="H394" s="57"/>
      <c r="I394" s="57"/>
      <c r="J394" s="57"/>
      <c r="K394" s="57"/>
    </row>
    <row r="395" spans="1:11" ht="22.15" customHeight="1" x14ac:dyDescent="0.2">
      <c r="A395" s="53" t="str">
        <f>IF(B395&lt;&gt;"",391,"")</f>
        <v/>
      </c>
      <c r="B395" s="53"/>
      <c r="C395" s="53" t="str">
        <f>IFERROR(VLOOKUP(B395,'👥 بيانات الموظفين'!B:C,2,0),"")</f>
        <v/>
      </c>
      <c r="D395" s="53"/>
      <c r="E395" s="62"/>
      <c r="F395" s="54"/>
      <c r="G395" s="53"/>
      <c r="H395" s="53"/>
      <c r="I395" s="53"/>
      <c r="J395" s="53"/>
      <c r="K395" s="53"/>
    </row>
    <row r="396" spans="1:11" ht="22.15" customHeight="1" x14ac:dyDescent="0.2">
      <c r="A396" s="57" t="str">
        <f>IF(B396&lt;&gt;"",392,"")</f>
        <v/>
      </c>
      <c r="B396" s="57"/>
      <c r="C396" s="57" t="str">
        <f>IFERROR(VLOOKUP(B396,'👥 بيانات الموظفين'!B:C,2,0),"")</f>
        <v/>
      </c>
      <c r="D396" s="57"/>
      <c r="E396" s="63"/>
      <c r="F396" s="58"/>
      <c r="G396" s="57"/>
      <c r="H396" s="57"/>
      <c r="I396" s="57"/>
      <c r="J396" s="57"/>
      <c r="K396" s="57"/>
    </row>
    <row r="397" spans="1:11" ht="22.15" customHeight="1" x14ac:dyDescent="0.2">
      <c r="A397" s="53" t="str">
        <f>IF(B397&lt;&gt;"",393,"")</f>
        <v/>
      </c>
      <c r="B397" s="53"/>
      <c r="C397" s="53" t="str">
        <f>IFERROR(VLOOKUP(B397,'👥 بيانات الموظفين'!B:C,2,0),"")</f>
        <v/>
      </c>
      <c r="D397" s="53"/>
      <c r="E397" s="62"/>
      <c r="F397" s="54"/>
      <c r="G397" s="53"/>
      <c r="H397" s="53"/>
      <c r="I397" s="53"/>
      <c r="J397" s="53"/>
      <c r="K397" s="53"/>
    </row>
    <row r="398" spans="1:11" ht="22.15" customHeight="1" x14ac:dyDescent="0.2">
      <c r="A398" s="57" t="str">
        <f>IF(B398&lt;&gt;"",394,"")</f>
        <v/>
      </c>
      <c r="B398" s="57"/>
      <c r="C398" s="57" t="str">
        <f>IFERROR(VLOOKUP(B398,'👥 بيانات الموظفين'!B:C,2,0),"")</f>
        <v/>
      </c>
      <c r="D398" s="57"/>
      <c r="E398" s="63"/>
      <c r="F398" s="58"/>
      <c r="G398" s="57"/>
      <c r="H398" s="57"/>
      <c r="I398" s="57"/>
      <c r="J398" s="57"/>
      <c r="K398" s="57"/>
    </row>
    <row r="399" spans="1:11" ht="22.15" customHeight="1" x14ac:dyDescent="0.2">
      <c r="A399" s="53" t="str">
        <f>IF(B399&lt;&gt;"",395,"")</f>
        <v/>
      </c>
      <c r="B399" s="53"/>
      <c r="C399" s="53" t="str">
        <f>IFERROR(VLOOKUP(B399,'👥 بيانات الموظفين'!B:C,2,0),"")</f>
        <v/>
      </c>
      <c r="D399" s="53"/>
      <c r="E399" s="62"/>
      <c r="F399" s="54"/>
      <c r="G399" s="53"/>
      <c r="H399" s="53"/>
      <c r="I399" s="53"/>
      <c r="J399" s="53"/>
      <c r="K399" s="53"/>
    </row>
    <row r="400" spans="1:11" ht="22.15" customHeight="1" x14ac:dyDescent="0.2">
      <c r="A400" s="57" t="str">
        <f>IF(B400&lt;&gt;"",396,"")</f>
        <v/>
      </c>
      <c r="B400" s="57"/>
      <c r="C400" s="57" t="str">
        <f>IFERROR(VLOOKUP(B400,'👥 بيانات الموظفين'!B:C,2,0),"")</f>
        <v/>
      </c>
      <c r="D400" s="57"/>
      <c r="E400" s="63"/>
      <c r="F400" s="58"/>
      <c r="G400" s="57"/>
      <c r="H400" s="57"/>
      <c r="I400" s="57"/>
      <c r="J400" s="57"/>
      <c r="K400" s="57"/>
    </row>
    <row r="401" spans="1:11" ht="22.15" customHeight="1" x14ac:dyDescent="0.2">
      <c r="A401" s="53" t="str">
        <f>IF(B401&lt;&gt;"",397,"")</f>
        <v/>
      </c>
      <c r="B401" s="53"/>
      <c r="C401" s="53" t="str">
        <f>IFERROR(VLOOKUP(B401,'👥 بيانات الموظفين'!B:C,2,0),"")</f>
        <v/>
      </c>
      <c r="D401" s="53"/>
      <c r="E401" s="62"/>
      <c r="F401" s="54"/>
      <c r="G401" s="53"/>
      <c r="H401" s="53"/>
      <c r="I401" s="53"/>
      <c r="J401" s="53"/>
      <c r="K401" s="53"/>
    </row>
    <row r="402" spans="1:11" ht="22.15" customHeight="1" x14ac:dyDescent="0.2">
      <c r="A402" s="57" t="str">
        <f>IF(B402&lt;&gt;"",398,"")</f>
        <v/>
      </c>
      <c r="B402" s="57"/>
      <c r="C402" s="57" t="str">
        <f>IFERROR(VLOOKUP(B402,'👥 بيانات الموظفين'!B:C,2,0),"")</f>
        <v/>
      </c>
      <c r="D402" s="57"/>
      <c r="E402" s="63"/>
      <c r="F402" s="58"/>
      <c r="G402" s="57"/>
      <c r="H402" s="57"/>
      <c r="I402" s="57"/>
      <c r="J402" s="57"/>
      <c r="K402" s="57"/>
    </row>
    <row r="403" spans="1:11" ht="22.15" customHeight="1" x14ac:dyDescent="0.2">
      <c r="A403" s="53" t="str">
        <f>IF(B403&lt;&gt;"",399,"")</f>
        <v/>
      </c>
      <c r="B403" s="53"/>
      <c r="C403" s="53" t="str">
        <f>IFERROR(VLOOKUP(B403,'👥 بيانات الموظفين'!B:C,2,0),"")</f>
        <v/>
      </c>
      <c r="D403" s="53"/>
      <c r="E403" s="62"/>
      <c r="F403" s="54"/>
      <c r="G403" s="53"/>
      <c r="H403" s="53"/>
      <c r="I403" s="53"/>
      <c r="J403" s="53"/>
      <c r="K403" s="53"/>
    </row>
    <row r="404" spans="1:11" ht="22.15" customHeight="1" x14ac:dyDescent="0.2">
      <c r="A404" s="57" t="str">
        <f>IF(B404&lt;&gt;"",400,"")</f>
        <v/>
      </c>
      <c r="B404" s="57"/>
      <c r="C404" s="57" t="str">
        <f>IFERROR(VLOOKUP(B404,'👥 بيانات الموظفين'!B:C,2,0),"")</f>
        <v/>
      </c>
      <c r="D404" s="57"/>
      <c r="E404" s="63"/>
      <c r="F404" s="58"/>
      <c r="G404" s="57"/>
      <c r="H404" s="57"/>
      <c r="I404" s="57"/>
      <c r="J404" s="57"/>
      <c r="K404" s="57"/>
    </row>
    <row r="405" spans="1:11" ht="22.15" customHeight="1" x14ac:dyDescent="0.2">
      <c r="A405" s="53" t="str">
        <f>IF(B405&lt;&gt;"",401,"")</f>
        <v/>
      </c>
      <c r="B405" s="53"/>
      <c r="C405" s="53" t="str">
        <f>IFERROR(VLOOKUP(B405,'👥 بيانات الموظفين'!B:C,2,0),"")</f>
        <v/>
      </c>
      <c r="D405" s="53"/>
      <c r="E405" s="62"/>
      <c r="F405" s="54"/>
      <c r="G405" s="53"/>
      <c r="H405" s="53"/>
      <c r="I405" s="53"/>
      <c r="J405" s="53"/>
      <c r="K405" s="53"/>
    </row>
    <row r="406" spans="1:11" ht="22.15" customHeight="1" x14ac:dyDescent="0.2">
      <c r="A406" s="57" t="str">
        <f>IF(B406&lt;&gt;"",402,"")</f>
        <v/>
      </c>
      <c r="B406" s="57"/>
      <c r="C406" s="57" t="str">
        <f>IFERROR(VLOOKUP(B406,'👥 بيانات الموظفين'!B:C,2,0),"")</f>
        <v/>
      </c>
      <c r="D406" s="57"/>
      <c r="E406" s="63"/>
      <c r="F406" s="58"/>
      <c r="G406" s="57"/>
      <c r="H406" s="57"/>
      <c r="I406" s="57"/>
      <c r="J406" s="57"/>
      <c r="K406" s="57"/>
    </row>
    <row r="407" spans="1:11" ht="22.15" customHeight="1" x14ac:dyDescent="0.2">
      <c r="A407" s="53" t="str">
        <f>IF(B407&lt;&gt;"",403,"")</f>
        <v/>
      </c>
      <c r="B407" s="53"/>
      <c r="C407" s="53" t="str">
        <f>IFERROR(VLOOKUP(B407,'👥 بيانات الموظفين'!B:C,2,0),"")</f>
        <v/>
      </c>
      <c r="D407" s="53"/>
      <c r="E407" s="62"/>
      <c r="F407" s="54"/>
      <c r="G407" s="53"/>
      <c r="H407" s="53"/>
      <c r="I407" s="53"/>
      <c r="J407" s="53"/>
      <c r="K407" s="53"/>
    </row>
    <row r="408" spans="1:11" ht="22.15" customHeight="1" x14ac:dyDescent="0.2">
      <c r="A408" s="57" t="str">
        <f>IF(B408&lt;&gt;"",404,"")</f>
        <v/>
      </c>
      <c r="B408" s="57"/>
      <c r="C408" s="57" t="str">
        <f>IFERROR(VLOOKUP(B408,'👥 بيانات الموظفين'!B:C,2,0),"")</f>
        <v/>
      </c>
      <c r="D408" s="57"/>
      <c r="E408" s="63"/>
      <c r="F408" s="58"/>
      <c r="G408" s="57"/>
      <c r="H408" s="57"/>
      <c r="I408" s="57"/>
      <c r="J408" s="57"/>
      <c r="K408" s="57"/>
    </row>
    <row r="409" spans="1:11" ht="22.15" customHeight="1" x14ac:dyDescent="0.2">
      <c r="A409" s="53" t="str">
        <f>IF(B409&lt;&gt;"",405,"")</f>
        <v/>
      </c>
      <c r="B409" s="53"/>
      <c r="C409" s="53" t="str">
        <f>IFERROR(VLOOKUP(B409,'👥 بيانات الموظفين'!B:C,2,0),"")</f>
        <v/>
      </c>
      <c r="D409" s="53"/>
      <c r="E409" s="62"/>
      <c r="F409" s="54"/>
      <c r="G409" s="53"/>
      <c r="H409" s="53"/>
      <c r="I409" s="53"/>
      <c r="J409" s="53"/>
      <c r="K409" s="53"/>
    </row>
    <row r="410" spans="1:11" ht="22.15" customHeight="1" x14ac:dyDescent="0.2">
      <c r="A410" s="57" t="str">
        <f>IF(B410&lt;&gt;"",406,"")</f>
        <v/>
      </c>
      <c r="B410" s="57"/>
      <c r="C410" s="57" t="str">
        <f>IFERROR(VLOOKUP(B410,'👥 بيانات الموظفين'!B:C,2,0),"")</f>
        <v/>
      </c>
      <c r="D410" s="57"/>
      <c r="E410" s="63"/>
      <c r="F410" s="58"/>
      <c r="G410" s="57"/>
      <c r="H410" s="57"/>
      <c r="I410" s="57"/>
      <c r="J410" s="57"/>
      <c r="K410" s="57"/>
    </row>
    <row r="411" spans="1:11" ht="22.15" customHeight="1" x14ac:dyDescent="0.2">
      <c r="A411" s="53" t="str">
        <f>IF(B411&lt;&gt;"",407,"")</f>
        <v/>
      </c>
      <c r="B411" s="53"/>
      <c r="C411" s="53" t="str">
        <f>IFERROR(VLOOKUP(B411,'👥 بيانات الموظفين'!B:C,2,0),"")</f>
        <v/>
      </c>
      <c r="D411" s="53"/>
      <c r="E411" s="62"/>
      <c r="F411" s="54"/>
      <c r="G411" s="53"/>
      <c r="H411" s="53"/>
      <c r="I411" s="53"/>
      <c r="J411" s="53"/>
      <c r="K411" s="53"/>
    </row>
    <row r="412" spans="1:11" ht="22.15" customHeight="1" x14ac:dyDescent="0.2">
      <c r="A412" s="57" t="str">
        <f>IF(B412&lt;&gt;"",408,"")</f>
        <v/>
      </c>
      <c r="B412" s="57"/>
      <c r="C412" s="57" t="str">
        <f>IFERROR(VLOOKUP(B412,'👥 بيانات الموظفين'!B:C,2,0),"")</f>
        <v/>
      </c>
      <c r="D412" s="57"/>
      <c r="E412" s="63"/>
      <c r="F412" s="58"/>
      <c r="G412" s="57"/>
      <c r="H412" s="57"/>
      <c r="I412" s="57"/>
      <c r="J412" s="57"/>
      <c r="K412" s="57"/>
    </row>
    <row r="413" spans="1:11" ht="22.15" customHeight="1" x14ac:dyDescent="0.2">
      <c r="A413" s="53" t="str">
        <f>IF(B413&lt;&gt;"",409,"")</f>
        <v/>
      </c>
      <c r="B413" s="53"/>
      <c r="C413" s="53" t="str">
        <f>IFERROR(VLOOKUP(B413,'👥 بيانات الموظفين'!B:C,2,0),"")</f>
        <v/>
      </c>
      <c r="D413" s="53"/>
      <c r="E413" s="62"/>
      <c r="F413" s="54"/>
      <c r="G413" s="53"/>
      <c r="H413" s="53"/>
      <c r="I413" s="53"/>
      <c r="J413" s="53"/>
      <c r="K413" s="53"/>
    </row>
    <row r="414" spans="1:11" ht="22.15" customHeight="1" x14ac:dyDescent="0.2">
      <c r="A414" s="57" t="str">
        <f>IF(B414&lt;&gt;"",410,"")</f>
        <v/>
      </c>
      <c r="B414" s="57"/>
      <c r="C414" s="57" t="str">
        <f>IFERROR(VLOOKUP(B414,'👥 بيانات الموظفين'!B:C,2,0),"")</f>
        <v/>
      </c>
      <c r="D414" s="57"/>
      <c r="E414" s="63"/>
      <c r="F414" s="58"/>
      <c r="G414" s="57"/>
      <c r="H414" s="57"/>
      <c r="I414" s="57"/>
      <c r="J414" s="57"/>
      <c r="K414" s="57"/>
    </row>
    <row r="415" spans="1:11" ht="22.15" customHeight="1" x14ac:dyDescent="0.2">
      <c r="A415" s="53" t="str">
        <f>IF(B415&lt;&gt;"",411,"")</f>
        <v/>
      </c>
      <c r="B415" s="53"/>
      <c r="C415" s="53" t="str">
        <f>IFERROR(VLOOKUP(B415,'👥 بيانات الموظفين'!B:C,2,0),"")</f>
        <v/>
      </c>
      <c r="D415" s="53"/>
      <c r="E415" s="62"/>
      <c r="F415" s="54"/>
      <c r="G415" s="53"/>
      <c r="H415" s="53"/>
      <c r="I415" s="53"/>
      <c r="J415" s="53"/>
      <c r="K415" s="53"/>
    </row>
    <row r="416" spans="1:11" ht="22.15" customHeight="1" x14ac:dyDescent="0.2">
      <c r="A416" s="57" t="str">
        <f>IF(B416&lt;&gt;"",412,"")</f>
        <v/>
      </c>
      <c r="B416" s="57"/>
      <c r="C416" s="57" t="str">
        <f>IFERROR(VLOOKUP(B416,'👥 بيانات الموظفين'!B:C,2,0),"")</f>
        <v/>
      </c>
      <c r="D416" s="57"/>
      <c r="E416" s="63"/>
      <c r="F416" s="58"/>
      <c r="G416" s="57"/>
      <c r="H416" s="57"/>
      <c r="I416" s="57"/>
      <c r="J416" s="57"/>
      <c r="K416" s="57"/>
    </row>
    <row r="417" spans="1:11" ht="22.15" customHeight="1" x14ac:dyDescent="0.2">
      <c r="A417" s="53" t="str">
        <f>IF(B417&lt;&gt;"",413,"")</f>
        <v/>
      </c>
      <c r="B417" s="53"/>
      <c r="C417" s="53" t="str">
        <f>IFERROR(VLOOKUP(B417,'👥 بيانات الموظفين'!B:C,2,0),"")</f>
        <v/>
      </c>
      <c r="D417" s="53"/>
      <c r="E417" s="62"/>
      <c r="F417" s="54"/>
      <c r="G417" s="53"/>
      <c r="H417" s="53"/>
      <c r="I417" s="53"/>
      <c r="J417" s="53"/>
      <c r="K417" s="53"/>
    </row>
    <row r="418" spans="1:11" ht="22.15" customHeight="1" x14ac:dyDescent="0.2">
      <c r="A418" s="57" t="str">
        <f>IF(B418&lt;&gt;"",414,"")</f>
        <v/>
      </c>
      <c r="B418" s="57"/>
      <c r="C418" s="57" t="str">
        <f>IFERROR(VLOOKUP(B418,'👥 بيانات الموظفين'!B:C,2,0),"")</f>
        <v/>
      </c>
      <c r="D418" s="57"/>
      <c r="E418" s="63"/>
      <c r="F418" s="58"/>
      <c r="G418" s="57"/>
      <c r="H418" s="57"/>
      <c r="I418" s="57"/>
      <c r="J418" s="57"/>
      <c r="K418" s="57"/>
    </row>
    <row r="419" spans="1:11" ht="22.15" customHeight="1" x14ac:dyDescent="0.2">
      <c r="A419" s="53" t="str">
        <f>IF(B419&lt;&gt;"",415,"")</f>
        <v/>
      </c>
      <c r="B419" s="53"/>
      <c r="C419" s="53" t="str">
        <f>IFERROR(VLOOKUP(B419,'👥 بيانات الموظفين'!B:C,2,0),"")</f>
        <v/>
      </c>
      <c r="D419" s="53"/>
      <c r="E419" s="62"/>
      <c r="F419" s="54"/>
      <c r="G419" s="53"/>
      <c r="H419" s="53"/>
      <c r="I419" s="53"/>
      <c r="J419" s="53"/>
      <c r="K419" s="53"/>
    </row>
    <row r="420" spans="1:11" ht="22.15" customHeight="1" x14ac:dyDescent="0.2">
      <c r="A420" s="57" t="str">
        <f>IF(B420&lt;&gt;"",416,"")</f>
        <v/>
      </c>
      <c r="B420" s="57"/>
      <c r="C420" s="57" t="str">
        <f>IFERROR(VLOOKUP(B420,'👥 بيانات الموظفين'!B:C,2,0),"")</f>
        <v/>
      </c>
      <c r="D420" s="57"/>
      <c r="E420" s="63"/>
      <c r="F420" s="58"/>
      <c r="G420" s="57"/>
      <c r="H420" s="57"/>
      <c r="I420" s="57"/>
      <c r="J420" s="57"/>
      <c r="K420" s="57"/>
    </row>
    <row r="421" spans="1:11" ht="22.15" customHeight="1" x14ac:dyDescent="0.2">
      <c r="A421" s="53" t="str">
        <f>IF(B421&lt;&gt;"",417,"")</f>
        <v/>
      </c>
      <c r="B421" s="53"/>
      <c r="C421" s="53" t="str">
        <f>IFERROR(VLOOKUP(B421,'👥 بيانات الموظفين'!B:C,2,0),"")</f>
        <v/>
      </c>
      <c r="D421" s="53"/>
      <c r="E421" s="62"/>
      <c r="F421" s="54"/>
      <c r="G421" s="53"/>
      <c r="H421" s="53"/>
      <c r="I421" s="53"/>
      <c r="J421" s="53"/>
      <c r="K421" s="53"/>
    </row>
    <row r="422" spans="1:11" ht="22.15" customHeight="1" x14ac:dyDescent="0.2">
      <c r="A422" s="57" t="str">
        <f>IF(B422&lt;&gt;"",418,"")</f>
        <v/>
      </c>
      <c r="B422" s="57"/>
      <c r="C422" s="57" t="str">
        <f>IFERROR(VLOOKUP(B422,'👥 بيانات الموظفين'!B:C,2,0),"")</f>
        <v/>
      </c>
      <c r="D422" s="57"/>
      <c r="E422" s="63"/>
      <c r="F422" s="58"/>
      <c r="G422" s="57"/>
      <c r="H422" s="57"/>
      <c r="I422" s="57"/>
      <c r="J422" s="57"/>
      <c r="K422" s="57"/>
    </row>
    <row r="423" spans="1:11" ht="22.15" customHeight="1" x14ac:dyDescent="0.2">
      <c r="A423" s="53" t="str">
        <f>IF(B423&lt;&gt;"",419,"")</f>
        <v/>
      </c>
      <c r="B423" s="53"/>
      <c r="C423" s="53" t="str">
        <f>IFERROR(VLOOKUP(B423,'👥 بيانات الموظفين'!B:C,2,0),"")</f>
        <v/>
      </c>
      <c r="D423" s="53"/>
      <c r="E423" s="62"/>
      <c r="F423" s="54"/>
      <c r="G423" s="53"/>
      <c r="H423" s="53"/>
      <c r="I423" s="53"/>
      <c r="J423" s="53"/>
      <c r="K423" s="53"/>
    </row>
    <row r="424" spans="1:11" ht="22.15" customHeight="1" x14ac:dyDescent="0.2">
      <c r="A424" s="57" t="str">
        <f>IF(B424&lt;&gt;"",420,"")</f>
        <v/>
      </c>
      <c r="B424" s="57"/>
      <c r="C424" s="57" t="str">
        <f>IFERROR(VLOOKUP(B424,'👥 بيانات الموظفين'!B:C,2,0),"")</f>
        <v/>
      </c>
      <c r="D424" s="57"/>
      <c r="E424" s="63"/>
      <c r="F424" s="58"/>
      <c r="G424" s="57"/>
      <c r="H424" s="57"/>
      <c r="I424" s="57"/>
      <c r="J424" s="57"/>
      <c r="K424" s="57"/>
    </row>
    <row r="425" spans="1:11" ht="22.15" customHeight="1" x14ac:dyDescent="0.2">
      <c r="A425" s="53" t="str">
        <f>IF(B425&lt;&gt;"",421,"")</f>
        <v/>
      </c>
      <c r="B425" s="53"/>
      <c r="C425" s="53" t="str">
        <f>IFERROR(VLOOKUP(B425,'👥 بيانات الموظفين'!B:C,2,0),"")</f>
        <v/>
      </c>
      <c r="D425" s="53"/>
      <c r="E425" s="62"/>
      <c r="F425" s="54"/>
      <c r="G425" s="53"/>
      <c r="H425" s="53"/>
      <c r="I425" s="53"/>
      <c r="J425" s="53"/>
      <c r="K425" s="53"/>
    </row>
    <row r="426" spans="1:11" ht="22.15" customHeight="1" x14ac:dyDescent="0.2">
      <c r="A426" s="57" t="str">
        <f>IF(B426&lt;&gt;"",422,"")</f>
        <v/>
      </c>
      <c r="B426" s="57"/>
      <c r="C426" s="57" t="str">
        <f>IFERROR(VLOOKUP(B426,'👥 بيانات الموظفين'!B:C,2,0),"")</f>
        <v/>
      </c>
      <c r="D426" s="57"/>
      <c r="E426" s="63"/>
      <c r="F426" s="58"/>
      <c r="G426" s="57"/>
      <c r="H426" s="57"/>
      <c r="I426" s="57"/>
      <c r="J426" s="57"/>
      <c r="K426" s="57"/>
    </row>
    <row r="427" spans="1:11" ht="22.15" customHeight="1" x14ac:dyDescent="0.2">
      <c r="A427" s="53" t="str">
        <f>IF(B427&lt;&gt;"",423,"")</f>
        <v/>
      </c>
      <c r="B427" s="53"/>
      <c r="C427" s="53" t="str">
        <f>IFERROR(VLOOKUP(B427,'👥 بيانات الموظفين'!B:C,2,0),"")</f>
        <v/>
      </c>
      <c r="D427" s="53"/>
      <c r="E427" s="62"/>
      <c r="F427" s="54"/>
      <c r="G427" s="53"/>
      <c r="H427" s="53"/>
      <c r="I427" s="53"/>
      <c r="J427" s="53"/>
      <c r="K427" s="53"/>
    </row>
    <row r="428" spans="1:11" ht="22.15" customHeight="1" x14ac:dyDescent="0.2">
      <c r="A428" s="57" t="str">
        <f>IF(B428&lt;&gt;"",424,"")</f>
        <v/>
      </c>
      <c r="B428" s="57"/>
      <c r="C428" s="57" t="str">
        <f>IFERROR(VLOOKUP(B428,'👥 بيانات الموظفين'!B:C,2,0),"")</f>
        <v/>
      </c>
      <c r="D428" s="57"/>
      <c r="E428" s="63"/>
      <c r="F428" s="58"/>
      <c r="G428" s="57"/>
      <c r="H428" s="57"/>
      <c r="I428" s="57"/>
      <c r="J428" s="57"/>
      <c r="K428" s="57"/>
    </row>
    <row r="429" spans="1:11" ht="22.15" customHeight="1" x14ac:dyDescent="0.2">
      <c r="A429" s="53" t="str">
        <f>IF(B429&lt;&gt;"",425,"")</f>
        <v/>
      </c>
      <c r="B429" s="53"/>
      <c r="C429" s="53" t="str">
        <f>IFERROR(VLOOKUP(B429,'👥 بيانات الموظفين'!B:C,2,0),"")</f>
        <v/>
      </c>
      <c r="D429" s="53"/>
      <c r="E429" s="62"/>
      <c r="F429" s="54"/>
      <c r="G429" s="53"/>
      <c r="H429" s="53"/>
      <c r="I429" s="53"/>
      <c r="J429" s="53"/>
      <c r="K429" s="53"/>
    </row>
    <row r="430" spans="1:11" ht="22.15" customHeight="1" x14ac:dyDescent="0.2">
      <c r="A430" s="57" t="str">
        <f>IF(B430&lt;&gt;"",426,"")</f>
        <v/>
      </c>
      <c r="B430" s="57"/>
      <c r="C430" s="57" t="str">
        <f>IFERROR(VLOOKUP(B430,'👥 بيانات الموظفين'!B:C,2,0),"")</f>
        <v/>
      </c>
      <c r="D430" s="57"/>
      <c r="E430" s="63"/>
      <c r="F430" s="58"/>
      <c r="G430" s="57"/>
      <c r="H430" s="57"/>
      <c r="I430" s="57"/>
      <c r="J430" s="57"/>
      <c r="K430" s="57"/>
    </row>
    <row r="431" spans="1:11" ht="22.15" customHeight="1" x14ac:dyDescent="0.2">
      <c r="A431" s="53" t="str">
        <f>IF(B431&lt;&gt;"",427,"")</f>
        <v/>
      </c>
      <c r="B431" s="53"/>
      <c r="C431" s="53" t="str">
        <f>IFERROR(VLOOKUP(B431,'👥 بيانات الموظفين'!B:C,2,0),"")</f>
        <v/>
      </c>
      <c r="D431" s="53"/>
      <c r="E431" s="62"/>
      <c r="F431" s="54"/>
      <c r="G431" s="53"/>
      <c r="H431" s="53"/>
      <c r="I431" s="53"/>
      <c r="J431" s="53"/>
      <c r="K431" s="53"/>
    </row>
    <row r="432" spans="1:11" ht="22.15" customHeight="1" x14ac:dyDescent="0.2">
      <c r="A432" s="57" t="str">
        <f>IF(B432&lt;&gt;"",428,"")</f>
        <v/>
      </c>
      <c r="B432" s="57"/>
      <c r="C432" s="57" t="str">
        <f>IFERROR(VLOOKUP(B432,'👥 بيانات الموظفين'!B:C,2,0),"")</f>
        <v/>
      </c>
      <c r="D432" s="57"/>
      <c r="E432" s="63"/>
      <c r="F432" s="58"/>
      <c r="G432" s="57"/>
      <c r="H432" s="57"/>
      <c r="I432" s="57"/>
      <c r="J432" s="57"/>
      <c r="K432" s="57"/>
    </row>
    <row r="433" spans="1:11" ht="22.15" customHeight="1" x14ac:dyDescent="0.2">
      <c r="A433" s="53" t="str">
        <f>IF(B433&lt;&gt;"",429,"")</f>
        <v/>
      </c>
      <c r="B433" s="53"/>
      <c r="C433" s="53" t="str">
        <f>IFERROR(VLOOKUP(B433,'👥 بيانات الموظفين'!B:C,2,0),"")</f>
        <v/>
      </c>
      <c r="D433" s="53"/>
      <c r="E433" s="62"/>
      <c r="F433" s="54"/>
      <c r="G433" s="53"/>
      <c r="H433" s="53"/>
      <c r="I433" s="53"/>
      <c r="J433" s="53"/>
      <c r="K433" s="53"/>
    </row>
    <row r="434" spans="1:11" ht="22.15" customHeight="1" x14ac:dyDescent="0.2">
      <c r="A434" s="57" t="str">
        <f>IF(B434&lt;&gt;"",430,"")</f>
        <v/>
      </c>
      <c r="B434" s="57"/>
      <c r="C434" s="57" t="str">
        <f>IFERROR(VLOOKUP(B434,'👥 بيانات الموظفين'!B:C,2,0),"")</f>
        <v/>
      </c>
      <c r="D434" s="57"/>
      <c r="E434" s="63"/>
      <c r="F434" s="58"/>
      <c r="G434" s="57"/>
      <c r="H434" s="57"/>
      <c r="I434" s="57"/>
      <c r="J434" s="57"/>
      <c r="K434" s="57"/>
    </row>
    <row r="435" spans="1:11" ht="22.15" customHeight="1" x14ac:dyDescent="0.2">
      <c r="A435" s="53" t="str">
        <f>IF(B435&lt;&gt;"",431,"")</f>
        <v/>
      </c>
      <c r="B435" s="53"/>
      <c r="C435" s="53" t="str">
        <f>IFERROR(VLOOKUP(B435,'👥 بيانات الموظفين'!B:C,2,0),"")</f>
        <v/>
      </c>
      <c r="D435" s="53"/>
      <c r="E435" s="62"/>
      <c r="F435" s="54"/>
      <c r="G435" s="53"/>
      <c r="H435" s="53"/>
      <c r="I435" s="53"/>
      <c r="J435" s="53"/>
      <c r="K435" s="53"/>
    </row>
    <row r="436" spans="1:11" ht="22.15" customHeight="1" x14ac:dyDescent="0.2">
      <c r="A436" s="57" t="str">
        <f>IF(B436&lt;&gt;"",432,"")</f>
        <v/>
      </c>
      <c r="B436" s="57"/>
      <c r="C436" s="57" t="str">
        <f>IFERROR(VLOOKUP(B436,'👥 بيانات الموظفين'!B:C,2,0),"")</f>
        <v/>
      </c>
      <c r="D436" s="57"/>
      <c r="E436" s="63"/>
      <c r="F436" s="58"/>
      <c r="G436" s="57"/>
      <c r="H436" s="57"/>
      <c r="I436" s="57"/>
      <c r="J436" s="57"/>
      <c r="K436" s="57"/>
    </row>
    <row r="437" spans="1:11" ht="22.15" customHeight="1" x14ac:dyDescent="0.2">
      <c r="A437" s="53" t="str">
        <f>IF(B437&lt;&gt;"",433,"")</f>
        <v/>
      </c>
      <c r="B437" s="53"/>
      <c r="C437" s="53" t="str">
        <f>IFERROR(VLOOKUP(B437,'👥 بيانات الموظفين'!B:C,2,0),"")</f>
        <v/>
      </c>
      <c r="D437" s="53"/>
      <c r="E437" s="62"/>
      <c r="F437" s="54"/>
      <c r="G437" s="53"/>
      <c r="H437" s="53"/>
      <c r="I437" s="53"/>
      <c r="J437" s="53"/>
      <c r="K437" s="53"/>
    </row>
    <row r="438" spans="1:11" ht="22.15" customHeight="1" x14ac:dyDescent="0.2">
      <c r="A438" s="57" t="str">
        <f>IF(B438&lt;&gt;"",434,"")</f>
        <v/>
      </c>
      <c r="B438" s="57"/>
      <c r="C438" s="57" t="str">
        <f>IFERROR(VLOOKUP(B438,'👥 بيانات الموظفين'!B:C,2,0),"")</f>
        <v/>
      </c>
      <c r="D438" s="57"/>
      <c r="E438" s="63"/>
      <c r="F438" s="58"/>
      <c r="G438" s="57"/>
      <c r="H438" s="57"/>
      <c r="I438" s="57"/>
      <c r="J438" s="57"/>
      <c r="K438" s="57"/>
    </row>
    <row r="439" spans="1:11" ht="22.15" customHeight="1" x14ac:dyDescent="0.2">
      <c r="A439" s="53" t="str">
        <f>IF(B439&lt;&gt;"",435,"")</f>
        <v/>
      </c>
      <c r="B439" s="53"/>
      <c r="C439" s="53" t="str">
        <f>IFERROR(VLOOKUP(B439,'👥 بيانات الموظفين'!B:C,2,0),"")</f>
        <v/>
      </c>
      <c r="D439" s="53"/>
      <c r="E439" s="62"/>
      <c r="F439" s="54"/>
      <c r="G439" s="53"/>
      <c r="H439" s="53"/>
      <c r="I439" s="53"/>
      <c r="J439" s="53"/>
      <c r="K439" s="53"/>
    </row>
    <row r="440" spans="1:11" ht="22.15" customHeight="1" x14ac:dyDescent="0.2">
      <c r="A440" s="57" t="str">
        <f>IF(B440&lt;&gt;"",436,"")</f>
        <v/>
      </c>
      <c r="B440" s="57"/>
      <c r="C440" s="57" t="str">
        <f>IFERROR(VLOOKUP(B440,'👥 بيانات الموظفين'!B:C,2,0),"")</f>
        <v/>
      </c>
      <c r="D440" s="57"/>
      <c r="E440" s="63"/>
      <c r="F440" s="58"/>
      <c r="G440" s="57"/>
      <c r="H440" s="57"/>
      <c r="I440" s="57"/>
      <c r="J440" s="57"/>
      <c r="K440" s="57"/>
    </row>
    <row r="441" spans="1:11" ht="22.15" customHeight="1" x14ac:dyDescent="0.2">
      <c r="A441" s="53" t="str">
        <f>IF(B441&lt;&gt;"",437,"")</f>
        <v/>
      </c>
      <c r="B441" s="53"/>
      <c r="C441" s="53" t="str">
        <f>IFERROR(VLOOKUP(B441,'👥 بيانات الموظفين'!B:C,2,0),"")</f>
        <v/>
      </c>
      <c r="D441" s="53"/>
      <c r="E441" s="62"/>
      <c r="F441" s="54"/>
      <c r="G441" s="53"/>
      <c r="H441" s="53"/>
      <c r="I441" s="53"/>
      <c r="J441" s="53"/>
      <c r="K441" s="53"/>
    </row>
    <row r="442" spans="1:11" ht="22.15" customHeight="1" x14ac:dyDescent="0.2">
      <c r="A442" s="57" t="str">
        <f>IF(B442&lt;&gt;"",438,"")</f>
        <v/>
      </c>
      <c r="B442" s="57"/>
      <c r="C442" s="57" t="str">
        <f>IFERROR(VLOOKUP(B442,'👥 بيانات الموظفين'!B:C,2,0),"")</f>
        <v/>
      </c>
      <c r="D442" s="57"/>
      <c r="E442" s="63"/>
      <c r="F442" s="58"/>
      <c r="G442" s="57"/>
      <c r="H442" s="57"/>
      <c r="I442" s="57"/>
      <c r="J442" s="57"/>
      <c r="K442" s="57"/>
    </row>
    <row r="443" spans="1:11" ht="22.15" customHeight="1" x14ac:dyDescent="0.2">
      <c r="A443" s="53" t="str">
        <f>IF(B443&lt;&gt;"",439,"")</f>
        <v/>
      </c>
      <c r="B443" s="53"/>
      <c r="C443" s="53" t="str">
        <f>IFERROR(VLOOKUP(B443,'👥 بيانات الموظفين'!B:C,2,0),"")</f>
        <v/>
      </c>
      <c r="D443" s="53"/>
      <c r="E443" s="62"/>
      <c r="F443" s="54"/>
      <c r="G443" s="53"/>
      <c r="H443" s="53"/>
      <c r="I443" s="53"/>
      <c r="J443" s="53"/>
      <c r="K443" s="53"/>
    </row>
    <row r="444" spans="1:11" ht="22.15" customHeight="1" x14ac:dyDescent="0.2">
      <c r="A444" s="57" t="str">
        <f>IF(B444&lt;&gt;"",440,"")</f>
        <v/>
      </c>
      <c r="B444" s="57"/>
      <c r="C444" s="57" t="str">
        <f>IFERROR(VLOOKUP(B444,'👥 بيانات الموظفين'!B:C,2,0),"")</f>
        <v/>
      </c>
      <c r="D444" s="57"/>
      <c r="E444" s="63"/>
      <c r="F444" s="58"/>
      <c r="G444" s="57"/>
      <c r="H444" s="57"/>
      <c r="I444" s="57"/>
      <c r="J444" s="57"/>
      <c r="K444" s="57"/>
    </row>
    <row r="445" spans="1:11" ht="22.15" customHeight="1" x14ac:dyDescent="0.2">
      <c r="A445" s="53" t="str">
        <f>IF(B445&lt;&gt;"",441,"")</f>
        <v/>
      </c>
      <c r="B445" s="53"/>
      <c r="C445" s="53" t="str">
        <f>IFERROR(VLOOKUP(B445,'👥 بيانات الموظفين'!B:C,2,0),"")</f>
        <v/>
      </c>
      <c r="D445" s="53"/>
      <c r="E445" s="62"/>
      <c r="F445" s="54"/>
      <c r="G445" s="53"/>
      <c r="H445" s="53"/>
      <c r="I445" s="53"/>
      <c r="J445" s="53"/>
      <c r="K445" s="53"/>
    </row>
    <row r="446" spans="1:11" ht="22.15" customHeight="1" x14ac:dyDescent="0.2">
      <c r="A446" s="57" t="str">
        <f>IF(B446&lt;&gt;"",442,"")</f>
        <v/>
      </c>
      <c r="B446" s="57"/>
      <c r="C446" s="57" t="str">
        <f>IFERROR(VLOOKUP(B446,'👥 بيانات الموظفين'!B:C,2,0),"")</f>
        <v/>
      </c>
      <c r="D446" s="57"/>
      <c r="E446" s="63"/>
      <c r="F446" s="58"/>
      <c r="G446" s="57"/>
      <c r="H446" s="57"/>
      <c r="I446" s="57"/>
      <c r="J446" s="57"/>
      <c r="K446" s="57"/>
    </row>
    <row r="447" spans="1:11" ht="22.15" customHeight="1" x14ac:dyDescent="0.2">
      <c r="A447" s="53" t="str">
        <f>IF(B447&lt;&gt;"",443,"")</f>
        <v/>
      </c>
      <c r="B447" s="53"/>
      <c r="C447" s="53" t="str">
        <f>IFERROR(VLOOKUP(B447,'👥 بيانات الموظفين'!B:C,2,0),"")</f>
        <v/>
      </c>
      <c r="D447" s="53"/>
      <c r="E447" s="62"/>
      <c r="F447" s="54"/>
      <c r="G447" s="53"/>
      <c r="H447" s="53"/>
      <c r="I447" s="53"/>
      <c r="J447" s="53"/>
      <c r="K447" s="53"/>
    </row>
    <row r="448" spans="1:11" ht="22.15" customHeight="1" x14ac:dyDescent="0.2">
      <c r="A448" s="57" t="str">
        <f>IF(B448&lt;&gt;"",444,"")</f>
        <v/>
      </c>
      <c r="B448" s="57"/>
      <c r="C448" s="57" t="str">
        <f>IFERROR(VLOOKUP(B448,'👥 بيانات الموظفين'!B:C,2,0),"")</f>
        <v/>
      </c>
      <c r="D448" s="57"/>
      <c r="E448" s="63"/>
      <c r="F448" s="58"/>
      <c r="G448" s="57"/>
      <c r="H448" s="57"/>
      <c r="I448" s="57"/>
      <c r="J448" s="57"/>
      <c r="K448" s="57"/>
    </row>
    <row r="449" spans="1:11" ht="22.15" customHeight="1" x14ac:dyDescent="0.2">
      <c r="A449" s="53" t="str">
        <f>IF(B449&lt;&gt;"",445,"")</f>
        <v/>
      </c>
      <c r="B449" s="53"/>
      <c r="C449" s="53" t="str">
        <f>IFERROR(VLOOKUP(B449,'👥 بيانات الموظفين'!B:C,2,0),"")</f>
        <v/>
      </c>
      <c r="D449" s="53"/>
      <c r="E449" s="62"/>
      <c r="F449" s="54"/>
      <c r="G449" s="53"/>
      <c r="H449" s="53"/>
      <c r="I449" s="53"/>
      <c r="J449" s="53"/>
      <c r="K449" s="53"/>
    </row>
    <row r="450" spans="1:11" ht="22.15" customHeight="1" x14ac:dyDescent="0.2">
      <c r="A450" s="57" t="str">
        <f>IF(B450&lt;&gt;"",446,"")</f>
        <v/>
      </c>
      <c r="B450" s="57"/>
      <c r="C450" s="57" t="str">
        <f>IFERROR(VLOOKUP(B450,'👥 بيانات الموظفين'!B:C,2,0),"")</f>
        <v/>
      </c>
      <c r="D450" s="57"/>
      <c r="E450" s="63"/>
      <c r="F450" s="58"/>
      <c r="G450" s="57"/>
      <c r="H450" s="57"/>
      <c r="I450" s="57"/>
      <c r="J450" s="57"/>
      <c r="K450" s="57"/>
    </row>
    <row r="451" spans="1:11" ht="22.15" customHeight="1" x14ac:dyDescent="0.2">
      <c r="A451" s="53" t="str">
        <f>IF(B451&lt;&gt;"",447,"")</f>
        <v/>
      </c>
      <c r="B451" s="53"/>
      <c r="C451" s="53" t="str">
        <f>IFERROR(VLOOKUP(B451,'👥 بيانات الموظفين'!B:C,2,0),"")</f>
        <v/>
      </c>
      <c r="D451" s="53"/>
      <c r="E451" s="62"/>
      <c r="F451" s="54"/>
      <c r="G451" s="53"/>
      <c r="H451" s="53"/>
      <c r="I451" s="53"/>
      <c r="J451" s="53"/>
      <c r="K451" s="53"/>
    </row>
    <row r="452" spans="1:11" ht="22.15" customHeight="1" x14ac:dyDescent="0.2">
      <c r="A452" s="57" t="str">
        <f>IF(B452&lt;&gt;"",448,"")</f>
        <v/>
      </c>
      <c r="B452" s="57"/>
      <c r="C452" s="57" t="str">
        <f>IFERROR(VLOOKUP(B452,'👥 بيانات الموظفين'!B:C,2,0),"")</f>
        <v/>
      </c>
      <c r="D452" s="57"/>
      <c r="E452" s="63"/>
      <c r="F452" s="58"/>
      <c r="G452" s="57"/>
      <c r="H452" s="57"/>
      <c r="I452" s="57"/>
      <c r="J452" s="57"/>
      <c r="K452" s="57"/>
    </row>
    <row r="453" spans="1:11" ht="22.15" customHeight="1" x14ac:dyDescent="0.2">
      <c r="A453" s="53" t="str">
        <f>IF(B453&lt;&gt;"",449,"")</f>
        <v/>
      </c>
      <c r="B453" s="53"/>
      <c r="C453" s="53" t="str">
        <f>IFERROR(VLOOKUP(B453,'👥 بيانات الموظفين'!B:C,2,0),"")</f>
        <v/>
      </c>
      <c r="D453" s="53"/>
      <c r="E453" s="62"/>
      <c r="F453" s="54"/>
      <c r="G453" s="53"/>
      <c r="H453" s="53"/>
      <c r="I453" s="53"/>
      <c r="J453" s="53"/>
      <c r="K453" s="53"/>
    </row>
    <row r="454" spans="1:11" ht="22.15" customHeight="1" x14ac:dyDescent="0.2">
      <c r="A454" s="57" t="str">
        <f>IF(B454&lt;&gt;"",450,"")</f>
        <v/>
      </c>
      <c r="B454" s="57"/>
      <c r="C454" s="57" t="str">
        <f>IFERROR(VLOOKUP(B454,'👥 بيانات الموظفين'!B:C,2,0),"")</f>
        <v/>
      </c>
      <c r="D454" s="57"/>
      <c r="E454" s="63"/>
      <c r="F454" s="58"/>
      <c r="G454" s="57"/>
      <c r="H454" s="57"/>
      <c r="I454" s="57"/>
      <c r="J454" s="57"/>
      <c r="K454" s="57"/>
    </row>
    <row r="455" spans="1:11" ht="22.15" customHeight="1" x14ac:dyDescent="0.2">
      <c r="A455" s="53" t="str">
        <f>IF(B455&lt;&gt;"",451,"")</f>
        <v/>
      </c>
      <c r="B455" s="53"/>
      <c r="C455" s="53" t="str">
        <f>IFERROR(VLOOKUP(B455,'👥 بيانات الموظفين'!B:C,2,0),"")</f>
        <v/>
      </c>
      <c r="D455" s="53"/>
      <c r="E455" s="62"/>
      <c r="F455" s="54"/>
      <c r="G455" s="53"/>
      <c r="H455" s="53"/>
      <c r="I455" s="53"/>
      <c r="J455" s="53"/>
      <c r="K455" s="53"/>
    </row>
    <row r="456" spans="1:11" ht="22.15" customHeight="1" x14ac:dyDescent="0.2">
      <c r="A456" s="57" t="str">
        <f>IF(B456&lt;&gt;"",452,"")</f>
        <v/>
      </c>
      <c r="B456" s="57"/>
      <c r="C456" s="57" t="str">
        <f>IFERROR(VLOOKUP(B456,'👥 بيانات الموظفين'!B:C,2,0),"")</f>
        <v/>
      </c>
      <c r="D456" s="57"/>
      <c r="E456" s="63"/>
      <c r="F456" s="58"/>
      <c r="G456" s="57"/>
      <c r="H456" s="57"/>
      <c r="I456" s="57"/>
      <c r="J456" s="57"/>
      <c r="K456" s="57"/>
    </row>
    <row r="457" spans="1:11" ht="22.15" customHeight="1" x14ac:dyDescent="0.2">
      <c r="A457" s="53" t="str">
        <f>IF(B457&lt;&gt;"",453,"")</f>
        <v/>
      </c>
      <c r="B457" s="53"/>
      <c r="C457" s="53" t="str">
        <f>IFERROR(VLOOKUP(B457,'👥 بيانات الموظفين'!B:C,2,0),"")</f>
        <v/>
      </c>
      <c r="D457" s="53"/>
      <c r="E457" s="62"/>
      <c r="F457" s="54"/>
      <c r="G457" s="53"/>
      <c r="H457" s="53"/>
      <c r="I457" s="53"/>
      <c r="J457" s="53"/>
      <c r="K457" s="53"/>
    </row>
    <row r="458" spans="1:11" ht="22.15" customHeight="1" x14ac:dyDescent="0.2">
      <c r="A458" s="57" t="str">
        <f>IF(B458&lt;&gt;"",454,"")</f>
        <v/>
      </c>
      <c r="B458" s="57"/>
      <c r="C458" s="57" t="str">
        <f>IFERROR(VLOOKUP(B458,'👥 بيانات الموظفين'!B:C,2,0),"")</f>
        <v/>
      </c>
      <c r="D458" s="57"/>
      <c r="E458" s="63"/>
      <c r="F458" s="58"/>
      <c r="G458" s="57"/>
      <c r="H458" s="57"/>
      <c r="I458" s="57"/>
      <c r="J458" s="57"/>
      <c r="K458" s="57"/>
    </row>
    <row r="459" spans="1:11" ht="22.15" customHeight="1" x14ac:dyDescent="0.2">
      <c r="A459" s="53" t="str">
        <f>IF(B459&lt;&gt;"",455,"")</f>
        <v/>
      </c>
      <c r="B459" s="53"/>
      <c r="C459" s="53" t="str">
        <f>IFERROR(VLOOKUP(B459,'👥 بيانات الموظفين'!B:C,2,0),"")</f>
        <v/>
      </c>
      <c r="D459" s="53"/>
      <c r="E459" s="62"/>
      <c r="F459" s="54"/>
      <c r="G459" s="53"/>
      <c r="H459" s="53"/>
      <c r="I459" s="53"/>
      <c r="J459" s="53"/>
      <c r="K459" s="53"/>
    </row>
    <row r="460" spans="1:11" ht="22.15" customHeight="1" x14ac:dyDescent="0.2">
      <c r="A460" s="57" t="str">
        <f>IF(B460&lt;&gt;"",456,"")</f>
        <v/>
      </c>
      <c r="B460" s="57"/>
      <c r="C460" s="57" t="str">
        <f>IFERROR(VLOOKUP(B460,'👥 بيانات الموظفين'!B:C,2,0),"")</f>
        <v/>
      </c>
      <c r="D460" s="57"/>
      <c r="E460" s="63"/>
      <c r="F460" s="58"/>
      <c r="G460" s="57"/>
      <c r="H460" s="57"/>
      <c r="I460" s="57"/>
      <c r="J460" s="57"/>
      <c r="K460" s="57"/>
    </row>
    <row r="461" spans="1:11" ht="22.15" customHeight="1" x14ac:dyDescent="0.2">
      <c r="A461" s="53" t="str">
        <f>IF(B461&lt;&gt;"",457,"")</f>
        <v/>
      </c>
      <c r="B461" s="53"/>
      <c r="C461" s="53" t="str">
        <f>IFERROR(VLOOKUP(B461,'👥 بيانات الموظفين'!B:C,2,0),"")</f>
        <v/>
      </c>
      <c r="D461" s="53"/>
      <c r="E461" s="62"/>
      <c r="F461" s="54"/>
      <c r="G461" s="53"/>
      <c r="H461" s="53"/>
      <c r="I461" s="53"/>
      <c r="J461" s="53"/>
      <c r="K461" s="53"/>
    </row>
    <row r="462" spans="1:11" ht="22.15" customHeight="1" x14ac:dyDescent="0.2">
      <c r="A462" s="57" t="str">
        <f>IF(B462&lt;&gt;"",458,"")</f>
        <v/>
      </c>
      <c r="B462" s="57"/>
      <c r="C462" s="57" t="str">
        <f>IFERROR(VLOOKUP(B462,'👥 بيانات الموظفين'!B:C,2,0),"")</f>
        <v/>
      </c>
      <c r="D462" s="57"/>
      <c r="E462" s="63"/>
      <c r="F462" s="58"/>
      <c r="G462" s="57"/>
      <c r="H462" s="57"/>
      <c r="I462" s="57"/>
      <c r="J462" s="57"/>
      <c r="K462" s="57"/>
    </row>
    <row r="463" spans="1:11" ht="22.15" customHeight="1" x14ac:dyDescent="0.2">
      <c r="A463" s="53" t="str">
        <f>IF(B463&lt;&gt;"",459,"")</f>
        <v/>
      </c>
      <c r="B463" s="53"/>
      <c r="C463" s="53" t="str">
        <f>IFERROR(VLOOKUP(B463,'👥 بيانات الموظفين'!B:C,2,0),"")</f>
        <v/>
      </c>
      <c r="D463" s="53"/>
      <c r="E463" s="62"/>
      <c r="F463" s="54"/>
      <c r="G463" s="53"/>
      <c r="H463" s="53"/>
      <c r="I463" s="53"/>
      <c r="J463" s="53"/>
      <c r="K463" s="53"/>
    </row>
    <row r="464" spans="1:11" ht="22.15" customHeight="1" x14ac:dyDescent="0.2">
      <c r="A464" s="57" t="str">
        <f>IF(B464&lt;&gt;"",460,"")</f>
        <v/>
      </c>
      <c r="B464" s="57"/>
      <c r="C464" s="57" t="str">
        <f>IFERROR(VLOOKUP(B464,'👥 بيانات الموظفين'!B:C,2,0),"")</f>
        <v/>
      </c>
      <c r="D464" s="57"/>
      <c r="E464" s="63"/>
      <c r="F464" s="58"/>
      <c r="G464" s="57"/>
      <c r="H464" s="57"/>
      <c r="I464" s="57"/>
      <c r="J464" s="57"/>
      <c r="K464" s="57"/>
    </row>
    <row r="465" spans="1:11" ht="22.15" customHeight="1" x14ac:dyDescent="0.2">
      <c r="A465" s="53" t="str">
        <f>IF(B465&lt;&gt;"",461,"")</f>
        <v/>
      </c>
      <c r="B465" s="53"/>
      <c r="C465" s="53" t="str">
        <f>IFERROR(VLOOKUP(B465,'👥 بيانات الموظفين'!B:C,2,0),"")</f>
        <v/>
      </c>
      <c r="D465" s="53"/>
      <c r="E465" s="62"/>
      <c r="F465" s="54"/>
      <c r="G465" s="53"/>
      <c r="H465" s="53"/>
      <c r="I465" s="53"/>
      <c r="J465" s="53"/>
      <c r="K465" s="53"/>
    </row>
    <row r="466" spans="1:11" ht="22.15" customHeight="1" x14ac:dyDescent="0.2">
      <c r="A466" s="57" t="str">
        <f>IF(B466&lt;&gt;"",462,"")</f>
        <v/>
      </c>
      <c r="B466" s="57"/>
      <c r="C466" s="57" t="str">
        <f>IFERROR(VLOOKUP(B466,'👥 بيانات الموظفين'!B:C,2,0),"")</f>
        <v/>
      </c>
      <c r="D466" s="57"/>
      <c r="E466" s="63"/>
      <c r="F466" s="58"/>
      <c r="G466" s="57"/>
      <c r="H466" s="57"/>
      <c r="I466" s="57"/>
      <c r="J466" s="57"/>
      <c r="K466" s="57"/>
    </row>
    <row r="467" spans="1:11" ht="22.15" customHeight="1" x14ac:dyDescent="0.2">
      <c r="A467" s="53" t="str">
        <f>IF(B467&lt;&gt;"",463,"")</f>
        <v/>
      </c>
      <c r="B467" s="53"/>
      <c r="C467" s="53" t="str">
        <f>IFERROR(VLOOKUP(B467,'👥 بيانات الموظفين'!B:C,2,0),"")</f>
        <v/>
      </c>
      <c r="D467" s="53"/>
      <c r="E467" s="62"/>
      <c r="F467" s="54"/>
      <c r="G467" s="53"/>
      <c r="H467" s="53"/>
      <c r="I467" s="53"/>
      <c r="J467" s="53"/>
      <c r="K467" s="53"/>
    </row>
    <row r="468" spans="1:11" ht="22.15" customHeight="1" x14ac:dyDescent="0.2">
      <c r="A468" s="57" t="str">
        <f>IF(B468&lt;&gt;"",464,"")</f>
        <v/>
      </c>
      <c r="B468" s="57"/>
      <c r="C468" s="57" t="str">
        <f>IFERROR(VLOOKUP(B468,'👥 بيانات الموظفين'!B:C,2,0),"")</f>
        <v/>
      </c>
      <c r="D468" s="57"/>
      <c r="E468" s="63"/>
      <c r="F468" s="58"/>
      <c r="G468" s="57"/>
      <c r="H468" s="57"/>
      <c r="I468" s="57"/>
      <c r="J468" s="57"/>
      <c r="K468" s="57"/>
    </row>
    <row r="469" spans="1:11" ht="22.15" customHeight="1" x14ac:dyDescent="0.2">
      <c r="A469" s="53" t="str">
        <f>IF(B469&lt;&gt;"",465,"")</f>
        <v/>
      </c>
      <c r="B469" s="53"/>
      <c r="C469" s="53" t="str">
        <f>IFERROR(VLOOKUP(B469,'👥 بيانات الموظفين'!B:C,2,0),"")</f>
        <v/>
      </c>
      <c r="D469" s="53"/>
      <c r="E469" s="62"/>
      <c r="F469" s="54"/>
      <c r="G469" s="53"/>
      <c r="H469" s="53"/>
      <c r="I469" s="53"/>
      <c r="J469" s="53"/>
      <c r="K469" s="53"/>
    </row>
    <row r="470" spans="1:11" ht="22.15" customHeight="1" x14ac:dyDescent="0.2">
      <c r="A470" s="57" t="str">
        <f>IF(B470&lt;&gt;"",466,"")</f>
        <v/>
      </c>
      <c r="B470" s="57"/>
      <c r="C470" s="57" t="str">
        <f>IFERROR(VLOOKUP(B470,'👥 بيانات الموظفين'!B:C,2,0),"")</f>
        <v/>
      </c>
      <c r="D470" s="57"/>
      <c r="E470" s="63"/>
      <c r="F470" s="58"/>
      <c r="G470" s="57"/>
      <c r="H470" s="57"/>
      <c r="I470" s="57"/>
      <c r="J470" s="57"/>
      <c r="K470" s="57"/>
    </row>
    <row r="471" spans="1:11" ht="22.15" customHeight="1" x14ac:dyDescent="0.2">
      <c r="A471" s="53" t="str">
        <f>IF(B471&lt;&gt;"",467,"")</f>
        <v/>
      </c>
      <c r="B471" s="53"/>
      <c r="C471" s="53" t="str">
        <f>IFERROR(VLOOKUP(B471,'👥 بيانات الموظفين'!B:C,2,0),"")</f>
        <v/>
      </c>
      <c r="D471" s="53"/>
      <c r="E471" s="62"/>
      <c r="F471" s="54"/>
      <c r="G471" s="53"/>
      <c r="H471" s="53"/>
      <c r="I471" s="53"/>
      <c r="J471" s="53"/>
      <c r="K471" s="53"/>
    </row>
    <row r="472" spans="1:11" ht="22.15" customHeight="1" x14ac:dyDescent="0.2">
      <c r="A472" s="57" t="str">
        <f>IF(B472&lt;&gt;"",468,"")</f>
        <v/>
      </c>
      <c r="B472" s="57"/>
      <c r="C472" s="57" t="str">
        <f>IFERROR(VLOOKUP(B472,'👥 بيانات الموظفين'!B:C,2,0),"")</f>
        <v/>
      </c>
      <c r="D472" s="57"/>
      <c r="E472" s="63"/>
      <c r="F472" s="58"/>
      <c r="G472" s="57"/>
      <c r="H472" s="57"/>
      <c r="I472" s="57"/>
      <c r="J472" s="57"/>
      <c r="K472" s="57"/>
    </row>
    <row r="473" spans="1:11" ht="22.15" customHeight="1" x14ac:dyDescent="0.2">
      <c r="A473" s="53" t="str">
        <f>IF(B473&lt;&gt;"",469,"")</f>
        <v/>
      </c>
      <c r="B473" s="53"/>
      <c r="C473" s="53" t="str">
        <f>IFERROR(VLOOKUP(B473,'👥 بيانات الموظفين'!B:C,2,0),"")</f>
        <v/>
      </c>
      <c r="D473" s="53"/>
      <c r="E473" s="62"/>
      <c r="F473" s="54"/>
      <c r="G473" s="53"/>
      <c r="H473" s="53"/>
      <c r="I473" s="53"/>
      <c r="J473" s="53"/>
      <c r="K473" s="53"/>
    </row>
    <row r="474" spans="1:11" ht="22.15" customHeight="1" x14ac:dyDescent="0.2">
      <c r="A474" s="57" t="str">
        <f>IF(B474&lt;&gt;"",470,"")</f>
        <v/>
      </c>
      <c r="B474" s="57"/>
      <c r="C474" s="57" t="str">
        <f>IFERROR(VLOOKUP(B474,'👥 بيانات الموظفين'!B:C,2,0),"")</f>
        <v/>
      </c>
      <c r="D474" s="57"/>
      <c r="E474" s="63"/>
      <c r="F474" s="58"/>
      <c r="G474" s="57"/>
      <c r="H474" s="57"/>
      <c r="I474" s="57"/>
      <c r="J474" s="57"/>
      <c r="K474" s="57"/>
    </row>
    <row r="475" spans="1:11" ht="22.15" customHeight="1" x14ac:dyDescent="0.2">
      <c r="A475" s="53" t="str">
        <f>IF(B475&lt;&gt;"",471,"")</f>
        <v/>
      </c>
      <c r="B475" s="53"/>
      <c r="C475" s="53" t="str">
        <f>IFERROR(VLOOKUP(B475,'👥 بيانات الموظفين'!B:C,2,0),"")</f>
        <v/>
      </c>
      <c r="D475" s="53"/>
      <c r="E475" s="62"/>
      <c r="F475" s="54"/>
      <c r="G475" s="53"/>
      <c r="H475" s="53"/>
      <c r="I475" s="53"/>
      <c r="J475" s="53"/>
      <c r="K475" s="53"/>
    </row>
    <row r="476" spans="1:11" ht="22.15" customHeight="1" x14ac:dyDescent="0.2">
      <c r="A476" s="57" t="str">
        <f>IF(B476&lt;&gt;"",472,"")</f>
        <v/>
      </c>
      <c r="B476" s="57"/>
      <c r="C476" s="57" t="str">
        <f>IFERROR(VLOOKUP(B476,'👥 بيانات الموظفين'!B:C,2,0),"")</f>
        <v/>
      </c>
      <c r="D476" s="57"/>
      <c r="E476" s="63"/>
      <c r="F476" s="58"/>
      <c r="G476" s="57"/>
      <c r="H476" s="57"/>
      <c r="I476" s="57"/>
      <c r="J476" s="57"/>
      <c r="K476" s="57"/>
    </row>
    <row r="477" spans="1:11" ht="22.15" customHeight="1" x14ac:dyDescent="0.2">
      <c r="A477" s="53" t="str">
        <f>IF(B477&lt;&gt;"",473,"")</f>
        <v/>
      </c>
      <c r="B477" s="53"/>
      <c r="C477" s="53" t="str">
        <f>IFERROR(VLOOKUP(B477,'👥 بيانات الموظفين'!B:C,2,0),"")</f>
        <v/>
      </c>
      <c r="D477" s="53"/>
      <c r="E477" s="62"/>
      <c r="F477" s="54"/>
      <c r="G477" s="53"/>
      <c r="H477" s="53"/>
      <c r="I477" s="53"/>
      <c r="J477" s="53"/>
      <c r="K477" s="53"/>
    </row>
    <row r="478" spans="1:11" ht="22.15" customHeight="1" x14ac:dyDescent="0.2">
      <c r="A478" s="57" t="str">
        <f>IF(B478&lt;&gt;"",474,"")</f>
        <v/>
      </c>
      <c r="B478" s="57"/>
      <c r="C478" s="57" t="str">
        <f>IFERROR(VLOOKUP(B478,'👥 بيانات الموظفين'!B:C,2,0),"")</f>
        <v/>
      </c>
      <c r="D478" s="57"/>
      <c r="E478" s="63"/>
      <c r="F478" s="58"/>
      <c r="G478" s="57"/>
      <c r="H478" s="57"/>
      <c r="I478" s="57"/>
      <c r="J478" s="57"/>
      <c r="K478" s="57"/>
    </row>
    <row r="479" spans="1:11" ht="22.15" customHeight="1" x14ac:dyDescent="0.2">
      <c r="A479" s="53" t="str">
        <f>IF(B479&lt;&gt;"",475,"")</f>
        <v/>
      </c>
      <c r="B479" s="53"/>
      <c r="C479" s="53" t="str">
        <f>IFERROR(VLOOKUP(B479,'👥 بيانات الموظفين'!B:C,2,0),"")</f>
        <v/>
      </c>
      <c r="D479" s="53"/>
      <c r="E479" s="62"/>
      <c r="F479" s="54"/>
      <c r="G479" s="53"/>
      <c r="H479" s="53"/>
      <c r="I479" s="53"/>
      <c r="J479" s="53"/>
      <c r="K479" s="53"/>
    </row>
    <row r="480" spans="1:11" ht="22.15" customHeight="1" x14ac:dyDescent="0.2">
      <c r="A480" s="57" t="str">
        <f>IF(B480&lt;&gt;"",476,"")</f>
        <v/>
      </c>
      <c r="B480" s="57"/>
      <c r="C480" s="57" t="str">
        <f>IFERROR(VLOOKUP(B480,'👥 بيانات الموظفين'!B:C,2,0),"")</f>
        <v/>
      </c>
      <c r="D480" s="57"/>
      <c r="E480" s="63"/>
      <c r="F480" s="58"/>
      <c r="G480" s="57"/>
      <c r="H480" s="57"/>
      <c r="I480" s="57"/>
      <c r="J480" s="57"/>
      <c r="K480" s="57"/>
    </row>
    <row r="481" spans="1:11" ht="22.15" customHeight="1" x14ac:dyDescent="0.2">
      <c r="A481" s="53" t="str">
        <f>IF(B481&lt;&gt;"",477,"")</f>
        <v/>
      </c>
      <c r="B481" s="53"/>
      <c r="C481" s="53" t="str">
        <f>IFERROR(VLOOKUP(B481,'👥 بيانات الموظفين'!B:C,2,0),"")</f>
        <v/>
      </c>
      <c r="D481" s="53"/>
      <c r="E481" s="62"/>
      <c r="F481" s="54"/>
      <c r="G481" s="53"/>
      <c r="H481" s="53"/>
      <c r="I481" s="53"/>
      <c r="J481" s="53"/>
      <c r="K481" s="53"/>
    </row>
    <row r="482" spans="1:11" ht="22.15" customHeight="1" x14ac:dyDescent="0.2">
      <c r="A482" s="57" t="str">
        <f>IF(B482&lt;&gt;"",478,"")</f>
        <v/>
      </c>
      <c r="B482" s="57"/>
      <c r="C482" s="57" t="str">
        <f>IFERROR(VLOOKUP(B482,'👥 بيانات الموظفين'!B:C,2,0),"")</f>
        <v/>
      </c>
      <c r="D482" s="57"/>
      <c r="E482" s="63"/>
      <c r="F482" s="58"/>
      <c r="G482" s="57"/>
      <c r="H482" s="57"/>
      <c r="I482" s="57"/>
      <c r="J482" s="57"/>
      <c r="K482" s="57"/>
    </row>
    <row r="483" spans="1:11" ht="22.15" customHeight="1" x14ac:dyDescent="0.2">
      <c r="A483" s="53" t="str">
        <f>IF(B483&lt;&gt;"",479,"")</f>
        <v/>
      </c>
      <c r="B483" s="53"/>
      <c r="C483" s="53" t="str">
        <f>IFERROR(VLOOKUP(B483,'👥 بيانات الموظفين'!B:C,2,0),"")</f>
        <v/>
      </c>
      <c r="D483" s="53"/>
      <c r="E483" s="62"/>
      <c r="F483" s="54"/>
      <c r="G483" s="53"/>
      <c r="H483" s="53"/>
      <c r="I483" s="53"/>
      <c r="J483" s="53"/>
      <c r="K483" s="53"/>
    </row>
    <row r="484" spans="1:11" ht="22.15" customHeight="1" x14ac:dyDescent="0.2">
      <c r="A484" s="57" t="str">
        <f>IF(B484&lt;&gt;"",480,"")</f>
        <v/>
      </c>
      <c r="B484" s="57"/>
      <c r="C484" s="57" t="str">
        <f>IFERROR(VLOOKUP(B484,'👥 بيانات الموظفين'!B:C,2,0),"")</f>
        <v/>
      </c>
      <c r="D484" s="57"/>
      <c r="E484" s="63"/>
      <c r="F484" s="58"/>
      <c r="G484" s="57"/>
      <c r="H484" s="57"/>
      <c r="I484" s="57"/>
      <c r="J484" s="57"/>
      <c r="K484" s="57"/>
    </row>
    <row r="485" spans="1:11" ht="22.15" customHeight="1" x14ac:dyDescent="0.2">
      <c r="A485" s="53" t="str">
        <f>IF(B485&lt;&gt;"",481,"")</f>
        <v/>
      </c>
      <c r="B485" s="53"/>
      <c r="C485" s="53" t="str">
        <f>IFERROR(VLOOKUP(B485,'👥 بيانات الموظفين'!B:C,2,0),"")</f>
        <v/>
      </c>
      <c r="D485" s="53"/>
      <c r="E485" s="62"/>
      <c r="F485" s="54"/>
      <c r="G485" s="53"/>
      <c r="H485" s="53"/>
      <c r="I485" s="53"/>
      <c r="J485" s="53"/>
      <c r="K485" s="53"/>
    </row>
    <row r="486" spans="1:11" ht="22.15" customHeight="1" x14ac:dyDescent="0.2">
      <c r="A486" s="57" t="str">
        <f>IF(B486&lt;&gt;"",482,"")</f>
        <v/>
      </c>
      <c r="B486" s="57"/>
      <c r="C486" s="57" t="str">
        <f>IFERROR(VLOOKUP(B486,'👥 بيانات الموظفين'!B:C,2,0),"")</f>
        <v/>
      </c>
      <c r="D486" s="57"/>
      <c r="E486" s="63"/>
      <c r="F486" s="58"/>
      <c r="G486" s="57"/>
      <c r="H486" s="57"/>
      <c r="I486" s="57"/>
      <c r="J486" s="57"/>
      <c r="K486" s="57"/>
    </row>
    <row r="487" spans="1:11" ht="22.15" customHeight="1" x14ac:dyDescent="0.2">
      <c r="A487" s="53" t="str">
        <f>IF(B487&lt;&gt;"",483,"")</f>
        <v/>
      </c>
      <c r="B487" s="53"/>
      <c r="C487" s="53" t="str">
        <f>IFERROR(VLOOKUP(B487,'👥 بيانات الموظفين'!B:C,2,0),"")</f>
        <v/>
      </c>
      <c r="D487" s="53"/>
      <c r="E487" s="62"/>
      <c r="F487" s="54"/>
      <c r="G487" s="53"/>
      <c r="H487" s="53"/>
      <c r="I487" s="53"/>
      <c r="J487" s="53"/>
      <c r="K487" s="53"/>
    </row>
    <row r="488" spans="1:11" ht="22.15" customHeight="1" x14ac:dyDescent="0.2">
      <c r="A488" s="57" t="str">
        <f>IF(B488&lt;&gt;"",484,"")</f>
        <v/>
      </c>
      <c r="B488" s="57"/>
      <c r="C488" s="57" t="str">
        <f>IFERROR(VLOOKUP(B488,'👥 بيانات الموظفين'!B:C,2,0),"")</f>
        <v/>
      </c>
      <c r="D488" s="57"/>
      <c r="E488" s="63"/>
      <c r="F488" s="58"/>
      <c r="G488" s="57"/>
      <c r="H488" s="57"/>
      <c r="I488" s="57"/>
      <c r="J488" s="57"/>
      <c r="K488" s="57"/>
    </row>
    <row r="489" spans="1:11" ht="22.15" customHeight="1" x14ac:dyDescent="0.2">
      <c r="A489" s="53" t="str">
        <f>IF(B489&lt;&gt;"",485,"")</f>
        <v/>
      </c>
      <c r="B489" s="53"/>
      <c r="C489" s="53" t="str">
        <f>IFERROR(VLOOKUP(B489,'👥 بيانات الموظفين'!B:C,2,0),"")</f>
        <v/>
      </c>
      <c r="D489" s="53"/>
      <c r="E489" s="62"/>
      <c r="F489" s="54"/>
      <c r="G489" s="53"/>
      <c r="H489" s="53"/>
      <c r="I489" s="53"/>
      <c r="J489" s="53"/>
      <c r="K489" s="53"/>
    </row>
    <row r="490" spans="1:11" ht="22.15" customHeight="1" x14ac:dyDescent="0.2">
      <c r="A490" s="57" t="str">
        <f>IF(B490&lt;&gt;"",486,"")</f>
        <v/>
      </c>
      <c r="B490" s="57"/>
      <c r="C490" s="57" t="str">
        <f>IFERROR(VLOOKUP(B490,'👥 بيانات الموظفين'!B:C,2,0),"")</f>
        <v/>
      </c>
      <c r="D490" s="57"/>
      <c r="E490" s="63"/>
      <c r="F490" s="58"/>
      <c r="G490" s="57"/>
      <c r="H490" s="57"/>
      <c r="I490" s="57"/>
      <c r="J490" s="57"/>
      <c r="K490" s="57"/>
    </row>
    <row r="491" spans="1:11" ht="22.15" customHeight="1" x14ac:dyDescent="0.2">
      <c r="A491" s="53" t="str">
        <f>IF(B491&lt;&gt;"",487,"")</f>
        <v/>
      </c>
      <c r="B491" s="53"/>
      <c r="C491" s="53" t="str">
        <f>IFERROR(VLOOKUP(B491,'👥 بيانات الموظفين'!B:C,2,0),"")</f>
        <v/>
      </c>
      <c r="D491" s="53"/>
      <c r="E491" s="62"/>
      <c r="F491" s="54"/>
      <c r="G491" s="53"/>
      <c r="H491" s="53"/>
      <c r="I491" s="53"/>
      <c r="J491" s="53"/>
      <c r="K491" s="53"/>
    </row>
    <row r="492" spans="1:11" ht="22.15" customHeight="1" x14ac:dyDescent="0.2">
      <c r="A492" s="57" t="str">
        <f>IF(B492&lt;&gt;"",488,"")</f>
        <v/>
      </c>
      <c r="B492" s="57"/>
      <c r="C492" s="57" t="str">
        <f>IFERROR(VLOOKUP(B492,'👥 بيانات الموظفين'!B:C,2,0),"")</f>
        <v/>
      </c>
      <c r="D492" s="57"/>
      <c r="E492" s="63"/>
      <c r="F492" s="58"/>
      <c r="G492" s="57"/>
      <c r="H492" s="57"/>
      <c r="I492" s="57"/>
      <c r="J492" s="57"/>
      <c r="K492" s="57"/>
    </row>
    <row r="493" spans="1:11" ht="22.15" customHeight="1" x14ac:dyDescent="0.2">
      <c r="A493" s="53" t="str">
        <f>IF(B493&lt;&gt;"",489,"")</f>
        <v/>
      </c>
      <c r="B493" s="53"/>
      <c r="C493" s="53" t="str">
        <f>IFERROR(VLOOKUP(B493,'👥 بيانات الموظفين'!B:C,2,0),"")</f>
        <v/>
      </c>
      <c r="D493" s="53"/>
      <c r="E493" s="62"/>
      <c r="F493" s="54"/>
      <c r="G493" s="53"/>
      <c r="H493" s="53"/>
      <c r="I493" s="53"/>
      <c r="J493" s="53"/>
      <c r="K493" s="53"/>
    </row>
    <row r="494" spans="1:11" ht="22.15" customHeight="1" x14ac:dyDescent="0.2">
      <c r="A494" s="57" t="str">
        <f>IF(B494&lt;&gt;"",490,"")</f>
        <v/>
      </c>
      <c r="B494" s="57"/>
      <c r="C494" s="57" t="str">
        <f>IFERROR(VLOOKUP(B494,'👥 بيانات الموظفين'!B:C,2,0),"")</f>
        <v/>
      </c>
      <c r="D494" s="57"/>
      <c r="E494" s="63"/>
      <c r="F494" s="58"/>
      <c r="G494" s="57"/>
      <c r="H494" s="57"/>
      <c r="I494" s="57"/>
      <c r="J494" s="57"/>
      <c r="K494" s="57"/>
    </row>
    <row r="495" spans="1:11" ht="22.15" customHeight="1" x14ac:dyDescent="0.2">
      <c r="A495" s="53" t="str">
        <f>IF(B495&lt;&gt;"",491,"")</f>
        <v/>
      </c>
      <c r="B495" s="53"/>
      <c r="C495" s="53" t="str">
        <f>IFERROR(VLOOKUP(B495,'👥 بيانات الموظفين'!B:C,2,0),"")</f>
        <v/>
      </c>
      <c r="D495" s="53"/>
      <c r="E495" s="62"/>
      <c r="F495" s="54"/>
      <c r="G495" s="53"/>
      <c r="H495" s="53"/>
      <c r="I495" s="53"/>
      <c r="J495" s="53"/>
      <c r="K495" s="53"/>
    </row>
    <row r="496" spans="1:11" ht="22.15" customHeight="1" x14ac:dyDescent="0.2">
      <c r="A496" s="57" t="str">
        <f>IF(B496&lt;&gt;"",492,"")</f>
        <v/>
      </c>
      <c r="B496" s="57"/>
      <c r="C496" s="57" t="str">
        <f>IFERROR(VLOOKUP(B496,'👥 بيانات الموظفين'!B:C,2,0),"")</f>
        <v/>
      </c>
      <c r="D496" s="57"/>
      <c r="E496" s="63"/>
      <c r="F496" s="58"/>
      <c r="G496" s="57"/>
      <c r="H496" s="57"/>
      <c r="I496" s="57"/>
      <c r="J496" s="57"/>
      <c r="K496" s="57"/>
    </row>
    <row r="497" spans="1:11" ht="22.15" customHeight="1" x14ac:dyDescent="0.2">
      <c r="A497" s="53" t="str">
        <f>IF(B497&lt;&gt;"",493,"")</f>
        <v/>
      </c>
      <c r="B497" s="53"/>
      <c r="C497" s="53" t="str">
        <f>IFERROR(VLOOKUP(B497,'👥 بيانات الموظفين'!B:C,2,0),"")</f>
        <v/>
      </c>
      <c r="D497" s="53"/>
      <c r="E497" s="62"/>
      <c r="F497" s="54"/>
      <c r="G497" s="53"/>
      <c r="H497" s="53"/>
      <c r="I497" s="53"/>
      <c r="J497" s="53"/>
      <c r="K497" s="53"/>
    </row>
    <row r="498" spans="1:11" ht="22.15" customHeight="1" x14ac:dyDescent="0.2">
      <c r="A498" s="57" t="str">
        <f>IF(B498&lt;&gt;"",494,"")</f>
        <v/>
      </c>
      <c r="B498" s="57"/>
      <c r="C498" s="57" t="str">
        <f>IFERROR(VLOOKUP(B498,'👥 بيانات الموظفين'!B:C,2,0),"")</f>
        <v/>
      </c>
      <c r="D498" s="57"/>
      <c r="E498" s="63"/>
      <c r="F498" s="58"/>
      <c r="G498" s="57"/>
      <c r="H498" s="57"/>
      <c r="I498" s="57"/>
      <c r="J498" s="57"/>
      <c r="K498" s="57"/>
    </row>
    <row r="499" spans="1:11" ht="22.15" customHeight="1" x14ac:dyDescent="0.2">
      <c r="A499" s="53" t="str">
        <f>IF(B499&lt;&gt;"",495,"")</f>
        <v/>
      </c>
      <c r="B499" s="53"/>
      <c r="C499" s="53" t="str">
        <f>IFERROR(VLOOKUP(B499,'👥 بيانات الموظفين'!B:C,2,0),"")</f>
        <v/>
      </c>
      <c r="D499" s="53"/>
      <c r="E499" s="62"/>
      <c r="F499" s="54"/>
      <c r="G499" s="53"/>
      <c r="H499" s="53"/>
      <c r="I499" s="53"/>
      <c r="J499" s="53"/>
      <c r="K499" s="53"/>
    </row>
    <row r="500" spans="1:11" ht="22.15" customHeight="1" x14ac:dyDescent="0.2">
      <c r="A500" s="57" t="str">
        <f>IF(B500&lt;&gt;"",496,"")</f>
        <v/>
      </c>
      <c r="B500" s="57"/>
      <c r="C500" s="57" t="str">
        <f>IFERROR(VLOOKUP(B500,'👥 بيانات الموظفين'!B:C,2,0),"")</f>
        <v/>
      </c>
      <c r="D500" s="57"/>
      <c r="E500" s="63"/>
      <c r="F500" s="58"/>
      <c r="G500" s="57"/>
      <c r="H500" s="57"/>
      <c r="I500" s="57"/>
      <c r="J500" s="57"/>
      <c r="K500" s="57"/>
    </row>
    <row r="501" spans="1:11" ht="22.15" customHeight="1" x14ac:dyDescent="0.2">
      <c r="A501" s="53" t="str">
        <f>IF(B501&lt;&gt;"",497,"")</f>
        <v/>
      </c>
      <c r="B501" s="53"/>
      <c r="C501" s="53" t="str">
        <f>IFERROR(VLOOKUP(B501,'👥 بيانات الموظفين'!B:C,2,0),"")</f>
        <v/>
      </c>
      <c r="D501" s="53"/>
      <c r="E501" s="62"/>
      <c r="F501" s="54"/>
      <c r="G501" s="53"/>
      <c r="H501" s="53"/>
      <c r="I501" s="53"/>
      <c r="J501" s="53"/>
      <c r="K501" s="53"/>
    </row>
    <row r="502" spans="1:11" ht="22.15" customHeight="1" x14ac:dyDescent="0.2">
      <c r="A502" s="57" t="str">
        <f>IF(B502&lt;&gt;"",498,"")</f>
        <v/>
      </c>
      <c r="B502" s="57"/>
      <c r="C502" s="57" t="str">
        <f>IFERROR(VLOOKUP(B502,'👥 بيانات الموظفين'!B:C,2,0),"")</f>
        <v/>
      </c>
      <c r="D502" s="57"/>
      <c r="E502" s="63"/>
      <c r="F502" s="58"/>
      <c r="G502" s="57"/>
      <c r="H502" s="57"/>
      <c r="I502" s="57"/>
      <c r="J502" s="57"/>
      <c r="K502" s="57"/>
    </row>
    <row r="503" spans="1:11" ht="22.15" customHeight="1" x14ac:dyDescent="0.2">
      <c r="A503" s="53" t="str">
        <f>IF(B503&lt;&gt;"",499,"")</f>
        <v/>
      </c>
      <c r="B503" s="53"/>
      <c r="C503" s="53" t="str">
        <f>IFERROR(VLOOKUP(B503,'👥 بيانات الموظفين'!B:C,2,0),"")</f>
        <v/>
      </c>
      <c r="D503" s="53"/>
      <c r="E503" s="62"/>
      <c r="F503" s="54"/>
      <c r="G503" s="53"/>
      <c r="H503" s="53"/>
      <c r="I503" s="53"/>
      <c r="J503" s="53"/>
      <c r="K503" s="53"/>
    </row>
    <row r="504" spans="1:11" ht="22.15" customHeight="1" x14ac:dyDescent="0.2">
      <c r="A504" s="57" t="str">
        <f>IF(B504&lt;&gt;"",500,"")</f>
        <v/>
      </c>
      <c r="B504" s="57"/>
      <c r="C504" s="57" t="str">
        <f>IFERROR(VLOOKUP(B504,'👥 بيانات الموظفين'!B:C,2,0),"")</f>
        <v/>
      </c>
      <c r="D504" s="57"/>
      <c r="E504" s="63"/>
      <c r="F504" s="58"/>
      <c r="G504" s="57"/>
      <c r="H504" s="57"/>
      <c r="I504" s="57"/>
      <c r="J504" s="57"/>
      <c r="K504" s="57"/>
    </row>
  </sheetData>
  <mergeCells count="2">
    <mergeCell ref="A1:Z1"/>
    <mergeCell ref="A2:Z2"/>
  </mergeCells>
  <conditionalFormatting sqref="C5:C504">
    <cfRule type="expression" dxfId="1" priority="1" stopIfTrue="1">
      <formula>$C5="مكافأة"</formula>
    </cfRule>
    <cfRule type="expression" dxfId="0" priority="2" stopIfTrue="1">
      <formula>$C5="خصم"</formula>
    </cfRule>
  </conditionalFormatting>
  <dataValidations count="2">
    <dataValidation type="list" allowBlank="1" sqref="D5:D500" xr:uid="{00000000-0002-0000-0500-000000000000}">
      <formula1>"خصم,مكافأة"</formula1>
    </dataValidation>
    <dataValidation type="list" allowBlank="1" sqref="E5:E500" xr:uid="{00000000-0002-0000-0500-000001000000}">
      <formula1>"غياب,تأخير,سلفة,مخالفة,إنجاز,أداء متميز,حوافز,عيد,أخرى"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93B"/>
  </sheetPr>
  <dimension ref="A1:Z304"/>
  <sheetViews>
    <sheetView showGridLines="0" rightToLeft="1" tabSelected="1" zoomScale="130" zoomScaleNormal="130"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activeCell="J9" sqref="J9"/>
    </sheetView>
  </sheetViews>
  <sheetFormatPr defaultRowHeight="14.25" x14ac:dyDescent="0.2"/>
  <cols>
    <col min="1" max="1" width="5.625" customWidth="1"/>
    <col min="2" max="2" width="12.625" customWidth="1"/>
    <col min="3" max="3" width="22.625" customWidth="1"/>
    <col min="4" max="4" width="14.625" customWidth="1"/>
    <col min="5" max="10" width="10.625" customWidth="1"/>
    <col min="11" max="11" width="12.625" customWidth="1"/>
    <col min="12" max="12" width="18.625" customWidth="1"/>
    <col min="13" max="13" width="14.625" customWidth="1"/>
    <col min="14" max="14" width="24.625" customWidth="1"/>
    <col min="15" max="15" width="25" customWidth="1"/>
  </cols>
  <sheetData>
    <row r="1" spans="1:26" ht="38.1" customHeight="1" x14ac:dyDescent="0.2">
      <c r="A1" s="191" t="s">
        <v>118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20.100000000000001" customHeight="1" x14ac:dyDescent="0.2">
      <c r="A2" s="192" t="s">
        <v>119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4" spans="1:26" ht="36" customHeight="1" x14ac:dyDescent="0.2">
      <c r="A4" s="35" t="s">
        <v>45</v>
      </c>
      <c r="B4" s="35" t="s">
        <v>46</v>
      </c>
      <c r="C4" s="35" t="s">
        <v>79</v>
      </c>
      <c r="D4" s="35" t="s">
        <v>10</v>
      </c>
      <c r="E4" s="35" t="s">
        <v>120</v>
      </c>
      <c r="F4" s="35" t="s">
        <v>121</v>
      </c>
      <c r="G4" s="35" t="s">
        <v>122</v>
      </c>
      <c r="H4" s="35" t="s">
        <v>123</v>
      </c>
      <c r="I4" s="35" t="s">
        <v>124</v>
      </c>
      <c r="J4" s="35" t="s">
        <v>125</v>
      </c>
      <c r="K4" s="35" t="s">
        <v>126</v>
      </c>
      <c r="L4" s="35" t="s">
        <v>127</v>
      </c>
      <c r="M4" s="35" t="s">
        <v>114</v>
      </c>
      <c r="N4" s="35" t="s">
        <v>128</v>
      </c>
      <c r="O4" s="100" t="s">
        <v>129</v>
      </c>
    </row>
    <row r="5" spans="1:26" ht="22.15" customHeight="1" x14ac:dyDescent="0.2">
      <c r="A5" s="53">
        <v>1</v>
      </c>
      <c r="B5" s="53" t="s">
        <v>63</v>
      </c>
      <c r="C5" s="53" t="str">
        <f>IFERROR(VLOOKUP(B5,'👥 بيانات الموظفين'!B:C,2,0),"")</f>
        <v>عبدالعزيز محمد العتيبي</v>
      </c>
      <c r="D5" s="53" t="s">
        <v>452</v>
      </c>
      <c r="E5" s="68">
        <v>20</v>
      </c>
      <c r="F5" s="68">
        <v>20</v>
      </c>
      <c r="G5" s="68">
        <v>19</v>
      </c>
      <c r="H5" s="68">
        <v>20</v>
      </c>
      <c r="I5" s="68">
        <v>20</v>
      </c>
      <c r="J5" s="68"/>
      <c r="K5" s="68">
        <v>99</v>
      </c>
      <c r="L5" s="53" t="s">
        <v>453</v>
      </c>
      <c r="M5" s="62">
        <v>3000</v>
      </c>
      <c r="N5" s="54" t="s">
        <v>454</v>
      </c>
      <c r="O5" s="98"/>
    </row>
    <row r="6" spans="1:26" ht="22.15" customHeight="1" x14ac:dyDescent="0.2">
      <c r="A6" s="57">
        <v>2</v>
      </c>
      <c r="B6" s="57" t="s">
        <v>66</v>
      </c>
      <c r="C6" s="57" t="str">
        <f>IFERROR(VLOOKUP(B6,'👥 بيانات الموظفين'!B:C,2,0),"")</f>
        <v>فاطمة سعد الزهراني</v>
      </c>
      <c r="D6" s="57" t="s">
        <v>452</v>
      </c>
      <c r="E6" s="69">
        <v>19</v>
      </c>
      <c r="F6" s="69">
        <v>20</v>
      </c>
      <c r="G6" s="69">
        <v>19</v>
      </c>
      <c r="H6" s="69">
        <v>19</v>
      </c>
      <c r="I6" s="69">
        <v>20</v>
      </c>
      <c r="J6" s="69"/>
      <c r="K6" s="69">
        <v>97</v>
      </c>
      <c r="L6" s="57" t="s">
        <v>453</v>
      </c>
      <c r="M6" s="63">
        <v>3000</v>
      </c>
      <c r="N6" s="58" t="s">
        <v>455</v>
      </c>
      <c r="O6" s="99"/>
    </row>
    <row r="7" spans="1:26" ht="22.15" customHeight="1" x14ac:dyDescent="0.2">
      <c r="A7" s="53">
        <v>3</v>
      </c>
      <c r="B7" s="53" t="s">
        <v>69</v>
      </c>
      <c r="C7" s="53" t="str">
        <f>IFERROR(VLOOKUP(B7,'👥 بيانات الموظفين'!B:C,2,0),"")</f>
        <v>خالد عبدالرحمن الدوسري</v>
      </c>
      <c r="D7" s="53" t="s">
        <v>452</v>
      </c>
      <c r="E7" s="68">
        <v>19</v>
      </c>
      <c r="F7" s="68">
        <v>19</v>
      </c>
      <c r="G7" s="68">
        <v>18</v>
      </c>
      <c r="H7" s="68">
        <v>19</v>
      </c>
      <c r="I7" s="68">
        <v>18</v>
      </c>
      <c r="J7" s="68"/>
      <c r="K7" s="68">
        <v>93</v>
      </c>
      <c r="L7" s="53" t="s">
        <v>453</v>
      </c>
      <c r="M7" s="62">
        <v>3000</v>
      </c>
      <c r="N7" s="54" t="s">
        <v>456</v>
      </c>
      <c r="O7" s="98"/>
    </row>
    <row r="8" spans="1:26" ht="22.15" customHeight="1" x14ac:dyDescent="0.2">
      <c r="A8" s="57">
        <v>4</v>
      </c>
      <c r="B8" s="57" t="s">
        <v>72</v>
      </c>
      <c r="C8" s="57" t="str">
        <f>IFERROR(VLOOKUP(B8,'👥 بيانات الموظفين'!B:C,2,0),"")</f>
        <v>سلطان فيصل القحطاني</v>
      </c>
      <c r="D8" s="57" t="s">
        <v>452</v>
      </c>
      <c r="E8" s="69">
        <v>20</v>
      </c>
      <c r="F8" s="69">
        <v>18</v>
      </c>
      <c r="G8" s="69">
        <v>20</v>
      </c>
      <c r="H8" s="69">
        <v>20</v>
      </c>
      <c r="I8" s="69">
        <v>20</v>
      </c>
      <c r="J8" s="69"/>
      <c r="K8" s="69">
        <v>98</v>
      </c>
      <c r="L8" s="57" t="s">
        <v>453</v>
      </c>
      <c r="M8" s="63">
        <v>3000</v>
      </c>
      <c r="N8" s="58" t="s">
        <v>457</v>
      </c>
      <c r="O8" s="99"/>
    </row>
    <row r="9" spans="1:26" ht="22.15" customHeight="1" x14ac:dyDescent="0.2">
      <c r="A9" s="53">
        <v>5</v>
      </c>
      <c r="B9" s="53" t="s">
        <v>74</v>
      </c>
      <c r="C9" s="53" t="str">
        <f>IFERROR(VLOOKUP(B9,'👥 بيانات الموظفين'!B:C,2,0),"")</f>
        <v>Rajesh Kumar Sharma</v>
      </c>
      <c r="D9" s="53" t="s">
        <v>452</v>
      </c>
      <c r="E9" s="68">
        <v>18</v>
      </c>
      <c r="F9" s="68">
        <v>8</v>
      </c>
      <c r="G9" s="68">
        <v>17</v>
      </c>
      <c r="H9" s="68">
        <v>18</v>
      </c>
      <c r="I9" s="68">
        <v>17</v>
      </c>
      <c r="J9" s="68"/>
      <c r="K9" s="68">
        <v>78</v>
      </c>
      <c r="L9" s="53" t="s">
        <v>458</v>
      </c>
      <c r="M9" s="62">
        <v>500</v>
      </c>
      <c r="N9" s="54" t="s">
        <v>459</v>
      </c>
      <c r="O9" s="98"/>
    </row>
    <row r="10" spans="1:26" ht="22.15" customHeight="1" x14ac:dyDescent="0.2">
      <c r="A10" s="57">
        <v>6</v>
      </c>
      <c r="B10" s="57" t="s">
        <v>236</v>
      </c>
      <c r="C10" s="57" t="str">
        <f>IFERROR(VLOOKUP(B10,'👥 بيانات الموظفين'!B:C,2,0),"")</f>
        <v>Mohamed Ahmed Hassan</v>
      </c>
      <c r="D10" s="57" t="s">
        <v>452</v>
      </c>
      <c r="E10" s="69">
        <v>19</v>
      </c>
      <c r="F10" s="69">
        <v>18</v>
      </c>
      <c r="G10" s="69">
        <v>18</v>
      </c>
      <c r="H10" s="69">
        <v>19</v>
      </c>
      <c r="I10" s="69">
        <v>19</v>
      </c>
      <c r="J10" s="69"/>
      <c r="K10" s="69">
        <v>93</v>
      </c>
      <c r="L10" s="57" t="s">
        <v>453</v>
      </c>
      <c r="M10" s="63">
        <v>3000</v>
      </c>
      <c r="N10" s="58" t="s">
        <v>460</v>
      </c>
      <c r="O10" s="99"/>
    </row>
    <row r="11" spans="1:26" ht="22.15" customHeight="1" x14ac:dyDescent="0.2">
      <c r="A11" s="53">
        <v>7</v>
      </c>
      <c r="B11" s="53" t="s">
        <v>237</v>
      </c>
      <c r="C11" s="53" t="str">
        <f>IFERROR(VLOOKUP(B11,'👥 بيانات الموظفين'!B:C,2,0),"")</f>
        <v>نورة عبدالله الشمري</v>
      </c>
      <c r="D11" s="53" t="s">
        <v>452</v>
      </c>
      <c r="E11" s="68">
        <v>17</v>
      </c>
      <c r="F11" s="68">
        <v>17</v>
      </c>
      <c r="G11" s="68">
        <v>18</v>
      </c>
      <c r="H11" s="68">
        <v>16</v>
      </c>
      <c r="I11" s="68">
        <v>15</v>
      </c>
      <c r="J11" s="68"/>
      <c r="K11" s="68">
        <v>83</v>
      </c>
      <c r="L11" s="53" t="s">
        <v>458</v>
      </c>
      <c r="M11" s="62">
        <v>1500</v>
      </c>
      <c r="N11" s="54" t="s">
        <v>461</v>
      </c>
      <c r="O11" s="98"/>
    </row>
    <row r="12" spans="1:26" ht="22.15" customHeight="1" x14ac:dyDescent="0.2">
      <c r="A12" s="57">
        <v>8</v>
      </c>
      <c r="B12" s="57" t="s">
        <v>238</v>
      </c>
      <c r="C12" s="57" t="str">
        <f>IFERROR(VLOOKUP(B12,'👥 بيانات الموظفين'!B:C,2,0),"")</f>
        <v>عبدالرحمن خالد المالكي</v>
      </c>
      <c r="D12" s="57" t="s">
        <v>452</v>
      </c>
      <c r="E12" s="69">
        <v>18</v>
      </c>
      <c r="F12" s="69">
        <v>17</v>
      </c>
      <c r="G12" s="69">
        <v>17</v>
      </c>
      <c r="H12" s="69">
        <v>18</v>
      </c>
      <c r="I12" s="69">
        <v>16</v>
      </c>
      <c r="J12" s="69"/>
      <c r="K12" s="69">
        <v>86</v>
      </c>
      <c r="L12" s="57" t="s">
        <v>458</v>
      </c>
      <c r="M12" s="63">
        <v>1500</v>
      </c>
      <c r="N12" s="58" t="s">
        <v>462</v>
      </c>
      <c r="O12" s="99"/>
    </row>
    <row r="13" spans="1:26" ht="22.15" customHeight="1" x14ac:dyDescent="0.2">
      <c r="A13" s="53">
        <v>9</v>
      </c>
      <c r="B13" s="53" t="s">
        <v>239</v>
      </c>
      <c r="C13" s="53" t="str">
        <f>IFERROR(VLOOKUP(B13,'👥 بيانات الموظفين'!B:C,2,0),"")</f>
        <v>Ali Hassan Khan</v>
      </c>
      <c r="D13" s="53" t="s">
        <v>452</v>
      </c>
      <c r="E13" s="68">
        <v>17</v>
      </c>
      <c r="F13" s="68">
        <v>18</v>
      </c>
      <c r="G13" s="68">
        <v>16</v>
      </c>
      <c r="H13" s="68">
        <v>17</v>
      </c>
      <c r="I13" s="68">
        <v>15</v>
      </c>
      <c r="J13" s="68"/>
      <c r="K13" s="68">
        <v>83</v>
      </c>
      <c r="L13" s="53" t="s">
        <v>458</v>
      </c>
      <c r="M13" s="62">
        <v>1500</v>
      </c>
      <c r="N13" s="54" t="s">
        <v>463</v>
      </c>
      <c r="O13" s="98"/>
    </row>
    <row r="14" spans="1:26" ht="22.15" customHeight="1" x14ac:dyDescent="0.2">
      <c r="A14" s="57">
        <v>10</v>
      </c>
      <c r="B14" s="57" t="s">
        <v>240</v>
      </c>
      <c r="C14" s="57" t="str">
        <f>IFERROR(VLOOKUP(B14,'👥 بيانات الموظفين'!B:C,2,0),"")</f>
        <v>ريم سعود العنزي</v>
      </c>
      <c r="D14" s="57" t="s">
        <v>452</v>
      </c>
      <c r="E14" s="69">
        <v>18</v>
      </c>
      <c r="F14" s="69">
        <v>19</v>
      </c>
      <c r="G14" s="69">
        <v>17</v>
      </c>
      <c r="H14" s="69">
        <v>17</v>
      </c>
      <c r="I14" s="69">
        <v>16</v>
      </c>
      <c r="J14" s="69"/>
      <c r="K14" s="69">
        <v>87</v>
      </c>
      <c r="L14" s="57" t="s">
        <v>458</v>
      </c>
      <c r="M14" s="63">
        <v>1500</v>
      </c>
      <c r="N14" s="58" t="s">
        <v>464</v>
      </c>
      <c r="O14" s="99"/>
    </row>
    <row r="15" spans="1:26" ht="22.15" customHeight="1" x14ac:dyDescent="0.2">
      <c r="A15" s="53">
        <v>11</v>
      </c>
      <c r="B15" s="53" t="s">
        <v>241</v>
      </c>
      <c r="C15" s="53" t="str">
        <f>IFERROR(VLOOKUP(B15,'👥 بيانات الموظفين'!B:C,2,0),"")</f>
        <v>فهد عبدالله الشهري</v>
      </c>
      <c r="D15" s="53" t="s">
        <v>452</v>
      </c>
      <c r="E15" s="68">
        <v>15</v>
      </c>
      <c r="F15" s="68">
        <v>18</v>
      </c>
      <c r="G15" s="68">
        <v>15</v>
      </c>
      <c r="H15" s="68">
        <v>14</v>
      </c>
      <c r="I15" s="68">
        <v>13</v>
      </c>
      <c r="J15" s="68"/>
      <c r="K15" s="68">
        <v>75</v>
      </c>
      <c r="L15" s="53" t="s">
        <v>458</v>
      </c>
      <c r="M15" s="62">
        <v>500</v>
      </c>
      <c r="N15" s="54" t="s">
        <v>365</v>
      </c>
      <c r="O15" s="98"/>
    </row>
    <row r="16" spans="1:26" ht="22.15" customHeight="1" x14ac:dyDescent="0.2">
      <c r="A16" s="57">
        <v>12</v>
      </c>
      <c r="B16" s="57" t="s">
        <v>242</v>
      </c>
      <c r="C16" s="57" t="str">
        <f>IFERROR(VLOOKUP(B16,'👥 بيانات الموظفين'!B:C,2,0),"")</f>
        <v>ماجد سلطان الغامدي</v>
      </c>
      <c r="D16" s="57" t="s">
        <v>452</v>
      </c>
      <c r="E16" s="69">
        <v>20</v>
      </c>
      <c r="F16" s="69">
        <v>19</v>
      </c>
      <c r="G16" s="69">
        <v>19</v>
      </c>
      <c r="H16" s="69">
        <v>20</v>
      </c>
      <c r="I16" s="69">
        <v>20</v>
      </c>
      <c r="J16" s="69"/>
      <c r="K16" s="69">
        <v>98</v>
      </c>
      <c r="L16" s="57" t="s">
        <v>453</v>
      </c>
      <c r="M16" s="63">
        <v>3000</v>
      </c>
      <c r="N16" s="58" t="s">
        <v>465</v>
      </c>
      <c r="O16" s="99"/>
    </row>
    <row r="17" spans="1:15" ht="22.15" customHeight="1" x14ac:dyDescent="0.2">
      <c r="A17" s="53">
        <v>13</v>
      </c>
      <c r="B17" s="53" t="s">
        <v>243</v>
      </c>
      <c r="C17" s="53" t="str">
        <f>IFERROR(VLOOKUP(B17,'👥 بيانات الموظفين'!B:C,2,0),"")</f>
        <v>سارة أحمد الحربي</v>
      </c>
      <c r="D17" s="53" t="s">
        <v>452</v>
      </c>
      <c r="E17" s="68">
        <v>20</v>
      </c>
      <c r="F17" s="68">
        <v>20</v>
      </c>
      <c r="G17" s="68">
        <v>20</v>
      </c>
      <c r="H17" s="68">
        <v>20</v>
      </c>
      <c r="I17" s="68">
        <v>19</v>
      </c>
      <c r="J17" s="68"/>
      <c r="K17" s="68">
        <v>99</v>
      </c>
      <c r="L17" s="53" t="s">
        <v>453</v>
      </c>
      <c r="M17" s="62">
        <v>3000</v>
      </c>
      <c r="N17" s="54" t="s">
        <v>466</v>
      </c>
      <c r="O17" s="98"/>
    </row>
    <row r="18" spans="1:15" ht="22.15" customHeight="1" x14ac:dyDescent="0.2">
      <c r="A18" s="57">
        <v>14</v>
      </c>
      <c r="B18" s="57" t="s">
        <v>244</v>
      </c>
      <c r="C18" s="57" t="str">
        <f>IFERROR(VLOOKUP(B18,'👥 بيانات الموظفين'!B:C,2,0),"")</f>
        <v>بدر فهد المطيري</v>
      </c>
      <c r="D18" s="57" t="s">
        <v>452</v>
      </c>
      <c r="E18" s="69">
        <v>15</v>
      </c>
      <c r="F18" s="69">
        <v>8</v>
      </c>
      <c r="G18" s="69">
        <v>14</v>
      </c>
      <c r="H18" s="69">
        <v>13</v>
      </c>
      <c r="I18" s="69">
        <v>12</v>
      </c>
      <c r="J18" s="69"/>
      <c r="K18" s="69">
        <v>62</v>
      </c>
      <c r="L18" s="57" t="s">
        <v>467</v>
      </c>
      <c r="M18" s="63">
        <v>0</v>
      </c>
      <c r="N18" s="58" t="s">
        <v>468</v>
      </c>
      <c r="O18" s="99"/>
    </row>
    <row r="19" spans="1:15" ht="22.15" customHeight="1" x14ac:dyDescent="0.2">
      <c r="A19" s="53">
        <v>15</v>
      </c>
      <c r="B19" s="53" t="s">
        <v>245</v>
      </c>
      <c r="C19" s="53" t="str">
        <f>IFERROR(VLOOKUP(B19,'👥 بيانات الموظفين'!B:C,2,0),"")</f>
        <v>Omar Khalid Mansour</v>
      </c>
      <c r="D19" s="53" t="s">
        <v>452</v>
      </c>
      <c r="E19" s="68">
        <v>17</v>
      </c>
      <c r="F19" s="68">
        <v>17</v>
      </c>
      <c r="G19" s="68">
        <v>17</v>
      </c>
      <c r="H19" s="68">
        <v>18</v>
      </c>
      <c r="I19" s="68">
        <v>15</v>
      </c>
      <c r="J19" s="68"/>
      <c r="K19" s="68">
        <v>84</v>
      </c>
      <c r="L19" s="53" t="s">
        <v>458</v>
      </c>
      <c r="M19" s="62">
        <v>1500</v>
      </c>
      <c r="N19" s="54" t="s">
        <v>469</v>
      </c>
      <c r="O19" s="98"/>
    </row>
    <row r="20" spans="1:15" ht="22.15" customHeight="1" x14ac:dyDescent="0.2">
      <c r="A20" s="57">
        <v>16</v>
      </c>
      <c r="B20" s="57" t="s">
        <v>246</v>
      </c>
      <c r="C20" s="57" t="str">
        <f>IFERROR(VLOOKUP(B20,'👥 بيانات الموظفين'!B:C,2,0),"")</f>
        <v>هند ناصر القرشي</v>
      </c>
      <c r="D20" s="57" t="s">
        <v>452</v>
      </c>
      <c r="E20" s="69">
        <v>14</v>
      </c>
      <c r="F20" s="69">
        <v>17</v>
      </c>
      <c r="G20" s="69">
        <v>15</v>
      </c>
      <c r="H20" s="69">
        <v>13</v>
      </c>
      <c r="I20" s="69">
        <v>12</v>
      </c>
      <c r="J20" s="69"/>
      <c r="K20" s="69">
        <v>71</v>
      </c>
      <c r="L20" s="57" t="s">
        <v>467</v>
      </c>
      <c r="M20" s="63">
        <v>500</v>
      </c>
      <c r="N20" s="58" t="s">
        <v>470</v>
      </c>
      <c r="O20" s="99"/>
    </row>
    <row r="21" spans="1:15" ht="22.15" customHeight="1" x14ac:dyDescent="0.2">
      <c r="A21" s="53">
        <v>17</v>
      </c>
      <c r="B21" s="53" t="s">
        <v>247</v>
      </c>
      <c r="C21" s="53" t="str">
        <f>IFERROR(VLOOKUP(B21,'👥 بيانات الموظفين'!B:C,2,0),"")</f>
        <v>عبدالملك سعد التميمي</v>
      </c>
      <c r="D21" s="53" t="s">
        <v>452</v>
      </c>
      <c r="E21" s="68">
        <v>19</v>
      </c>
      <c r="F21" s="68">
        <v>18</v>
      </c>
      <c r="G21" s="68">
        <v>19</v>
      </c>
      <c r="H21" s="68">
        <v>19</v>
      </c>
      <c r="I21" s="68">
        <v>19</v>
      </c>
      <c r="J21" s="68"/>
      <c r="K21" s="68">
        <v>94</v>
      </c>
      <c r="L21" s="53" t="s">
        <v>453</v>
      </c>
      <c r="M21" s="62">
        <v>3000</v>
      </c>
      <c r="N21" s="54" t="s">
        <v>471</v>
      </c>
      <c r="O21" s="98"/>
    </row>
    <row r="22" spans="1:15" ht="22.15" customHeight="1" x14ac:dyDescent="0.2">
      <c r="A22" s="57">
        <v>18</v>
      </c>
      <c r="B22" s="57" t="s">
        <v>248</v>
      </c>
      <c r="C22" s="57" t="str">
        <f>IFERROR(VLOOKUP(B22,'👥 بيانات الموظفين'!B:C,2,0),"")</f>
        <v>لمى محمد البرقاوي</v>
      </c>
      <c r="D22" s="57" t="s">
        <v>452</v>
      </c>
      <c r="E22" s="69">
        <v>18</v>
      </c>
      <c r="F22" s="69">
        <v>18</v>
      </c>
      <c r="G22" s="69">
        <v>18</v>
      </c>
      <c r="H22" s="69">
        <v>19</v>
      </c>
      <c r="I22" s="69">
        <v>18</v>
      </c>
      <c r="J22" s="69"/>
      <c r="K22" s="69">
        <v>91</v>
      </c>
      <c r="L22" s="57" t="s">
        <v>453</v>
      </c>
      <c r="M22" s="63">
        <v>3000</v>
      </c>
      <c r="N22" s="58" t="s">
        <v>472</v>
      </c>
      <c r="O22" s="99"/>
    </row>
    <row r="23" spans="1:15" ht="22.15" customHeight="1" x14ac:dyDescent="0.2">
      <c r="A23" s="53">
        <v>19</v>
      </c>
      <c r="B23" s="53" t="s">
        <v>249</v>
      </c>
      <c r="C23" s="53" t="str">
        <f>IFERROR(VLOOKUP(B23,'👥 بيانات الموظفين'!B:C,2,0),"")</f>
        <v>Maria Garcia Lopez</v>
      </c>
      <c r="D23" s="53" t="s">
        <v>452</v>
      </c>
      <c r="E23" s="68">
        <v>19</v>
      </c>
      <c r="F23" s="68">
        <v>18</v>
      </c>
      <c r="G23" s="68">
        <v>18</v>
      </c>
      <c r="H23" s="68">
        <v>17</v>
      </c>
      <c r="I23" s="68">
        <v>17</v>
      </c>
      <c r="J23" s="68"/>
      <c r="K23" s="68">
        <v>89</v>
      </c>
      <c r="L23" s="53" t="s">
        <v>458</v>
      </c>
      <c r="M23" s="62">
        <v>1500</v>
      </c>
      <c r="N23" s="54" t="s">
        <v>473</v>
      </c>
      <c r="O23" s="98"/>
    </row>
    <row r="24" spans="1:15" ht="22.15" customHeight="1" x14ac:dyDescent="0.2">
      <c r="A24" s="57">
        <v>20</v>
      </c>
      <c r="B24" s="57" t="s">
        <v>250</v>
      </c>
      <c r="C24" s="57" t="str">
        <f>IFERROR(VLOOKUP(B24,'👥 بيانات الموظفين'!B:C,2,0),"")</f>
        <v>حنان عبدالكريم الخميس</v>
      </c>
      <c r="D24" s="57" t="s">
        <v>452</v>
      </c>
      <c r="E24" s="69">
        <v>20</v>
      </c>
      <c r="F24" s="69">
        <v>19</v>
      </c>
      <c r="G24" s="69">
        <v>20</v>
      </c>
      <c r="H24" s="69">
        <v>20</v>
      </c>
      <c r="I24" s="69">
        <v>20</v>
      </c>
      <c r="J24" s="69"/>
      <c r="K24" s="69">
        <v>99</v>
      </c>
      <c r="L24" s="57" t="s">
        <v>453</v>
      </c>
      <c r="M24" s="63">
        <v>3000</v>
      </c>
      <c r="N24" s="58" t="s">
        <v>474</v>
      </c>
      <c r="O24" s="99"/>
    </row>
    <row r="25" spans="1:15" ht="22.15" customHeight="1" x14ac:dyDescent="0.2">
      <c r="A25" s="53">
        <v>21</v>
      </c>
      <c r="B25" s="53" t="s">
        <v>251</v>
      </c>
      <c r="C25" s="53" t="str">
        <f>IFERROR(VLOOKUP(B25,'👥 بيانات الموظفين'!B:C,2,0),"")</f>
        <v>ريان محمد العسيري</v>
      </c>
      <c r="D25" s="53" t="s">
        <v>452</v>
      </c>
      <c r="E25" s="68">
        <v>18</v>
      </c>
      <c r="F25" s="68">
        <v>18</v>
      </c>
      <c r="G25" s="68">
        <v>18</v>
      </c>
      <c r="H25" s="68">
        <v>17</v>
      </c>
      <c r="I25" s="68">
        <v>16</v>
      </c>
      <c r="J25" s="68"/>
      <c r="K25" s="68">
        <v>87</v>
      </c>
      <c r="L25" s="53" t="s">
        <v>458</v>
      </c>
      <c r="M25" s="62">
        <v>1500</v>
      </c>
      <c r="N25" s="54" t="s">
        <v>475</v>
      </c>
      <c r="O25" s="98"/>
    </row>
    <row r="26" spans="1:15" ht="22.15" customHeight="1" x14ac:dyDescent="0.2">
      <c r="A26" s="57">
        <v>22</v>
      </c>
      <c r="B26" s="57" t="s">
        <v>252</v>
      </c>
      <c r="C26" s="57" t="str">
        <f>IFERROR(VLOOKUP(B26,'👥 بيانات الموظفين'!B:C,2,0),"")</f>
        <v>عبدالله صالح الراشد</v>
      </c>
      <c r="D26" s="57" t="s">
        <v>452</v>
      </c>
      <c r="E26" s="69">
        <v>19</v>
      </c>
      <c r="F26" s="69">
        <v>19</v>
      </c>
      <c r="G26" s="69">
        <v>18</v>
      </c>
      <c r="H26" s="69">
        <v>19</v>
      </c>
      <c r="I26" s="69">
        <v>18</v>
      </c>
      <c r="J26" s="69"/>
      <c r="K26" s="69">
        <v>93</v>
      </c>
      <c r="L26" s="57" t="s">
        <v>453</v>
      </c>
      <c r="M26" s="63">
        <v>3000</v>
      </c>
      <c r="N26" s="58" t="s">
        <v>476</v>
      </c>
      <c r="O26" s="99"/>
    </row>
    <row r="27" spans="1:15" ht="22.15" customHeight="1" x14ac:dyDescent="0.2">
      <c r="A27" s="53">
        <v>23</v>
      </c>
      <c r="B27" s="53" t="s">
        <v>253</v>
      </c>
      <c r="C27" s="53" t="str">
        <f>IFERROR(VLOOKUP(B27,'👥 بيانات الموظفين'!B:C,2,0),"")</f>
        <v>منى عبدالله الجهني</v>
      </c>
      <c r="D27" s="53" t="s">
        <v>452</v>
      </c>
      <c r="E27" s="68">
        <v>17</v>
      </c>
      <c r="F27" s="68">
        <v>18</v>
      </c>
      <c r="G27" s="68">
        <v>17</v>
      </c>
      <c r="H27" s="68">
        <v>17</v>
      </c>
      <c r="I27" s="68">
        <v>15</v>
      </c>
      <c r="J27" s="68"/>
      <c r="K27" s="68">
        <v>84</v>
      </c>
      <c r="L27" s="53" t="s">
        <v>458</v>
      </c>
      <c r="M27" s="62">
        <v>1500</v>
      </c>
      <c r="N27" s="54" t="s">
        <v>477</v>
      </c>
      <c r="O27" s="98"/>
    </row>
    <row r="28" spans="1:15" ht="22.15" customHeight="1" x14ac:dyDescent="0.2">
      <c r="A28" s="57">
        <v>24</v>
      </c>
      <c r="B28" s="57" t="s">
        <v>254</v>
      </c>
      <c r="C28" s="57" t="str">
        <f>IFERROR(VLOOKUP(B28,'👥 بيانات الموظفين'!B:C,2,0),"")</f>
        <v>Hassan Ali Khoury</v>
      </c>
      <c r="D28" s="57" t="s">
        <v>452</v>
      </c>
      <c r="E28" s="69">
        <v>17</v>
      </c>
      <c r="F28" s="69">
        <v>17</v>
      </c>
      <c r="G28" s="69">
        <v>17</v>
      </c>
      <c r="H28" s="69">
        <v>17</v>
      </c>
      <c r="I28" s="69">
        <v>16</v>
      </c>
      <c r="J28" s="69"/>
      <c r="K28" s="69">
        <v>84</v>
      </c>
      <c r="L28" s="57" t="s">
        <v>458</v>
      </c>
      <c r="M28" s="63">
        <v>1500</v>
      </c>
      <c r="N28" s="58" t="s">
        <v>478</v>
      </c>
      <c r="O28" s="99"/>
    </row>
    <row r="29" spans="1:15" ht="22.15" customHeight="1" x14ac:dyDescent="0.2">
      <c r="A29" s="53">
        <v>25</v>
      </c>
      <c r="B29" s="53" t="s">
        <v>255</v>
      </c>
      <c r="C29" s="53" t="str">
        <f>IFERROR(VLOOKUP(B29,'👥 بيانات الموظفين'!B:C,2,0),"")</f>
        <v>ناصر علي الشمراني</v>
      </c>
      <c r="D29" s="53" t="s">
        <v>452</v>
      </c>
      <c r="E29" s="68">
        <v>18</v>
      </c>
      <c r="F29" s="68">
        <v>18</v>
      </c>
      <c r="G29" s="68">
        <v>18</v>
      </c>
      <c r="H29" s="68">
        <v>19</v>
      </c>
      <c r="I29" s="68">
        <v>17</v>
      </c>
      <c r="J29" s="68"/>
      <c r="K29" s="68">
        <v>90</v>
      </c>
      <c r="L29" s="53" t="s">
        <v>453</v>
      </c>
      <c r="M29" s="62">
        <v>3000</v>
      </c>
      <c r="N29" s="54" t="s">
        <v>479</v>
      </c>
      <c r="O29" s="98"/>
    </row>
    <row r="30" spans="1:15" ht="22.15" customHeight="1" x14ac:dyDescent="0.2">
      <c r="A30" s="57">
        <v>26</v>
      </c>
      <c r="B30" s="57" t="s">
        <v>256</v>
      </c>
      <c r="C30" s="57" t="str">
        <f>IFERROR(VLOOKUP(B30,'👥 بيانات الموظفين'!B:C,2,0),"")</f>
        <v>عبير ماجد الصاعدي</v>
      </c>
      <c r="D30" s="57" t="s">
        <v>452</v>
      </c>
      <c r="E30" s="69">
        <v>10</v>
      </c>
      <c r="F30" s="69">
        <v>10</v>
      </c>
      <c r="G30" s="69">
        <v>8</v>
      </c>
      <c r="H30" s="69">
        <v>8</v>
      </c>
      <c r="I30" s="69">
        <v>8</v>
      </c>
      <c r="J30" s="69"/>
      <c r="K30" s="69">
        <v>44</v>
      </c>
      <c r="L30" s="57" t="s">
        <v>480</v>
      </c>
      <c r="M30" s="63">
        <v>0</v>
      </c>
      <c r="N30" s="58" t="s">
        <v>481</v>
      </c>
      <c r="O30" s="99"/>
    </row>
    <row r="31" spans="1:15" ht="22.15" customHeight="1" x14ac:dyDescent="0.2">
      <c r="A31" s="53">
        <v>27</v>
      </c>
      <c r="B31" s="53" t="s">
        <v>257</v>
      </c>
      <c r="C31" s="53" t="str">
        <f>IFERROR(VLOOKUP(B31,'👥 بيانات الموظفين'!B:C,2,0),"")</f>
        <v>Anwar Singh Rana</v>
      </c>
      <c r="D31" s="53" t="s">
        <v>452</v>
      </c>
      <c r="E31" s="68">
        <v>16</v>
      </c>
      <c r="F31" s="68">
        <v>17</v>
      </c>
      <c r="G31" s="68">
        <v>16</v>
      </c>
      <c r="H31" s="68">
        <v>16</v>
      </c>
      <c r="I31" s="68">
        <v>15</v>
      </c>
      <c r="J31" s="68"/>
      <c r="K31" s="68">
        <v>80</v>
      </c>
      <c r="L31" s="53" t="s">
        <v>458</v>
      </c>
      <c r="M31" s="62">
        <v>1500</v>
      </c>
      <c r="N31" s="54" t="s">
        <v>482</v>
      </c>
      <c r="O31" s="98"/>
    </row>
    <row r="32" spans="1:15" ht="22.15" customHeight="1" x14ac:dyDescent="0.2">
      <c r="A32" s="57">
        <v>28</v>
      </c>
      <c r="B32" s="57" t="s">
        <v>258</v>
      </c>
      <c r="C32" s="57" t="str">
        <f>IFERROR(VLOOKUP(B32,'👥 بيانات الموظفين'!B:C,2,0),"")</f>
        <v>Sara Mahmoud Ibrahim</v>
      </c>
      <c r="D32" s="57" t="s">
        <v>452</v>
      </c>
      <c r="E32" s="69">
        <v>15</v>
      </c>
      <c r="F32" s="69">
        <v>18</v>
      </c>
      <c r="G32" s="69">
        <v>16</v>
      </c>
      <c r="H32" s="69">
        <v>15</v>
      </c>
      <c r="I32" s="69">
        <v>14</v>
      </c>
      <c r="J32" s="69"/>
      <c r="K32" s="69">
        <v>78</v>
      </c>
      <c r="L32" s="57" t="s">
        <v>458</v>
      </c>
      <c r="M32" s="63">
        <v>500</v>
      </c>
      <c r="N32" s="58" t="s">
        <v>483</v>
      </c>
      <c r="O32" s="99"/>
    </row>
    <row r="33" spans="1:15" ht="22.15" customHeight="1" x14ac:dyDescent="0.2">
      <c r="A33" s="53">
        <v>29</v>
      </c>
      <c r="B33" s="53" t="s">
        <v>259</v>
      </c>
      <c r="C33" s="53" t="str">
        <f>IFERROR(VLOOKUP(B33,'👥 بيانات الموظفين'!B:C,2,0),"")</f>
        <v>بندر مساعد الشهري</v>
      </c>
      <c r="D33" s="53" t="s">
        <v>452</v>
      </c>
      <c r="E33" s="68">
        <v>18</v>
      </c>
      <c r="F33" s="68">
        <v>19</v>
      </c>
      <c r="G33" s="68">
        <v>18</v>
      </c>
      <c r="H33" s="68">
        <v>18</v>
      </c>
      <c r="I33" s="68">
        <v>17</v>
      </c>
      <c r="J33" s="68"/>
      <c r="K33" s="68">
        <v>90</v>
      </c>
      <c r="L33" s="53" t="s">
        <v>453</v>
      </c>
      <c r="M33" s="62">
        <v>3000</v>
      </c>
      <c r="N33" s="54" t="s">
        <v>484</v>
      </c>
      <c r="O33" s="98"/>
    </row>
    <row r="34" spans="1:15" ht="22.15" customHeight="1" x14ac:dyDescent="0.2">
      <c r="A34" s="57">
        <v>30</v>
      </c>
      <c r="B34" s="57" t="s">
        <v>260</v>
      </c>
      <c r="C34" s="57" t="str">
        <f>IFERROR(VLOOKUP(B34,'👥 بيانات الموظفين'!B:C,2,0),"")</f>
        <v>ياسر سالم الزهراني</v>
      </c>
      <c r="D34" s="57" t="s">
        <v>452</v>
      </c>
      <c r="E34" s="69">
        <v>16</v>
      </c>
      <c r="F34" s="69">
        <v>15</v>
      </c>
      <c r="G34" s="69">
        <v>17</v>
      </c>
      <c r="H34" s="69">
        <v>15</v>
      </c>
      <c r="I34" s="69">
        <v>14</v>
      </c>
      <c r="J34" s="69"/>
      <c r="K34" s="69">
        <v>77</v>
      </c>
      <c r="L34" s="57" t="s">
        <v>458</v>
      </c>
      <c r="M34" s="63">
        <v>500</v>
      </c>
      <c r="N34" s="58" t="s">
        <v>485</v>
      </c>
      <c r="O34" s="99"/>
    </row>
    <row r="35" spans="1:15" ht="22.15" customHeight="1" x14ac:dyDescent="0.2">
      <c r="A35" s="53" t="str">
        <f>IF(B35&lt;&gt;"",31,"")</f>
        <v/>
      </c>
      <c r="B35" s="53"/>
      <c r="C35" s="53" t="str">
        <f>IFERROR(VLOOKUP(B35,'👥 بيانات الموظفين'!B:C,2,0),"")</f>
        <v/>
      </c>
      <c r="D35" s="53" t="str">
        <f>IFERROR(VLOOKUP(B35,'👥 بيانات الموظفين'!B:E,4,0),"")</f>
        <v/>
      </c>
      <c r="E35" s="68"/>
      <c r="F35" s="68"/>
      <c r="G35" s="68"/>
      <c r="H35" s="68"/>
      <c r="I35" s="68"/>
      <c r="J35" s="68"/>
      <c r="K35" s="68" t="str">
        <f t="shared" ref="K35:K68" si="0">IF(B35&lt;&gt;"",IF(AND(F35&lt;&gt;"",G35&lt;&gt;"",H35&lt;&gt;"",I35&lt;&gt;"",J35&lt;&gt;""),SUM(F35:J35),""),"")</f>
        <v/>
      </c>
      <c r="L35" s="53" t="str">
        <f t="shared" ref="L35:L68" si="1">IF(K35="","",IF(K35&gt;=90,"ممتاز",IF(K35&gt;=75,"جيد جداً",IF(K35&gt;=60,"جيد",IF(K35&gt;=50,"مقبول","ضعيف")))))</f>
        <v/>
      </c>
      <c r="M35" s="62" t="str">
        <f t="shared" ref="M35:M68" si="2">IF(K35="","",IF(K35&gt;=90,"A",IF(K35&gt;=75,"B",IF(K35&gt;=60,"C",IF(K35&gt;=50,"D","F")))))</f>
        <v/>
      </c>
      <c r="N35" s="54" t="str">
        <f>IF(K35="","",IF(K35&gt;=90,IFERROR(VLOOKUP(B35,'👥 بيانات الموظفين'!B:H,7,0),0)*0.15,IF(K35&gt;=75,IFERROR(VLOOKUP(B35,'👥 بيانات الموظفين'!B:H,7,0),0)*0.1,IF(K35&gt;=60,IFERROR(VLOOKUP(B35,'👥 بيانات الموظفين'!B:H,7,0),0)*0.05,0))))</f>
        <v/>
      </c>
      <c r="O35" s="98"/>
    </row>
    <row r="36" spans="1:15" ht="22.15" customHeight="1" x14ac:dyDescent="0.2">
      <c r="A36" s="57" t="str">
        <f>IF(B36&lt;&gt;"",32,"")</f>
        <v/>
      </c>
      <c r="B36" s="57"/>
      <c r="C36" s="57" t="str">
        <f>IFERROR(VLOOKUP(B36,'👥 بيانات الموظفين'!B:C,2,0),"")</f>
        <v/>
      </c>
      <c r="D36" s="57" t="str">
        <f>IFERROR(VLOOKUP(B36,'👥 بيانات الموظفين'!B:E,4,0),"")</f>
        <v/>
      </c>
      <c r="E36" s="69"/>
      <c r="F36" s="69"/>
      <c r="G36" s="69"/>
      <c r="H36" s="69"/>
      <c r="I36" s="69"/>
      <c r="J36" s="69"/>
      <c r="K36" s="69" t="str">
        <f t="shared" si="0"/>
        <v/>
      </c>
      <c r="L36" s="57" t="str">
        <f t="shared" si="1"/>
        <v/>
      </c>
      <c r="M36" s="63" t="str">
        <f t="shared" si="2"/>
        <v/>
      </c>
      <c r="N36" s="58" t="str">
        <f>IF(K36="","",IF(K36&gt;=90,IFERROR(VLOOKUP(B36,'👥 بيانات الموظفين'!B:H,7,0),0)*0.15,IF(K36&gt;=75,IFERROR(VLOOKUP(B36,'👥 بيانات الموظفين'!B:H,7,0),0)*0.1,IF(K36&gt;=60,IFERROR(VLOOKUP(B36,'👥 بيانات الموظفين'!B:H,7,0),0)*0.05,0))))</f>
        <v/>
      </c>
      <c r="O36" s="99"/>
    </row>
    <row r="37" spans="1:15" ht="22.15" customHeight="1" x14ac:dyDescent="0.2">
      <c r="A37" s="53" t="str">
        <f>IF(B37&lt;&gt;"",33,"")</f>
        <v/>
      </c>
      <c r="B37" s="53"/>
      <c r="C37" s="53" t="str">
        <f>IFERROR(VLOOKUP(B37,'👥 بيانات الموظفين'!B:C,2,0),"")</f>
        <v/>
      </c>
      <c r="D37" s="53" t="str">
        <f>IFERROR(VLOOKUP(B37,'👥 بيانات الموظفين'!B:E,4,0),"")</f>
        <v/>
      </c>
      <c r="E37" s="68"/>
      <c r="F37" s="68"/>
      <c r="G37" s="68"/>
      <c r="H37" s="68"/>
      <c r="I37" s="68"/>
      <c r="J37" s="68"/>
      <c r="K37" s="68" t="str">
        <f t="shared" si="0"/>
        <v/>
      </c>
      <c r="L37" s="53" t="str">
        <f t="shared" si="1"/>
        <v/>
      </c>
      <c r="M37" s="62" t="str">
        <f t="shared" si="2"/>
        <v/>
      </c>
      <c r="N37" s="54" t="str">
        <f>IF(K37="","",IF(K37&gt;=90,IFERROR(VLOOKUP(B37,'👥 بيانات الموظفين'!B:H,7,0),0)*0.15,IF(K37&gt;=75,IFERROR(VLOOKUP(B37,'👥 بيانات الموظفين'!B:H,7,0),0)*0.1,IF(K37&gt;=60,IFERROR(VLOOKUP(B37,'👥 بيانات الموظفين'!B:H,7,0),0)*0.05,0))))</f>
        <v/>
      </c>
      <c r="O37" s="98"/>
    </row>
    <row r="38" spans="1:15" ht="22.15" customHeight="1" x14ac:dyDescent="0.2">
      <c r="A38" s="57" t="str">
        <f>IF(B38&lt;&gt;"",34,"")</f>
        <v/>
      </c>
      <c r="B38" s="57"/>
      <c r="C38" s="57" t="str">
        <f>IFERROR(VLOOKUP(B38,'👥 بيانات الموظفين'!B:C,2,0),"")</f>
        <v/>
      </c>
      <c r="D38" s="57" t="str">
        <f>IFERROR(VLOOKUP(B38,'👥 بيانات الموظفين'!B:E,4,0),"")</f>
        <v/>
      </c>
      <c r="E38" s="69"/>
      <c r="F38" s="69"/>
      <c r="G38" s="69"/>
      <c r="H38" s="69"/>
      <c r="I38" s="69"/>
      <c r="J38" s="69"/>
      <c r="K38" s="69" t="str">
        <f t="shared" si="0"/>
        <v/>
      </c>
      <c r="L38" s="57" t="str">
        <f t="shared" si="1"/>
        <v/>
      </c>
      <c r="M38" s="63" t="str">
        <f t="shared" si="2"/>
        <v/>
      </c>
      <c r="N38" s="58" t="str">
        <f>IF(K38="","",IF(K38&gt;=90,IFERROR(VLOOKUP(B38,'👥 بيانات الموظفين'!B:H,7,0),0)*0.15,IF(K38&gt;=75,IFERROR(VLOOKUP(B38,'👥 بيانات الموظفين'!B:H,7,0),0)*0.1,IF(K38&gt;=60,IFERROR(VLOOKUP(B38,'👥 بيانات الموظفين'!B:H,7,0),0)*0.05,0))))</f>
        <v/>
      </c>
      <c r="O38" s="99"/>
    </row>
    <row r="39" spans="1:15" ht="22.15" customHeight="1" x14ac:dyDescent="0.2">
      <c r="A39" s="53" t="str">
        <f>IF(B39&lt;&gt;"",35,"")</f>
        <v/>
      </c>
      <c r="B39" s="53"/>
      <c r="C39" s="53" t="str">
        <f>IFERROR(VLOOKUP(B39,'👥 بيانات الموظفين'!B:C,2,0),"")</f>
        <v/>
      </c>
      <c r="D39" s="53" t="str">
        <f>IFERROR(VLOOKUP(B39,'👥 بيانات الموظفين'!B:E,4,0),"")</f>
        <v/>
      </c>
      <c r="E39" s="68"/>
      <c r="F39" s="68"/>
      <c r="G39" s="68"/>
      <c r="H39" s="68"/>
      <c r="I39" s="68"/>
      <c r="J39" s="68"/>
      <c r="K39" s="68" t="str">
        <f t="shared" si="0"/>
        <v/>
      </c>
      <c r="L39" s="53" t="str">
        <f t="shared" si="1"/>
        <v/>
      </c>
      <c r="M39" s="62" t="str">
        <f t="shared" si="2"/>
        <v/>
      </c>
      <c r="N39" s="54" t="str">
        <f>IF(K39="","",IF(K39&gt;=90,IFERROR(VLOOKUP(B39,'👥 بيانات الموظفين'!B:H,7,0),0)*0.15,IF(K39&gt;=75,IFERROR(VLOOKUP(B39,'👥 بيانات الموظفين'!B:H,7,0),0)*0.1,IF(K39&gt;=60,IFERROR(VLOOKUP(B39,'👥 بيانات الموظفين'!B:H,7,0),0)*0.05,0))))</f>
        <v/>
      </c>
      <c r="O39" s="98"/>
    </row>
    <row r="40" spans="1:15" ht="22.15" customHeight="1" x14ac:dyDescent="0.2">
      <c r="A40" s="57" t="str">
        <f>IF(B40&lt;&gt;"",36,"")</f>
        <v/>
      </c>
      <c r="B40" s="57"/>
      <c r="C40" s="57" t="str">
        <f>IFERROR(VLOOKUP(B40,'👥 بيانات الموظفين'!B:C,2,0),"")</f>
        <v/>
      </c>
      <c r="D40" s="57" t="str">
        <f>IFERROR(VLOOKUP(B40,'👥 بيانات الموظفين'!B:E,4,0),"")</f>
        <v/>
      </c>
      <c r="E40" s="69"/>
      <c r="F40" s="69"/>
      <c r="G40" s="69"/>
      <c r="H40" s="69"/>
      <c r="I40" s="69"/>
      <c r="J40" s="69"/>
      <c r="K40" s="69" t="str">
        <f t="shared" si="0"/>
        <v/>
      </c>
      <c r="L40" s="57" t="str">
        <f t="shared" si="1"/>
        <v/>
      </c>
      <c r="M40" s="63" t="str">
        <f t="shared" si="2"/>
        <v/>
      </c>
      <c r="N40" s="58" t="str">
        <f>IF(K40="","",IF(K40&gt;=90,IFERROR(VLOOKUP(B40,'👥 بيانات الموظفين'!B:H,7,0),0)*0.15,IF(K40&gt;=75,IFERROR(VLOOKUP(B40,'👥 بيانات الموظفين'!B:H,7,0),0)*0.1,IF(K40&gt;=60,IFERROR(VLOOKUP(B40,'👥 بيانات الموظفين'!B:H,7,0),0)*0.05,0))))</f>
        <v/>
      </c>
      <c r="O40" s="99"/>
    </row>
    <row r="41" spans="1:15" ht="22.15" customHeight="1" x14ac:dyDescent="0.2">
      <c r="A41" s="53" t="str">
        <f>IF(B41&lt;&gt;"",37,"")</f>
        <v/>
      </c>
      <c r="B41" s="53"/>
      <c r="C41" s="53" t="str">
        <f>IFERROR(VLOOKUP(B41,'👥 بيانات الموظفين'!B:C,2,0),"")</f>
        <v/>
      </c>
      <c r="D41" s="53" t="str">
        <f>IFERROR(VLOOKUP(B41,'👥 بيانات الموظفين'!B:E,4,0),"")</f>
        <v/>
      </c>
      <c r="E41" s="68"/>
      <c r="F41" s="68"/>
      <c r="G41" s="68"/>
      <c r="H41" s="68"/>
      <c r="I41" s="68"/>
      <c r="J41" s="68"/>
      <c r="K41" s="68" t="str">
        <f t="shared" si="0"/>
        <v/>
      </c>
      <c r="L41" s="53" t="str">
        <f t="shared" si="1"/>
        <v/>
      </c>
      <c r="M41" s="62" t="str">
        <f t="shared" si="2"/>
        <v/>
      </c>
      <c r="N41" s="54" t="str">
        <f>IF(K41="","",IF(K41&gt;=90,IFERROR(VLOOKUP(B41,'👥 بيانات الموظفين'!B:H,7,0),0)*0.15,IF(K41&gt;=75,IFERROR(VLOOKUP(B41,'👥 بيانات الموظفين'!B:H,7,0),0)*0.1,IF(K41&gt;=60,IFERROR(VLOOKUP(B41,'👥 بيانات الموظفين'!B:H,7,0),0)*0.05,0))))</f>
        <v/>
      </c>
      <c r="O41" s="98"/>
    </row>
    <row r="42" spans="1:15" ht="22.15" customHeight="1" x14ac:dyDescent="0.2">
      <c r="A42" s="57" t="str">
        <f>IF(B42&lt;&gt;"",38,"")</f>
        <v/>
      </c>
      <c r="B42" s="57"/>
      <c r="C42" s="57" t="str">
        <f>IFERROR(VLOOKUP(B42,'👥 بيانات الموظفين'!B:C,2,0),"")</f>
        <v/>
      </c>
      <c r="D42" s="57" t="str">
        <f>IFERROR(VLOOKUP(B42,'👥 بيانات الموظفين'!B:E,4,0),"")</f>
        <v/>
      </c>
      <c r="E42" s="69"/>
      <c r="F42" s="69"/>
      <c r="G42" s="69"/>
      <c r="H42" s="69"/>
      <c r="I42" s="69"/>
      <c r="J42" s="69"/>
      <c r="K42" s="69" t="str">
        <f t="shared" si="0"/>
        <v/>
      </c>
      <c r="L42" s="57" t="str">
        <f t="shared" si="1"/>
        <v/>
      </c>
      <c r="M42" s="63" t="str">
        <f t="shared" si="2"/>
        <v/>
      </c>
      <c r="N42" s="58" t="str">
        <f>IF(K42="","",IF(K42&gt;=90,IFERROR(VLOOKUP(B42,'👥 بيانات الموظفين'!B:H,7,0),0)*0.15,IF(K42&gt;=75,IFERROR(VLOOKUP(B42,'👥 بيانات الموظفين'!B:H,7,0),0)*0.1,IF(K42&gt;=60,IFERROR(VLOOKUP(B42,'👥 بيانات الموظفين'!B:H,7,0),0)*0.05,0))))</f>
        <v/>
      </c>
      <c r="O42" s="99"/>
    </row>
    <row r="43" spans="1:15" ht="22.15" customHeight="1" x14ac:dyDescent="0.2">
      <c r="A43" s="53" t="str">
        <f>IF(B43&lt;&gt;"",39,"")</f>
        <v/>
      </c>
      <c r="B43" s="53"/>
      <c r="C43" s="53" t="str">
        <f>IFERROR(VLOOKUP(B43,'👥 بيانات الموظفين'!B:C,2,0),"")</f>
        <v/>
      </c>
      <c r="D43" s="53" t="str">
        <f>IFERROR(VLOOKUP(B43,'👥 بيانات الموظفين'!B:E,4,0),"")</f>
        <v/>
      </c>
      <c r="E43" s="68"/>
      <c r="F43" s="68"/>
      <c r="G43" s="68"/>
      <c r="H43" s="68"/>
      <c r="I43" s="68"/>
      <c r="J43" s="68"/>
      <c r="K43" s="68" t="str">
        <f t="shared" si="0"/>
        <v/>
      </c>
      <c r="L43" s="53" t="str">
        <f t="shared" si="1"/>
        <v/>
      </c>
      <c r="M43" s="62" t="str">
        <f t="shared" si="2"/>
        <v/>
      </c>
      <c r="N43" s="54" t="str">
        <f>IF(K43="","",IF(K43&gt;=90,IFERROR(VLOOKUP(B43,'👥 بيانات الموظفين'!B:H,7,0),0)*0.15,IF(K43&gt;=75,IFERROR(VLOOKUP(B43,'👥 بيانات الموظفين'!B:H,7,0),0)*0.1,IF(K43&gt;=60,IFERROR(VLOOKUP(B43,'👥 بيانات الموظفين'!B:H,7,0),0)*0.05,0))))</f>
        <v/>
      </c>
      <c r="O43" s="98"/>
    </row>
    <row r="44" spans="1:15" ht="22.15" customHeight="1" x14ac:dyDescent="0.2">
      <c r="A44" s="57" t="str">
        <f>IF(B44&lt;&gt;"",40,"")</f>
        <v/>
      </c>
      <c r="B44" s="57"/>
      <c r="C44" s="57" t="str">
        <f>IFERROR(VLOOKUP(B44,'👥 بيانات الموظفين'!B:C,2,0),"")</f>
        <v/>
      </c>
      <c r="D44" s="57" t="str">
        <f>IFERROR(VLOOKUP(B44,'👥 بيانات الموظفين'!B:E,4,0),"")</f>
        <v/>
      </c>
      <c r="E44" s="69"/>
      <c r="F44" s="69"/>
      <c r="G44" s="69"/>
      <c r="H44" s="69"/>
      <c r="I44" s="69"/>
      <c r="J44" s="69"/>
      <c r="K44" s="69" t="str">
        <f t="shared" si="0"/>
        <v/>
      </c>
      <c r="L44" s="57" t="str">
        <f t="shared" si="1"/>
        <v/>
      </c>
      <c r="M44" s="63" t="str">
        <f t="shared" si="2"/>
        <v/>
      </c>
      <c r="N44" s="58" t="str">
        <f>IF(K44="","",IF(K44&gt;=90,IFERROR(VLOOKUP(B44,'👥 بيانات الموظفين'!B:H,7,0),0)*0.15,IF(K44&gt;=75,IFERROR(VLOOKUP(B44,'👥 بيانات الموظفين'!B:H,7,0),0)*0.1,IF(K44&gt;=60,IFERROR(VLOOKUP(B44,'👥 بيانات الموظفين'!B:H,7,0),0)*0.05,0))))</f>
        <v/>
      </c>
      <c r="O44" s="99"/>
    </row>
    <row r="45" spans="1:15" ht="22.15" customHeight="1" x14ac:dyDescent="0.2">
      <c r="A45" s="53" t="str">
        <f>IF(B45&lt;&gt;"",41,"")</f>
        <v/>
      </c>
      <c r="B45" s="53"/>
      <c r="C45" s="53" t="str">
        <f>IFERROR(VLOOKUP(B45,'👥 بيانات الموظفين'!B:C,2,0),"")</f>
        <v/>
      </c>
      <c r="D45" s="53" t="str">
        <f>IFERROR(VLOOKUP(B45,'👥 بيانات الموظفين'!B:E,4,0),"")</f>
        <v/>
      </c>
      <c r="E45" s="68"/>
      <c r="F45" s="68"/>
      <c r="G45" s="68"/>
      <c r="H45" s="68"/>
      <c r="I45" s="68"/>
      <c r="J45" s="68"/>
      <c r="K45" s="68" t="str">
        <f t="shared" si="0"/>
        <v/>
      </c>
      <c r="L45" s="53" t="str">
        <f t="shared" si="1"/>
        <v/>
      </c>
      <c r="M45" s="62" t="str">
        <f t="shared" si="2"/>
        <v/>
      </c>
      <c r="N45" s="54" t="str">
        <f>IF(K45="","",IF(K45&gt;=90,IFERROR(VLOOKUP(B45,'👥 بيانات الموظفين'!B:H,7,0),0)*0.15,IF(K45&gt;=75,IFERROR(VLOOKUP(B45,'👥 بيانات الموظفين'!B:H,7,0),0)*0.1,IF(K45&gt;=60,IFERROR(VLOOKUP(B45,'👥 بيانات الموظفين'!B:H,7,0),0)*0.05,0))))</f>
        <v/>
      </c>
      <c r="O45" s="98"/>
    </row>
    <row r="46" spans="1:15" ht="22.15" customHeight="1" x14ac:dyDescent="0.2">
      <c r="A46" s="57" t="str">
        <f>IF(B46&lt;&gt;"",42,"")</f>
        <v/>
      </c>
      <c r="B46" s="57"/>
      <c r="C46" s="57" t="str">
        <f>IFERROR(VLOOKUP(B46,'👥 بيانات الموظفين'!B:C,2,0),"")</f>
        <v/>
      </c>
      <c r="D46" s="57" t="str">
        <f>IFERROR(VLOOKUP(B46,'👥 بيانات الموظفين'!B:E,4,0),"")</f>
        <v/>
      </c>
      <c r="E46" s="69"/>
      <c r="F46" s="69"/>
      <c r="G46" s="69"/>
      <c r="H46" s="69"/>
      <c r="I46" s="69"/>
      <c r="J46" s="69"/>
      <c r="K46" s="69" t="str">
        <f t="shared" si="0"/>
        <v/>
      </c>
      <c r="L46" s="57" t="str">
        <f t="shared" si="1"/>
        <v/>
      </c>
      <c r="M46" s="63" t="str">
        <f t="shared" si="2"/>
        <v/>
      </c>
      <c r="N46" s="58" t="str">
        <f>IF(K46="","",IF(K46&gt;=90,IFERROR(VLOOKUP(B46,'👥 بيانات الموظفين'!B:H,7,0),0)*0.15,IF(K46&gt;=75,IFERROR(VLOOKUP(B46,'👥 بيانات الموظفين'!B:H,7,0),0)*0.1,IF(K46&gt;=60,IFERROR(VLOOKUP(B46,'👥 بيانات الموظفين'!B:H,7,0),0)*0.05,0))))</f>
        <v/>
      </c>
      <c r="O46" s="99"/>
    </row>
    <row r="47" spans="1:15" ht="22.15" customHeight="1" x14ac:dyDescent="0.2">
      <c r="A47" s="53" t="str">
        <f>IF(B47&lt;&gt;"",43,"")</f>
        <v/>
      </c>
      <c r="B47" s="53"/>
      <c r="C47" s="53" t="str">
        <f>IFERROR(VLOOKUP(B47,'👥 بيانات الموظفين'!B:C,2,0),"")</f>
        <v/>
      </c>
      <c r="D47" s="53" t="str">
        <f>IFERROR(VLOOKUP(B47,'👥 بيانات الموظفين'!B:E,4,0),"")</f>
        <v/>
      </c>
      <c r="E47" s="68"/>
      <c r="F47" s="68"/>
      <c r="G47" s="68"/>
      <c r="H47" s="68"/>
      <c r="I47" s="68"/>
      <c r="J47" s="68"/>
      <c r="K47" s="68" t="str">
        <f t="shared" si="0"/>
        <v/>
      </c>
      <c r="L47" s="53" t="str">
        <f t="shared" si="1"/>
        <v/>
      </c>
      <c r="M47" s="62" t="str">
        <f t="shared" si="2"/>
        <v/>
      </c>
      <c r="N47" s="54" t="str">
        <f>IF(K47="","",IF(K47&gt;=90,IFERROR(VLOOKUP(B47,'👥 بيانات الموظفين'!B:H,7,0),0)*0.15,IF(K47&gt;=75,IFERROR(VLOOKUP(B47,'👥 بيانات الموظفين'!B:H,7,0),0)*0.1,IF(K47&gt;=60,IFERROR(VLOOKUP(B47,'👥 بيانات الموظفين'!B:H,7,0),0)*0.05,0))))</f>
        <v/>
      </c>
      <c r="O47" s="98"/>
    </row>
    <row r="48" spans="1:15" ht="22.15" customHeight="1" x14ac:dyDescent="0.2">
      <c r="A48" s="57" t="str">
        <f>IF(B48&lt;&gt;"",44,"")</f>
        <v/>
      </c>
      <c r="B48" s="57"/>
      <c r="C48" s="57" t="str">
        <f>IFERROR(VLOOKUP(B48,'👥 بيانات الموظفين'!B:C,2,0),"")</f>
        <v/>
      </c>
      <c r="D48" s="57" t="str">
        <f>IFERROR(VLOOKUP(B48,'👥 بيانات الموظفين'!B:E,4,0),"")</f>
        <v/>
      </c>
      <c r="E48" s="69"/>
      <c r="F48" s="69"/>
      <c r="G48" s="69"/>
      <c r="H48" s="69"/>
      <c r="I48" s="69"/>
      <c r="J48" s="69"/>
      <c r="K48" s="69" t="str">
        <f t="shared" si="0"/>
        <v/>
      </c>
      <c r="L48" s="57" t="str">
        <f t="shared" si="1"/>
        <v/>
      </c>
      <c r="M48" s="63" t="str">
        <f t="shared" si="2"/>
        <v/>
      </c>
      <c r="N48" s="58" t="str">
        <f>IF(K48="","",IF(K48&gt;=90,IFERROR(VLOOKUP(B48,'👥 بيانات الموظفين'!B:H,7,0),0)*0.15,IF(K48&gt;=75,IFERROR(VLOOKUP(B48,'👥 بيانات الموظفين'!B:H,7,0),0)*0.1,IF(K48&gt;=60,IFERROR(VLOOKUP(B48,'👥 بيانات الموظفين'!B:H,7,0),0)*0.05,0))))</f>
        <v/>
      </c>
      <c r="O48" s="99"/>
    </row>
    <row r="49" spans="1:15" ht="22.15" customHeight="1" x14ac:dyDescent="0.2">
      <c r="A49" s="53" t="str">
        <f>IF(B49&lt;&gt;"",45,"")</f>
        <v/>
      </c>
      <c r="B49" s="53"/>
      <c r="C49" s="53" t="str">
        <f>IFERROR(VLOOKUP(B49,'👥 بيانات الموظفين'!B:C,2,0),"")</f>
        <v/>
      </c>
      <c r="D49" s="53" t="str">
        <f>IFERROR(VLOOKUP(B49,'👥 بيانات الموظفين'!B:E,4,0),"")</f>
        <v/>
      </c>
      <c r="E49" s="68"/>
      <c r="F49" s="68"/>
      <c r="G49" s="68"/>
      <c r="H49" s="68"/>
      <c r="I49" s="68"/>
      <c r="J49" s="68"/>
      <c r="K49" s="68" t="str">
        <f t="shared" si="0"/>
        <v/>
      </c>
      <c r="L49" s="53" t="str">
        <f t="shared" si="1"/>
        <v/>
      </c>
      <c r="M49" s="62" t="str">
        <f t="shared" si="2"/>
        <v/>
      </c>
      <c r="N49" s="54" t="str">
        <f>IF(K49="","",IF(K49&gt;=90,IFERROR(VLOOKUP(B49,'👥 بيانات الموظفين'!B:H,7,0),0)*0.15,IF(K49&gt;=75,IFERROR(VLOOKUP(B49,'👥 بيانات الموظفين'!B:H,7,0),0)*0.1,IF(K49&gt;=60,IFERROR(VLOOKUP(B49,'👥 بيانات الموظفين'!B:H,7,0),0)*0.05,0))))</f>
        <v/>
      </c>
      <c r="O49" s="98"/>
    </row>
    <row r="50" spans="1:15" ht="22.15" customHeight="1" x14ac:dyDescent="0.2">
      <c r="A50" s="57" t="str">
        <f>IF(B50&lt;&gt;"",46,"")</f>
        <v/>
      </c>
      <c r="B50" s="57"/>
      <c r="C50" s="57" t="str">
        <f>IFERROR(VLOOKUP(B50,'👥 بيانات الموظفين'!B:C,2,0),"")</f>
        <v/>
      </c>
      <c r="D50" s="57" t="str">
        <f>IFERROR(VLOOKUP(B50,'👥 بيانات الموظفين'!B:E,4,0),"")</f>
        <v/>
      </c>
      <c r="E50" s="69"/>
      <c r="F50" s="69"/>
      <c r="G50" s="69"/>
      <c r="H50" s="69"/>
      <c r="I50" s="69"/>
      <c r="J50" s="69"/>
      <c r="K50" s="69" t="str">
        <f t="shared" si="0"/>
        <v/>
      </c>
      <c r="L50" s="57" t="str">
        <f t="shared" si="1"/>
        <v/>
      </c>
      <c r="M50" s="63" t="str">
        <f t="shared" si="2"/>
        <v/>
      </c>
      <c r="N50" s="58" t="str">
        <f>IF(K50="","",IF(K50&gt;=90,IFERROR(VLOOKUP(B50,'👥 بيانات الموظفين'!B:H,7,0),0)*0.15,IF(K50&gt;=75,IFERROR(VLOOKUP(B50,'👥 بيانات الموظفين'!B:H,7,0),0)*0.1,IF(K50&gt;=60,IFERROR(VLOOKUP(B50,'👥 بيانات الموظفين'!B:H,7,0),0)*0.05,0))))</f>
        <v/>
      </c>
      <c r="O50" s="99"/>
    </row>
    <row r="51" spans="1:15" ht="22.15" customHeight="1" x14ac:dyDescent="0.2">
      <c r="A51" s="53" t="str">
        <f>IF(B51&lt;&gt;"",47,"")</f>
        <v/>
      </c>
      <c r="B51" s="53"/>
      <c r="C51" s="53" t="str">
        <f>IFERROR(VLOOKUP(B51,'👥 بيانات الموظفين'!B:C,2,0),"")</f>
        <v/>
      </c>
      <c r="D51" s="53" t="str">
        <f>IFERROR(VLOOKUP(B51,'👥 بيانات الموظفين'!B:E,4,0),"")</f>
        <v/>
      </c>
      <c r="E51" s="68"/>
      <c r="F51" s="68"/>
      <c r="G51" s="68"/>
      <c r="H51" s="68"/>
      <c r="I51" s="68"/>
      <c r="J51" s="68"/>
      <c r="K51" s="68" t="str">
        <f t="shared" si="0"/>
        <v/>
      </c>
      <c r="L51" s="53" t="str">
        <f t="shared" si="1"/>
        <v/>
      </c>
      <c r="M51" s="62" t="str">
        <f t="shared" si="2"/>
        <v/>
      </c>
      <c r="N51" s="54" t="str">
        <f>IF(K51="","",IF(K51&gt;=90,IFERROR(VLOOKUP(B51,'👥 بيانات الموظفين'!B:H,7,0),0)*0.15,IF(K51&gt;=75,IFERROR(VLOOKUP(B51,'👥 بيانات الموظفين'!B:H,7,0),0)*0.1,IF(K51&gt;=60,IFERROR(VLOOKUP(B51,'👥 بيانات الموظفين'!B:H,7,0),0)*0.05,0))))</f>
        <v/>
      </c>
      <c r="O51" s="98"/>
    </row>
    <row r="52" spans="1:15" ht="22.15" customHeight="1" x14ac:dyDescent="0.2">
      <c r="A52" s="57" t="str">
        <f>IF(B52&lt;&gt;"",48,"")</f>
        <v/>
      </c>
      <c r="B52" s="57"/>
      <c r="C52" s="57" t="str">
        <f>IFERROR(VLOOKUP(B52,'👥 بيانات الموظفين'!B:C,2,0),"")</f>
        <v/>
      </c>
      <c r="D52" s="57" t="str">
        <f>IFERROR(VLOOKUP(B52,'👥 بيانات الموظفين'!B:E,4,0),"")</f>
        <v/>
      </c>
      <c r="E52" s="69"/>
      <c r="F52" s="69"/>
      <c r="G52" s="69"/>
      <c r="H52" s="69"/>
      <c r="I52" s="69"/>
      <c r="J52" s="69"/>
      <c r="K52" s="69" t="str">
        <f t="shared" si="0"/>
        <v/>
      </c>
      <c r="L52" s="57" t="str">
        <f t="shared" si="1"/>
        <v/>
      </c>
      <c r="M52" s="63" t="str">
        <f t="shared" si="2"/>
        <v/>
      </c>
      <c r="N52" s="58" t="str">
        <f>IF(K52="","",IF(K52&gt;=90,IFERROR(VLOOKUP(B52,'👥 بيانات الموظفين'!B:H,7,0),0)*0.15,IF(K52&gt;=75,IFERROR(VLOOKUP(B52,'👥 بيانات الموظفين'!B:H,7,0),0)*0.1,IF(K52&gt;=60,IFERROR(VLOOKUP(B52,'👥 بيانات الموظفين'!B:H,7,0),0)*0.05,0))))</f>
        <v/>
      </c>
      <c r="O52" s="99"/>
    </row>
    <row r="53" spans="1:15" ht="22.15" customHeight="1" x14ac:dyDescent="0.2">
      <c r="A53" s="53" t="str">
        <f>IF(B53&lt;&gt;"",49,"")</f>
        <v/>
      </c>
      <c r="B53" s="53"/>
      <c r="C53" s="53" t="str">
        <f>IFERROR(VLOOKUP(B53,'👥 بيانات الموظفين'!B:C,2,0),"")</f>
        <v/>
      </c>
      <c r="D53" s="53" t="str">
        <f>IFERROR(VLOOKUP(B53,'👥 بيانات الموظفين'!B:E,4,0),"")</f>
        <v/>
      </c>
      <c r="E53" s="68"/>
      <c r="F53" s="68"/>
      <c r="G53" s="68"/>
      <c r="H53" s="68"/>
      <c r="I53" s="68"/>
      <c r="J53" s="68"/>
      <c r="K53" s="68" t="str">
        <f t="shared" si="0"/>
        <v/>
      </c>
      <c r="L53" s="53" t="str">
        <f t="shared" si="1"/>
        <v/>
      </c>
      <c r="M53" s="62" t="str">
        <f t="shared" si="2"/>
        <v/>
      </c>
      <c r="N53" s="54" t="str">
        <f>IF(K53="","",IF(K53&gt;=90,IFERROR(VLOOKUP(B53,'👥 بيانات الموظفين'!B:H,7,0),0)*0.15,IF(K53&gt;=75,IFERROR(VLOOKUP(B53,'👥 بيانات الموظفين'!B:H,7,0),0)*0.1,IF(K53&gt;=60,IFERROR(VLOOKUP(B53,'👥 بيانات الموظفين'!B:H,7,0),0)*0.05,0))))</f>
        <v/>
      </c>
      <c r="O53" s="98"/>
    </row>
    <row r="54" spans="1:15" ht="22.15" customHeight="1" x14ac:dyDescent="0.2">
      <c r="A54" s="57" t="str">
        <f>IF(B54&lt;&gt;"",50,"")</f>
        <v/>
      </c>
      <c r="B54" s="57"/>
      <c r="C54" s="57" t="str">
        <f>IFERROR(VLOOKUP(B54,'👥 بيانات الموظفين'!B:C,2,0),"")</f>
        <v/>
      </c>
      <c r="D54" s="57" t="str">
        <f>IFERROR(VLOOKUP(B54,'👥 بيانات الموظفين'!B:E,4,0),"")</f>
        <v/>
      </c>
      <c r="E54" s="69"/>
      <c r="F54" s="69"/>
      <c r="G54" s="69"/>
      <c r="H54" s="69"/>
      <c r="I54" s="69"/>
      <c r="J54" s="69"/>
      <c r="K54" s="69" t="str">
        <f t="shared" si="0"/>
        <v/>
      </c>
      <c r="L54" s="57" t="str">
        <f t="shared" si="1"/>
        <v/>
      </c>
      <c r="M54" s="63" t="str">
        <f t="shared" si="2"/>
        <v/>
      </c>
      <c r="N54" s="58" t="str">
        <f>IF(K54="","",IF(K54&gt;=90,IFERROR(VLOOKUP(B54,'👥 بيانات الموظفين'!B:H,7,0),0)*0.15,IF(K54&gt;=75,IFERROR(VLOOKUP(B54,'👥 بيانات الموظفين'!B:H,7,0),0)*0.1,IF(K54&gt;=60,IFERROR(VLOOKUP(B54,'👥 بيانات الموظفين'!B:H,7,0),0)*0.05,0))))</f>
        <v/>
      </c>
      <c r="O54" s="99"/>
    </row>
    <row r="55" spans="1:15" ht="22.15" customHeight="1" x14ac:dyDescent="0.2">
      <c r="A55" s="53" t="str">
        <f>IF(B55&lt;&gt;"",51,"")</f>
        <v/>
      </c>
      <c r="B55" s="53"/>
      <c r="C55" s="53" t="str">
        <f>IFERROR(VLOOKUP(B55,'👥 بيانات الموظفين'!B:C,2,0),"")</f>
        <v/>
      </c>
      <c r="D55" s="53" t="str">
        <f>IFERROR(VLOOKUP(B55,'👥 بيانات الموظفين'!B:E,4,0),"")</f>
        <v/>
      </c>
      <c r="E55" s="68"/>
      <c r="F55" s="68"/>
      <c r="G55" s="68"/>
      <c r="H55" s="68"/>
      <c r="I55" s="68"/>
      <c r="J55" s="68"/>
      <c r="K55" s="68" t="str">
        <f t="shared" si="0"/>
        <v/>
      </c>
      <c r="L55" s="53" t="str">
        <f t="shared" si="1"/>
        <v/>
      </c>
      <c r="M55" s="62" t="str">
        <f t="shared" si="2"/>
        <v/>
      </c>
      <c r="N55" s="54" t="str">
        <f>IF(K55="","",IF(K55&gt;=90,IFERROR(VLOOKUP(B55,'👥 بيانات الموظفين'!B:H,7,0),0)*0.15,IF(K55&gt;=75,IFERROR(VLOOKUP(B55,'👥 بيانات الموظفين'!B:H,7,0),0)*0.1,IF(K55&gt;=60,IFERROR(VLOOKUP(B55,'👥 بيانات الموظفين'!B:H,7,0),0)*0.05,0))))</f>
        <v/>
      </c>
      <c r="O55" s="98"/>
    </row>
    <row r="56" spans="1:15" ht="22.15" customHeight="1" x14ac:dyDescent="0.2">
      <c r="A56" s="57" t="str">
        <f>IF(B56&lt;&gt;"",52,"")</f>
        <v/>
      </c>
      <c r="B56" s="57"/>
      <c r="C56" s="57" t="str">
        <f>IFERROR(VLOOKUP(B56,'👥 بيانات الموظفين'!B:C,2,0),"")</f>
        <v/>
      </c>
      <c r="D56" s="57" t="str">
        <f>IFERROR(VLOOKUP(B56,'👥 بيانات الموظفين'!B:E,4,0),"")</f>
        <v/>
      </c>
      <c r="E56" s="69"/>
      <c r="F56" s="69"/>
      <c r="G56" s="69"/>
      <c r="H56" s="69"/>
      <c r="I56" s="69"/>
      <c r="J56" s="69"/>
      <c r="K56" s="69" t="str">
        <f t="shared" si="0"/>
        <v/>
      </c>
      <c r="L56" s="57" t="str">
        <f t="shared" si="1"/>
        <v/>
      </c>
      <c r="M56" s="63" t="str">
        <f t="shared" si="2"/>
        <v/>
      </c>
      <c r="N56" s="58" t="str">
        <f>IF(K56="","",IF(K56&gt;=90,IFERROR(VLOOKUP(B56,'👥 بيانات الموظفين'!B:H,7,0),0)*0.15,IF(K56&gt;=75,IFERROR(VLOOKUP(B56,'👥 بيانات الموظفين'!B:H,7,0),0)*0.1,IF(K56&gt;=60,IFERROR(VLOOKUP(B56,'👥 بيانات الموظفين'!B:H,7,0),0)*0.05,0))))</f>
        <v/>
      </c>
      <c r="O56" s="99"/>
    </row>
    <row r="57" spans="1:15" ht="22.15" customHeight="1" x14ac:dyDescent="0.2">
      <c r="A57" s="53" t="str">
        <f>IF(B57&lt;&gt;"",53,"")</f>
        <v/>
      </c>
      <c r="B57" s="53"/>
      <c r="C57" s="53" t="str">
        <f>IFERROR(VLOOKUP(B57,'👥 بيانات الموظفين'!B:C,2,0),"")</f>
        <v/>
      </c>
      <c r="D57" s="53" t="str">
        <f>IFERROR(VLOOKUP(B57,'👥 بيانات الموظفين'!B:E,4,0),"")</f>
        <v/>
      </c>
      <c r="E57" s="68"/>
      <c r="F57" s="68"/>
      <c r="G57" s="68"/>
      <c r="H57" s="68"/>
      <c r="I57" s="68"/>
      <c r="J57" s="68"/>
      <c r="K57" s="68" t="str">
        <f t="shared" si="0"/>
        <v/>
      </c>
      <c r="L57" s="53" t="str">
        <f t="shared" si="1"/>
        <v/>
      </c>
      <c r="M57" s="62" t="str">
        <f t="shared" si="2"/>
        <v/>
      </c>
      <c r="N57" s="54" t="str">
        <f>IF(K57="","",IF(K57&gt;=90,IFERROR(VLOOKUP(B57,'👥 بيانات الموظفين'!B:H,7,0),0)*0.15,IF(K57&gt;=75,IFERROR(VLOOKUP(B57,'👥 بيانات الموظفين'!B:H,7,0),0)*0.1,IF(K57&gt;=60,IFERROR(VLOOKUP(B57,'👥 بيانات الموظفين'!B:H,7,0),0)*0.05,0))))</f>
        <v/>
      </c>
      <c r="O57" s="98"/>
    </row>
    <row r="58" spans="1:15" ht="22.15" customHeight="1" x14ac:dyDescent="0.2">
      <c r="A58" s="57" t="str">
        <f>IF(B58&lt;&gt;"",54,"")</f>
        <v/>
      </c>
      <c r="B58" s="57"/>
      <c r="C58" s="57" t="str">
        <f>IFERROR(VLOOKUP(B58,'👥 بيانات الموظفين'!B:C,2,0),"")</f>
        <v/>
      </c>
      <c r="D58" s="57" t="str">
        <f>IFERROR(VLOOKUP(B58,'👥 بيانات الموظفين'!B:E,4,0),"")</f>
        <v/>
      </c>
      <c r="E58" s="69"/>
      <c r="F58" s="69"/>
      <c r="G58" s="69"/>
      <c r="H58" s="69"/>
      <c r="I58" s="69"/>
      <c r="J58" s="69"/>
      <c r="K58" s="69" t="str">
        <f t="shared" si="0"/>
        <v/>
      </c>
      <c r="L58" s="57" t="str">
        <f t="shared" si="1"/>
        <v/>
      </c>
      <c r="M58" s="63" t="str">
        <f t="shared" si="2"/>
        <v/>
      </c>
      <c r="N58" s="58" t="str">
        <f>IF(K58="","",IF(K58&gt;=90,IFERROR(VLOOKUP(B58,'👥 بيانات الموظفين'!B:H,7,0),0)*0.15,IF(K58&gt;=75,IFERROR(VLOOKUP(B58,'👥 بيانات الموظفين'!B:H,7,0),0)*0.1,IF(K58&gt;=60,IFERROR(VLOOKUP(B58,'👥 بيانات الموظفين'!B:H,7,0),0)*0.05,0))))</f>
        <v/>
      </c>
      <c r="O58" s="99"/>
    </row>
    <row r="59" spans="1:15" ht="22.15" customHeight="1" x14ac:dyDescent="0.2">
      <c r="A59" s="53" t="str">
        <f>IF(B59&lt;&gt;"",55,"")</f>
        <v/>
      </c>
      <c r="B59" s="53"/>
      <c r="C59" s="53" t="str">
        <f>IFERROR(VLOOKUP(B59,'👥 بيانات الموظفين'!B:C,2,0),"")</f>
        <v/>
      </c>
      <c r="D59" s="53" t="str">
        <f>IFERROR(VLOOKUP(B59,'👥 بيانات الموظفين'!B:E,4,0),"")</f>
        <v/>
      </c>
      <c r="E59" s="68"/>
      <c r="F59" s="68"/>
      <c r="G59" s="68"/>
      <c r="H59" s="68"/>
      <c r="I59" s="68"/>
      <c r="J59" s="68"/>
      <c r="K59" s="68" t="str">
        <f t="shared" si="0"/>
        <v/>
      </c>
      <c r="L59" s="53" t="str">
        <f t="shared" si="1"/>
        <v/>
      </c>
      <c r="M59" s="62" t="str">
        <f t="shared" si="2"/>
        <v/>
      </c>
      <c r="N59" s="54" t="str">
        <f>IF(K59="","",IF(K59&gt;=90,IFERROR(VLOOKUP(B59,'👥 بيانات الموظفين'!B:H,7,0),0)*0.15,IF(K59&gt;=75,IFERROR(VLOOKUP(B59,'👥 بيانات الموظفين'!B:H,7,0),0)*0.1,IF(K59&gt;=60,IFERROR(VLOOKUP(B59,'👥 بيانات الموظفين'!B:H,7,0),0)*0.05,0))))</f>
        <v/>
      </c>
      <c r="O59" s="98"/>
    </row>
    <row r="60" spans="1:15" ht="22.15" customHeight="1" x14ac:dyDescent="0.2">
      <c r="A60" s="57" t="str">
        <f>IF(B60&lt;&gt;"",56,"")</f>
        <v/>
      </c>
      <c r="B60" s="57"/>
      <c r="C60" s="57" t="str">
        <f>IFERROR(VLOOKUP(B60,'👥 بيانات الموظفين'!B:C,2,0),"")</f>
        <v/>
      </c>
      <c r="D60" s="57" t="str">
        <f>IFERROR(VLOOKUP(B60,'👥 بيانات الموظفين'!B:E,4,0),"")</f>
        <v/>
      </c>
      <c r="E60" s="69"/>
      <c r="F60" s="69"/>
      <c r="G60" s="69"/>
      <c r="H60" s="69"/>
      <c r="I60" s="69"/>
      <c r="J60" s="69"/>
      <c r="K60" s="69" t="str">
        <f t="shared" si="0"/>
        <v/>
      </c>
      <c r="L60" s="57" t="str">
        <f t="shared" si="1"/>
        <v/>
      </c>
      <c r="M60" s="63" t="str">
        <f t="shared" si="2"/>
        <v/>
      </c>
      <c r="N60" s="58" t="str">
        <f>IF(K60="","",IF(K60&gt;=90,IFERROR(VLOOKUP(B60,'👥 بيانات الموظفين'!B:H,7,0),0)*0.15,IF(K60&gt;=75,IFERROR(VLOOKUP(B60,'👥 بيانات الموظفين'!B:H,7,0),0)*0.1,IF(K60&gt;=60,IFERROR(VLOOKUP(B60,'👥 بيانات الموظفين'!B:H,7,0),0)*0.05,0))))</f>
        <v/>
      </c>
      <c r="O60" s="99"/>
    </row>
    <row r="61" spans="1:15" ht="22.15" customHeight="1" x14ac:dyDescent="0.2">
      <c r="A61" s="53" t="str">
        <f>IF(B61&lt;&gt;"",57,"")</f>
        <v/>
      </c>
      <c r="B61" s="53"/>
      <c r="C61" s="53" t="str">
        <f>IFERROR(VLOOKUP(B61,'👥 بيانات الموظفين'!B:C,2,0),"")</f>
        <v/>
      </c>
      <c r="D61" s="53" t="str">
        <f>IFERROR(VLOOKUP(B61,'👥 بيانات الموظفين'!B:E,4,0),"")</f>
        <v/>
      </c>
      <c r="E61" s="68"/>
      <c r="F61" s="68"/>
      <c r="G61" s="68"/>
      <c r="H61" s="68"/>
      <c r="I61" s="68"/>
      <c r="J61" s="68"/>
      <c r="K61" s="68" t="str">
        <f t="shared" si="0"/>
        <v/>
      </c>
      <c r="L61" s="53" t="str">
        <f t="shared" si="1"/>
        <v/>
      </c>
      <c r="M61" s="62" t="str">
        <f t="shared" si="2"/>
        <v/>
      </c>
      <c r="N61" s="54" t="str">
        <f>IF(K61="","",IF(K61&gt;=90,IFERROR(VLOOKUP(B61,'👥 بيانات الموظفين'!B:H,7,0),0)*0.15,IF(K61&gt;=75,IFERROR(VLOOKUP(B61,'👥 بيانات الموظفين'!B:H,7,0),0)*0.1,IF(K61&gt;=60,IFERROR(VLOOKUP(B61,'👥 بيانات الموظفين'!B:H,7,0),0)*0.05,0))))</f>
        <v/>
      </c>
      <c r="O61" s="98"/>
    </row>
    <row r="62" spans="1:15" ht="22.15" customHeight="1" x14ac:dyDescent="0.2">
      <c r="A62" s="57" t="str">
        <f>IF(B62&lt;&gt;"",58,"")</f>
        <v/>
      </c>
      <c r="B62" s="57"/>
      <c r="C62" s="57" t="str">
        <f>IFERROR(VLOOKUP(B62,'👥 بيانات الموظفين'!B:C,2,0),"")</f>
        <v/>
      </c>
      <c r="D62" s="57" t="str">
        <f>IFERROR(VLOOKUP(B62,'👥 بيانات الموظفين'!B:E,4,0),"")</f>
        <v/>
      </c>
      <c r="E62" s="69"/>
      <c r="F62" s="69"/>
      <c r="G62" s="69"/>
      <c r="H62" s="69"/>
      <c r="I62" s="69"/>
      <c r="J62" s="69"/>
      <c r="K62" s="69" t="str">
        <f t="shared" si="0"/>
        <v/>
      </c>
      <c r="L62" s="57" t="str">
        <f t="shared" si="1"/>
        <v/>
      </c>
      <c r="M62" s="63" t="str">
        <f t="shared" si="2"/>
        <v/>
      </c>
      <c r="N62" s="58" t="str">
        <f>IF(K62="","",IF(K62&gt;=90,IFERROR(VLOOKUP(B62,'👥 بيانات الموظفين'!B:H,7,0),0)*0.15,IF(K62&gt;=75,IFERROR(VLOOKUP(B62,'👥 بيانات الموظفين'!B:H,7,0),0)*0.1,IF(K62&gt;=60,IFERROR(VLOOKUP(B62,'👥 بيانات الموظفين'!B:H,7,0),0)*0.05,0))))</f>
        <v/>
      </c>
      <c r="O62" s="99"/>
    </row>
    <row r="63" spans="1:15" ht="22.15" customHeight="1" x14ac:dyDescent="0.2">
      <c r="A63" s="53" t="str">
        <f>IF(B63&lt;&gt;"",59,"")</f>
        <v/>
      </c>
      <c r="B63" s="53"/>
      <c r="C63" s="53" t="str">
        <f>IFERROR(VLOOKUP(B63,'👥 بيانات الموظفين'!B:C,2,0),"")</f>
        <v/>
      </c>
      <c r="D63" s="53" t="str">
        <f>IFERROR(VLOOKUP(B63,'👥 بيانات الموظفين'!B:E,4,0),"")</f>
        <v/>
      </c>
      <c r="E63" s="68"/>
      <c r="F63" s="68"/>
      <c r="G63" s="68"/>
      <c r="H63" s="68"/>
      <c r="I63" s="68"/>
      <c r="J63" s="68"/>
      <c r="K63" s="68" t="str">
        <f t="shared" si="0"/>
        <v/>
      </c>
      <c r="L63" s="53" t="str">
        <f t="shared" si="1"/>
        <v/>
      </c>
      <c r="M63" s="62" t="str">
        <f t="shared" si="2"/>
        <v/>
      </c>
      <c r="N63" s="54" t="str">
        <f>IF(K63="","",IF(K63&gt;=90,IFERROR(VLOOKUP(B63,'👥 بيانات الموظفين'!B:H,7,0),0)*0.15,IF(K63&gt;=75,IFERROR(VLOOKUP(B63,'👥 بيانات الموظفين'!B:H,7,0),0)*0.1,IF(K63&gt;=60,IFERROR(VLOOKUP(B63,'👥 بيانات الموظفين'!B:H,7,0),0)*0.05,0))))</f>
        <v/>
      </c>
      <c r="O63" s="98"/>
    </row>
    <row r="64" spans="1:15" ht="22.15" customHeight="1" x14ac:dyDescent="0.2">
      <c r="A64" s="57" t="str">
        <f>IF(B64&lt;&gt;"",60,"")</f>
        <v/>
      </c>
      <c r="B64" s="57"/>
      <c r="C64" s="57" t="str">
        <f>IFERROR(VLOOKUP(B64,'👥 بيانات الموظفين'!B:C,2,0),"")</f>
        <v/>
      </c>
      <c r="D64" s="57" t="str">
        <f>IFERROR(VLOOKUP(B64,'👥 بيانات الموظفين'!B:E,4,0),"")</f>
        <v/>
      </c>
      <c r="E64" s="69"/>
      <c r="F64" s="69"/>
      <c r="G64" s="69"/>
      <c r="H64" s="69"/>
      <c r="I64" s="69"/>
      <c r="J64" s="69"/>
      <c r="K64" s="69" t="str">
        <f t="shared" si="0"/>
        <v/>
      </c>
      <c r="L64" s="57" t="str">
        <f t="shared" si="1"/>
        <v/>
      </c>
      <c r="M64" s="63" t="str">
        <f t="shared" si="2"/>
        <v/>
      </c>
      <c r="N64" s="58" t="str">
        <f>IF(K64="","",IF(K64&gt;=90,IFERROR(VLOOKUP(B64,'👥 بيانات الموظفين'!B:H,7,0),0)*0.15,IF(K64&gt;=75,IFERROR(VLOOKUP(B64,'👥 بيانات الموظفين'!B:H,7,0),0)*0.1,IF(K64&gt;=60,IFERROR(VLOOKUP(B64,'👥 بيانات الموظفين'!B:H,7,0),0)*0.05,0))))</f>
        <v/>
      </c>
      <c r="O64" s="99"/>
    </row>
    <row r="65" spans="1:15" ht="22.15" customHeight="1" x14ac:dyDescent="0.2">
      <c r="A65" s="53" t="str">
        <f>IF(B65&lt;&gt;"",61,"")</f>
        <v/>
      </c>
      <c r="B65" s="53"/>
      <c r="C65" s="53" t="str">
        <f>IFERROR(VLOOKUP(B65,'👥 بيانات الموظفين'!B:C,2,0),"")</f>
        <v/>
      </c>
      <c r="D65" s="53" t="str">
        <f>IFERROR(VLOOKUP(B65,'👥 بيانات الموظفين'!B:E,4,0),"")</f>
        <v/>
      </c>
      <c r="E65" s="68"/>
      <c r="F65" s="68"/>
      <c r="G65" s="68"/>
      <c r="H65" s="68"/>
      <c r="I65" s="68"/>
      <c r="J65" s="68"/>
      <c r="K65" s="68" t="str">
        <f t="shared" si="0"/>
        <v/>
      </c>
      <c r="L65" s="53" t="str">
        <f t="shared" si="1"/>
        <v/>
      </c>
      <c r="M65" s="62" t="str">
        <f t="shared" si="2"/>
        <v/>
      </c>
      <c r="N65" s="54" t="str">
        <f>IF(K65="","",IF(K65&gt;=90,IFERROR(VLOOKUP(B65,'👥 بيانات الموظفين'!B:H,7,0),0)*0.15,IF(K65&gt;=75,IFERROR(VLOOKUP(B65,'👥 بيانات الموظفين'!B:H,7,0),0)*0.1,IF(K65&gt;=60,IFERROR(VLOOKUP(B65,'👥 بيانات الموظفين'!B:H,7,0),0)*0.05,0))))</f>
        <v/>
      </c>
      <c r="O65" s="98"/>
    </row>
    <row r="66" spans="1:15" ht="22.15" customHeight="1" x14ac:dyDescent="0.2">
      <c r="A66" s="57" t="str">
        <f>IF(B66&lt;&gt;"",62,"")</f>
        <v/>
      </c>
      <c r="B66" s="57"/>
      <c r="C66" s="57" t="str">
        <f>IFERROR(VLOOKUP(B66,'👥 بيانات الموظفين'!B:C,2,0),"")</f>
        <v/>
      </c>
      <c r="D66" s="57" t="str">
        <f>IFERROR(VLOOKUP(B66,'👥 بيانات الموظفين'!B:E,4,0),"")</f>
        <v/>
      </c>
      <c r="E66" s="69"/>
      <c r="F66" s="69"/>
      <c r="G66" s="69"/>
      <c r="H66" s="69"/>
      <c r="I66" s="69"/>
      <c r="J66" s="69"/>
      <c r="K66" s="69" t="str">
        <f t="shared" si="0"/>
        <v/>
      </c>
      <c r="L66" s="57" t="str">
        <f t="shared" si="1"/>
        <v/>
      </c>
      <c r="M66" s="63" t="str">
        <f t="shared" si="2"/>
        <v/>
      </c>
      <c r="N66" s="58" t="str">
        <f>IF(K66="","",IF(K66&gt;=90,IFERROR(VLOOKUP(B66,'👥 بيانات الموظفين'!B:H,7,0),0)*0.15,IF(K66&gt;=75,IFERROR(VLOOKUP(B66,'👥 بيانات الموظفين'!B:H,7,0),0)*0.1,IF(K66&gt;=60,IFERROR(VLOOKUP(B66,'👥 بيانات الموظفين'!B:H,7,0),0)*0.05,0))))</f>
        <v/>
      </c>
      <c r="O66" s="99"/>
    </row>
    <row r="67" spans="1:15" ht="22.15" customHeight="1" x14ac:dyDescent="0.2">
      <c r="A67" s="53" t="str">
        <f>IF(B67&lt;&gt;"",63,"")</f>
        <v/>
      </c>
      <c r="B67" s="53"/>
      <c r="C67" s="53" t="str">
        <f>IFERROR(VLOOKUP(B67,'👥 بيانات الموظفين'!B:C,2,0),"")</f>
        <v/>
      </c>
      <c r="D67" s="53" t="str">
        <f>IFERROR(VLOOKUP(B67,'👥 بيانات الموظفين'!B:E,4,0),"")</f>
        <v/>
      </c>
      <c r="E67" s="68"/>
      <c r="F67" s="68"/>
      <c r="G67" s="68"/>
      <c r="H67" s="68"/>
      <c r="I67" s="68"/>
      <c r="J67" s="68"/>
      <c r="K67" s="68" t="str">
        <f t="shared" si="0"/>
        <v/>
      </c>
      <c r="L67" s="53" t="str">
        <f t="shared" si="1"/>
        <v/>
      </c>
      <c r="M67" s="62" t="str">
        <f t="shared" si="2"/>
        <v/>
      </c>
      <c r="N67" s="54" t="str">
        <f>IF(K67="","",IF(K67&gt;=90,IFERROR(VLOOKUP(B67,'👥 بيانات الموظفين'!B:H,7,0),0)*0.15,IF(K67&gt;=75,IFERROR(VLOOKUP(B67,'👥 بيانات الموظفين'!B:H,7,0),0)*0.1,IF(K67&gt;=60,IFERROR(VLOOKUP(B67,'👥 بيانات الموظفين'!B:H,7,0),0)*0.05,0))))</f>
        <v/>
      </c>
      <c r="O67" s="98"/>
    </row>
    <row r="68" spans="1:15" ht="22.15" customHeight="1" x14ac:dyDescent="0.2">
      <c r="A68" s="57" t="str">
        <f>IF(B68&lt;&gt;"",64,"")</f>
        <v/>
      </c>
      <c r="B68" s="57"/>
      <c r="C68" s="57" t="str">
        <f>IFERROR(VLOOKUP(B68,'👥 بيانات الموظفين'!B:C,2,0),"")</f>
        <v/>
      </c>
      <c r="D68" s="57" t="str">
        <f>IFERROR(VLOOKUP(B68,'👥 بيانات الموظفين'!B:E,4,0),"")</f>
        <v/>
      </c>
      <c r="E68" s="69"/>
      <c r="F68" s="69"/>
      <c r="G68" s="69"/>
      <c r="H68" s="69"/>
      <c r="I68" s="69"/>
      <c r="J68" s="69"/>
      <c r="K68" s="69" t="str">
        <f t="shared" si="0"/>
        <v/>
      </c>
      <c r="L68" s="57" t="str">
        <f t="shared" si="1"/>
        <v/>
      </c>
      <c r="M68" s="63" t="str">
        <f t="shared" si="2"/>
        <v/>
      </c>
      <c r="N68" s="58" t="str">
        <f>IF(K68="","",IF(K68&gt;=90,IFERROR(VLOOKUP(B68,'👥 بيانات الموظفين'!B:H,7,0),0)*0.15,IF(K68&gt;=75,IFERROR(VLOOKUP(B68,'👥 بيانات الموظفين'!B:H,7,0),0)*0.1,IF(K68&gt;=60,IFERROR(VLOOKUP(B68,'👥 بيانات الموظفين'!B:H,7,0),0)*0.05,0))))</f>
        <v/>
      </c>
      <c r="O68" s="99"/>
    </row>
    <row r="69" spans="1:15" ht="22.15" customHeight="1" x14ac:dyDescent="0.2">
      <c r="A69" s="53" t="str">
        <f>IF(B69&lt;&gt;"",65,"")</f>
        <v/>
      </c>
      <c r="B69" s="53"/>
      <c r="C69" s="53" t="str">
        <f>IFERROR(VLOOKUP(B69,'👥 بيانات الموظفين'!B:C,2,0),"")</f>
        <v/>
      </c>
      <c r="D69" s="53" t="str">
        <f>IFERROR(VLOOKUP(B69,'👥 بيانات الموظفين'!B:E,4,0),"")</f>
        <v/>
      </c>
      <c r="E69" s="68"/>
      <c r="F69" s="68"/>
      <c r="G69" s="68"/>
      <c r="H69" s="68"/>
      <c r="I69" s="68"/>
      <c r="J69" s="68"/>
      <c r="K69" s="68" t="str">
        <f t="shared" ref="K69:K132" si="3">IF(B69&lt;&gt;"",IF(AND(F69&lt;&gt;"",G69&lt;&gt;"",H69&lt;&gt;"",I69&lt;&gt;"",J69&lt;&gt;""),SUM(F69:J69),""),"")</f>
        <v/>
      </c>
      <c r="L69" s="53" t="str">
        <f t="shared" ref="L69:L132" si="4">IF(K69="","",IF(K69&gt;=90,"ممتاز",IF(K69&gt;=75,"جيد جداً",IF(K69&gt;=60,"جيد",IF(K69&gt;=50,"مقبول","ضعيف")))))</f>
        <v/>
      </c>
      <c r="M69" s="62" t="str">
        <f t="shared" ref="M69:M132" si="5">IF(K69="","",IF(K69&gt;=90,"A",IF(K69&gt;=75,"B",IF(K69&gt;=60,"C",IF(K69&gt;=50,"D","F")))))</f>
        <v/>
      </c>
      <c r="N69" s="54" t="str">
        <f>IF(K69="","",IF(K69&gt;=90,IFERROR(VLOOKUP(B69,'👥 بيانات الموظفين'!B:H,7,0),0)*0.15,IF(K69&gt;=75,IFERROR(VLOOKUP(B69,'👥 بيانات الموظفين'!B:H,7,0),0)*0.1,IF(K69&gt;=60,IFERROR(VLOOKUP(B69,'👥 بيانات الموظفين'!B:H,7,0),0)*0.05,0))))</f>
        <v/>
      </c>
      <c r="O69" s="98"/>
    </row>
    <row r="70" spans="1:15" ht="22.15" customHeight="1" x14ac:dyDescent="0.2">
      <c r="A70" s="57" t="str">
        <f>IF(B70&lt;&gt;"",66,"")</f>
        <v/>
      </c>
      <c r="B70" s="57"/>
      <c r="C70" s="57" t="str">
        <f>IFERROR(VLOOKUP(B70,'👥 بيانات الموظفين'!B:C,2,0),"")</f>
        <v/>
      </c>
      <c r="D70" s="57" t="str">
        <f>IFERROR(VLOOKUP(B70,'👥 بيانات الموظفين'!B:E,4,0),"")</f>
        <v/>
      </c>
      <c r="E70" s="69"/>
      <c r="F70" s="69"/>
      <c r="G70" s="69"/>
      <c r="H70" s="69"/>
      <c r="I70" s="69"/>
      <c r="J70" s="69"/>
      <c r="K70" s="69" t="str">
        <f t="shared" si="3"/>
        <v/>
      </c>
      <c r="L70" s="57" t="str">
        <f t="shared" si="4"/>
        <v/>
      </c>
      <c r="M70" s="63" t="str">
        <f t="shared" si="5"/>
        <v/>
      </c>
      <c r="N70" s="58" t="str">
        <f>IF(K70="","",IF(K70&gt;=90,IFERROR(VLOOKUP(B70,'👥 بيانات الموظفين'!B:H,7,0),0)*0.15,IF(K70&gt;=75,IFERROR(VLOOKUP(B70,'👥 بيانات الموظفين'!B:H,7,0),0)*0.1,IF(K70&gt;=60,IFERROR(VLOOKUP(B70,'👥 بيانات الموظفين'!B:H,7,0),0)*0.05,0))))</f>
        <v/>
      </c>
      <c r="O70" s="99"/>
    </row>
    <row r="71" spans="1:15" ht="22.15" customHeight="1" x14ac:dyDescent="0.2">
      <c r="A71" s="53" t="str">
        <f>IF(B71&lt;&gt;"",67,"")</f>
        <v/>
      </c>
      <c r="B71" s="53"/>
      <c r="C71" s="53" t="str">
        <f>IFERROR(VLOOKUP(B71,'👥 بيانات الموظفين'!B:C,2,0),"")</f>
        <v/>
      </c>
      <c r="D71" s="53" t="str">
        <f>IFERROR(VLOOKUP(B71,'👥 بيانات الموظفين'!B:E,4,0),"")</f>
        <v/>
      </c>
      <c r="E71" s="68"/>
      <c r="F71" s="68"/>
      <c r="G71" s="68"/>
      <c r="H71" s="68"/>
      <c r="I71" s="68"/>
      <c r="J71" s="68"/>
      <c r="K71" s="68" t="str">
        <f t="shared" si="3"/>
        <v/>
      </c>
      <c r="L71" s="53" t="str">
        <f t="shared" si="4"/>
        <v/>
      </c>
      <c r="M71" s="62" t="str">
        <f t="shared" si="5"/>
        <v/>
      </c>
      <c r="N71" s="54" t="str">
        <f>IF(K71="","",IF(K71&gt;=90,IFERROR(VLOOKUP(B71,'👥 بيانات الموظفين'!B:H,7,0),0)*0.15,IF(K71&gt;=75,IFERROR(VLOOKUP(B71,'👥 بيانات الموظفين'!B:H,7,0),0)*0.1,IF(K71&gt;=60,IFERROR(VLOOKUP(B71,'👥 بيانات الموظفين'!B:H,7,0),0)*0.05,0))))</f>
        <v/>
      </c>
      <c r="O71" s="98"/>
    </row>
    <row r="72" spans="1:15" ht="22.15" customHeight="1" x14ac:dyDescent="0.2">
      <c r="A72" s="57" t="str">
        <f>IF(B72&lt;&gt;"",68,"")</f>
        <v/>
      </c>
      <c r="B72" s="57"/>
      <c r="C72" s="57" t="str">
        <f>IFERROR(VLOOKUP(B72,'👥 بيانات الموظفين'!B:C,2,0),"")</f>
        <v/>
      </c>
      <c r="D72" s="57" t="str">
        <f>IFERROR(VLOOKUP(B72,'👥 بيانات الموظفين'!B:E,4,0),"")</f>
        <v/>
      </c>
      <c r="E72" s="69"/>
      <c r="F72" s="69"/>
      <c r="G72" s="69"/>
      <c r="H72" s="69"/>
      <c r="I72" s="69"/>
      <c r="J72" s="69"/>
      <c r="K72" s="69" t="str">
        <f t="shared" si="3"/>
        <v/>
      </c>
      <c r="L72" s="57" t="str">
        <f t="shared" si="4"/>
        <v/>
      </c>
      <c r="M72" s="63" t="str">
        <f t="shared" si="5"/>
        <v/>
      </c>
      <c r="N72" s="58" t="str">
        <f>IF(K72="","",IF(K72&gt;=90,IFERROR(VLOOKUP(B72,'👥 بيانات الموظفين'!B:H,7,0),0)*0.15,IF(K72&gt;=75,IFERROR(VLOOKUP(B72,'👥 بيانات الموظفين'!B:H,7,0),0)*0.1,IF(K72&gt;=60,IFERROR(VLOOKUP(B72,'👥 بيانات الموظفين'!B:H,7,0),0)*0.05,0))))</f>
        <v/>
      </c>
      <c r="O72" s="99"/>
    </row>
    <row r="73" spans="1:15" ht="22.15" customHeight="1" x14ac:dyDescent="0.2">
      <c r="A73" s="53" t="str">
        <f>IF(B73&lt;&gt;"",69,"")</f>
        <v/>
      </c>
      <c r="B73" s="53"/>
      <c r="C73" s="53" t="str">
        <f>IFERROR(VLOOKUP(B73,'👥 بيانات الموظفين'!B:C,2,0),"")</f>
        <v/>
      </c>
      <c r="D73" s="53" t="str">
        <f>IFERROR(VLOOKUP(B73,'👥 بيانات الموظفين'!B:E,4,0),"")</f>
        <v/>
      </c>
      <c r="E73" s="68"/>
      <c r="F73" s="68"/>
      <c r="G73" s="68"/>
      <c r="H73" s="68"/>
      <c r="I73" s="68"/>
      <c r="J73" s="68"/>
      <c r="K73" s="68" t="str">
        <f t="shared" si="3"/>
        <v/>
      </c>
      <c r="L73" s="53" t="str">
        <f t="shared" si="4"/>
        <v/>
      </c>
      <c r="M73" s="62" t="str">
        <f t="shared" si="5"/>
        <v/>
      </c>
      <c r="N73" s="54" t="str">
        <f>IF(K73="","",IF(K73&gt;=90,IFERROR(VLOOKUP(B73,'👥 بيانات الموظفين'!B:H,7,0),0)*0.15,IF(K73&gt;=75,IFERROR(VLOOKUP(B73,'👥 بيانات الموظفين'!B:H,7,0),0)*0.1,IF(K73&gt;=60,IFERROR(VLOOKUP(B73,'👥 بيانات الموظفين'!B:H,7,0),0)*0.05,0))))</f>
        <v/>
      </c>
      <c r="O73" s="98"/>
    </row>
    <row r="74" spans="1:15" ht="22.15" customHeight="1" x14ac:dyDescent="0.2">
      <c r="A74" s="57" t="str">
        <f>IF(B74&lt;&gt;"",70,"")</f>
        <v/>
      </c>
      <c r="B74" s="57"/>
      <c r="C74" s="57" t="str">
        <f>IFERROR(VLOOKUP(B74,'👥 بيانات الموظفين'!B:C,2,0),"")</f>
        <v/>
      </c>
      <c r="D74" s="57" t="str">
        <f>IFERROR(VLOOKUP(B74,'👥 بيانات الموظفين'!B:E,4,0),"")</f>
        <v/>
      </c>
      <c r="E74" s="69"/>
      <c r="F74" s="69"/>
      <c r="G74" s="69"/>
      <c r="H74" s="69"/>
      <c r="I74" s="69"/>
      <c r="J74" s="69"/>
      <c r="K74" s="69" t="str">
        <f t="shared" si="3"/>
        <v/>
      </c>
      <c r="L74" s="57" t="str">
        <f t="shared" si="4"/>
        <v/>
      </c>
      <c r="M74" s="63" t="str">
        <f t="shared" si="5"/>
        <v/>
      </c>
      <c r="N74" s="58" t="str">
        <f>IF(K74="","",IF(K74&gt;=90,IFERROR(VLOOKUP(B74,'👥 بيانات الموظفين'!B:H,7,0),0)*0.15,IF(K74&gt;=75,IFERROR(VLOOKUP(B74,'👥 بيانات الموظفين'!B:H,7,0),0)*0.1,IF(K74&gt;=60,IFERROR(VLOOKUP(B74,'👥 بيانات الموظفين'!B:H,7,0),0)*0.05,0))))</f>
        <v/>
      </c>
      <c r="O74" s="99"/>
    </row>
    <row r="75" spans="1:15" ht="22.15" customHeight="1" x14ac:dyDescent="0.2">
      <c r="A75" s="53" t="str">
        <f>IF(B75&lt;&gt;"",71,"")</f>
        <v/>
      </c>
      <c r="B75" s="53"/>
      <c r="C75" s="53" t="str">
        <f>IFERROR(VLOOKUP(B75,'👥 بيانات الموظفين'!B:C,2,0),"")</f>
        <v/>
      </c>
      <c r="D75" s="53" t="str">
        <f>IFERROR(VLOOKUP(B75,'👥 بيانات الموظفين'!B:E,4,0),"")</f>
        <v/>
      </c>
      <c r="E75" s="68"/>
      <c r="F75" s="68"/>
      <c r="G75" s="68"/>
      <c r="H75" s="68"/>
      <c r="I75" s="68"/>
      <c r="J75" s="68"/>
      <c r="K75" s="68" t="str">
        <f t="shared" si="3"/>
        <v/>
      </c>
      <c r="L75" s="53" t="str">
        <f t="shared" si="4"/>
        <v/>
      </c>
      <c r="M75" s="62" t="str">
        <f t="shared" si="5"/>
        <v/>
      </c>
      <c r="N75" s="54" t="str">
        <f>IF(K75="","",IF(K75&gt;=90,IFERROR(VLOOKUP(B75,'👥 بيانات الموظفين'!B:H,7,0),0)*0.15,IF(K75&gt;=75,IFERROR(VLOOKUP(B75,'👥 بيانات الموظفين'!B:H,7,0),0)*0.1,IF(K75&gt;=60,IFERROR(VLOOKUP(B75,'👥 بيانات الموظفين'!B:H,7,0),0)*0.05,0))))</f>
        <v/>
      </c>
      <c r="O75" s="98"/>
    </row>
    <row r="76" spans="1:15" ht="22.15" customHeight="1" x14ac:dyDescent="0.2">
      <c r="A76" s="57" t="str">
        <f>IF(B76&lt;&gt;"",72,"")</f>
        <v/>
      </c>
      <c r="B76" s="57"/>
      <c r="C76" s="57" t="str">
        <f>IFERROR(VLOOKUP(B76,'👥 بيانات الموظفين'!B:C,2,0),"")</f>
        <v/>
      </c>
      <c r="D76" s="57" t="str">
        <f>IFERROR(VLOOKUP(B76,'👥 بيانات الموظفين'!B:E,4,0),"")</f>
        <v/>
      </c>
      <c r="E76" s="69"/>
      <c r="F76" s="69"/>
      <c r="G76" s="69"/>
      <c r="H76" s="69"/>
      <c r="I76" s="69"/>
      <c r="J76" s="69"/>
      <c r="K76" s="69" t="str">
        <f t="shared" si="3"/>
        <v/>
      </c>
      <c r="L76" s="57" t="str">
        <f t="shared" si="4"/>
        <v/>
      </c>
      <c r="M76" s="63" t="str">
        <f t="shared" si="5"/>
        <v/>
      </c>
      <c r="N76" s="58" t="str">
        <f>IF(K76="","",IF(K76&gt;=90,IFERROR(VLOOKUP(B76,'👥 بيانات الموظفين'!B:H,7,0),0)*0.15,IF(K76&gt;=75,IFERROR(VLOOKUP(B76,'👥 بيانات الموظفين'!B:H,7,0),0)*0.1,IF(K76&gt;=60,IFERROR(VLOOKUP(B76,'👥 بيانات الموظفين'!B:H,7,0),0)*0.05,0))))</f>
        <v/>
      </c>
      <c r="O76" s="99"/>
    </row>
    <row r="77" spans="1:15" ht="22.15" customHeight="1" x14ac:dyDescent="0.2">
      <c r="A77" s="53" t="str">
        <f>IF(B77&lt;&gt;"",73,"")</f>
        <v/>
      </c>
      <c r="B77" s="53"/>
      <c r="C77" s="53" t="str">
        <f>IFERROR(VLOOKUP(B77,'👥 بيانات الموظفين'!B:C,2,0),"")</f>
        <v/>
      </c>
      <c r="D77" s="53" t="str">
        <f>IFERROR(VLOOKUP(B77,'👥 بيانات الموظفين'!B:E,4,0),"")</f>
        <v/>
      </c>
      <c r="E77" s="68"/>
      <c r="F77" s="68"/>
      <c r="G77" s="68"/>
      <c r="H77" s="68"/>
      <c r="I77" s="68"/>
      <c r="J77" s="68"/>
      <c r="K77" s="68" t="str">
        <f t="shared" si="3"/>
        <v/>
      </c>
      <c r="L77" s="53" t="str">
        <f t="shared" si="4"/>
        <v/>
      </c>
      <c r="M77" s="62" t="str">
        <f t="shared" si="5"/>
        <v/>
      </c>
      <c r="N77" s="54" t="str">
        <f>IF(K77="","",IF(K77&gt;=90,IFERROR(VLOOKUP(B77,'👥 بيانات الموظفين'!B:H,7,0),0)*0.15,IF(K77&gt;=75,IFERROR(VLOOKUP(B77,'👥 بيانات الموظفين'!B:H,7,0),0)*0.1,IF(K77&gt;=60,IFERROR(VLOOKUP(B77,'👥 بيانات الموظفين'!B:H,7,0),0)*0.05,0))))</f>
        <v/>
      </c>
      <c r="O77" s="98"/>
    </row>
    <row r="78" spans="1:15" ht="22.15" customHeight="1" x14ac:dyDescent="0.2">
      <c r="A78" s="57" t="str">
        <f>IF(B78&lt;&gt;"",74,"")</f>
        <v/>
      </c>
      <c r="B78" s="57"/>
      <c r="C78" s="57" t="str">
        <f>IFERROR(VLOOKUP(B78,'👥 بيانات الموظفين'!B:C,2,0),"")</f>
        <v/>
      </c>
      <c r="D78" s="57" t="str">
        <f>IFERROR(VLOOKUP(B78,'👥 بيانات الموظفين'!B:E,4,0),"")</f>
        <v/>
      </c>
      <c r="E78" s="69"/>
      <c r="F78" s="69"/>
      <c r="G78" s="69"/>
      <c r="H78" s="69"/>
      <c r="I78" s="69"/>
      <c r="J78" s="69"/>
      <c r="K78" s="69" t="str">
        <f t="shared" si="3"/>
        <v/>
      </c>
      <c r="L78" s="57" t="str">
        <f t="shared" si="4"/>
        <v/>
      </c>
      <c r="M78" s="63" t="str">
        <f t="shared" si="5"/>
        <v/>
      </c>
      <c r="N78" s="58" t="str">
        <f>IF(K78="","",IF(K78&gt;=90,IFERROR(VLOOKUP(B78,'👥 بيانات الموظفين'!B:H,7,0),0)*0.15,IF(K78&gt;=75,IFERROR(VLOOKUP(B78,'👥 بيانات الموظفين'!B:H,7,0),0)*0.1,IF(K78&gt;=60,IFERROR(VLOOKUP(B78,'👥 بيانات الموظفين'!B:H,7,0),0)*0.05,0))))</f>
        <v/>
      </c>
      <c r="O78" s="99"/>
    </row>
    <row r="79" spans="1:15" ht="22.15" customHeight="1" x14ac:dyDescent="0.2">
      <c r="A79" s="53" t="str">
        <f>IF(B79&lt;&gt;"",75,"")</f>
        <v/>
      </c>
      <c r="B79" s="53"/>
      <c r="C79" s="53" t="str">
        <f>IFERROR(VLOOKUP(B79,'👥 بيانات الموظفين'!B:C,2,0),"")</f>
        <v/>
      </c>
      <c r="D79" s="53" t="str">
        <f>IFERROR(VLOOKUP(B79,'👥 بيانات الموظفين'!B:E,4,0),"")</f>
        <v/>
      </c>
      <c r="E79" s="68"/>
      <c r="F79" s="68"/>
      <c r="G79" s="68"/>
      <c r="H79" s="68"/>
      <c r="I79" s="68"/>
      <c r="J79" s="68"/>
      <c r="K79" s="68" t="str">
        <f t="shared" si="3"/>
        <v/>
      </c>
      <c r="L79" s="53" t="str">
        <f t="shared" si="4"/>
        <v/>
      </c>
      <c r="M79" s="62" t="str">
        <f t="shared" si="5"/>
        <v/>
      </c>
      <c r="N79" s="54" t="str">
        <f>IF(K79="","",IF(K79&gt;=90,IFERROR(VLOOKUP(B79,'👥 بيانات الموظفين'!B:H,7,0),0)*0.15,IF(K79&gt;=75,IFERROR(VLOOKUP(B79,'👥 بيانات الموظفين'!B:H,7,0),0)*0.1,IF(K79&gt;=60,IFERROR(VLOOKUP(B79,'👥 بيانات الموظفين'!B:H,7,0),0)*0.05,0))))</f>
        <v/>
      </c>
      <c r="O79" s="98"/>
    </row>
    <row r="80" spans="1:15" ht="22.15" customHeight="1" x14ac:dyDescent="0.2">
      <c r="A80" s="57" t="str">
        <f>IF(B80&lt;&gt;"",76,"")</f>
        <v/>
      </c>
      <c r="B80" s="57"/>
      <c r="C80" s="57" t="str">
        <f>IFERROR(VLOOKUP(B80,'👥 بيانات الموظفين'!B:C,2,0),"")</f>
        <v/>
      </c>
      <c r="D80" s="57" t="str">
        <f>IFERROR(VLOOKUP(B80,'👥 بيانات الموظفين'!B:E,4,0),"")</f>
        <v/>
      </c>
      <c r="E80" s="69"/>
      <c r="F80" s="69"/>
      <c r="G80" s="69"/>
      <c r="H80" s="69"/>
      <c r="I80" s="69"/>
      <c r="J80" s="69"/>
      <c r="K80" s="69" t="str">
        <f t="shared" si="3"/>
        <v/>
      </c>
      <c r="L80" s="57" t="str">
        <f t="shared" si="4"/>
        <v/>
      </c>
      <c r="M80" s="63" t="str">
        <f t="shared" si="5"/>
        <v/>
      </c>
      <c r="N80" s="58" t="str">
        <f>IF(K80="","",IF(K80&gt;=90,IFERROR(VLOOKUP(B80,'👥 بيانات الموظفين'!B:H,7,0),0)*0.15,IF(K80&gt;=75,IFERROR(VLOOKUP(B80,'👥 بيانات الموظفين'!B:H,7,0),0)*0.1,IF(K80&gt;=60,IFERROR(VLOOKUP(B80,'👥 بيانات الموظفين'!B:H,7,0),0)*0.05,0))))</f>
        <v/>
      </c>
      <c r="O80" s="99"/>
    </row>
    <row r="81" spans="1:15" ht="22.15" customHeight="1" x14ac:dyDescent="0.2">
      <c r="A81" s="53" t="str">
        <f>IF(B81&lt;&gt;"",77,"")</f>
        <v/>
      </c>
      <c r="B81" s="53"/>
      <c r="C81" s="53" t="str">
        <f>IFERROR(VLOOKUP(B81,'👥 بيانات الموظفين'!B:C,2,0),"")</f>
        <v/>
      </c>
      <c r="D81" s="53" t="str">
        <f>IFERROR(VLOOKUP(B81,'👥 بيانات الموظفين'!B:E,4,0),"")</f>
        <v/>
      </c>
      <c r="E81" s="68"/>
      <c r="F81" s="68"/>
      <c r="G81" s="68"/>
      <c r="H81" s="68"/>
      <c r="I81" s="68"/>
      <c r="J81" s="68"/>
      <c r="K81" s="68" t="str">
        <f t="shared" si="3"/>
        <v/>
      </c>
      <c r="L81" s="53" t="str">
        <f t="shared" si="4"/>
        <v/>
      </c>
      <c r="M81" s="62" t="str">
        <f t="shared" si="5"/>
        <v/>
      </c>
      <c r="N81" s="54" t="str">
        <f>IF(K81="","",IF(K81&gt;=90,IFERROR(VLOOKUP(B81,'👥 بيانات الموظفين'!B:H,7,0),0)*0.15,IF(K81&gt;=75,IFERROR(VLOOKUP(B81,'👥 بيانات الموظفين'!B:H,7,0),0)*0.1,IF(K81&gt;=60,IFERROR(VLOOKUP(B81,'👥 بيانات الموظفين'!B:H,7,0),0)*0.05,0))))</f>
        <v/>
      </c>
      <c r="O81" s="98"/>
    </row>
    <row r="82" spans="1:15" ht="22.15" customHeight="1" x14ac:dyDescent="0.2">
      <c r="A82" s="57" t="str">
        <f>IF(B82&lt;&gt;"",78,"")</f>
        <v/>
      </c>
      <c r="B82" s="57"/>
      <c r="C82" s="57" t="str">
        <f>IFERROR(VLOOKUP(B82,'👥 بيانات الموظفين'!B:C,2,0),"")</f>
        <v/>
      </c>
      <c r="D82" s="57" t="str">
        <f>IFERROR(VLOOKUP(B82,'👥 بيانات الموظفين'!B:E,4,0),"")</f>
        <v/>
      </c>
      <c r="E82" s="69"/>
      <c r="F82" s="69"/>
      <c r="G82" s="69"/>
      <c r="H82" s="69"/>
      <c r="I82" s="69"/>
      <c r="J82" s="69"/>
      <c r="K82" s="69" t="str">
        <f t="shared" si="3"/>
        <v/>
      </c>
      <c r="L82" s="57" t="str">
        <f t="shared" si="4"/>
        <v/>
      </c>
      <c r="M82" s="63" t="str">
        <f t="shared" si="5"/>
        <v/>
      </c>
      <c r="N82" s="58" t="str">
        <f>IF(K82="","",IF(K82&gt;=90,IFERROR(VLOOKUP(B82,'👥 بيانات الموظفين'!B:H,7,0),0)*0.15,IF(K82&gt;=75,IFERROR(VLOOKUP(B82,'👥 بيانات الموظفين'!B:H,7,0),0)*0.1,IF(K82&gt;=60,IFERROR(VLOOKUP(B82,'👥 بيانات الموظفين'!B:H,7,0),0)*0.05,0))))</f>
        <v/>
      </c>
      <c r="O82" s="99"/>
    </row>
    <row r="83" spans="1:15" ht="22.15" customHeight="1" x14ac:dyDescent="0.2">
      <c r="A83" s="53" t="str">
        <f>IF(B83&lt;&gt;"",79,"")</f>
        <v/>
      </c>
      <c r="B83" s="53"/>
      <c r="C83" s="53" t="str">
        <f>IFERROR(VLOOKUP(B83,'👥 بيانات الموظفين'!B:C,2,0),"")</f>
        <v/>
      </c>
      <c r="D83" s="53" t="str">
        <f>IFERROR(VLOOKUP(B83,'👥 بيانات الموظفين'!B:E,4,0),"")</f>
        <v/>
      </c>
      <c r="E83" s="68"/>
      <c r="F83" s="68"/>
      <c r="G83" s="68"/>
      <c r="H83" s="68"/>
      <c r="I83" s="68"/>
      <c r="J83" s="68"/>
      <c r="K83" s="68" t="str">
        <f t="shared" si="3"/>
        <v/>
      </c>
      <c r="L83" s="53" t="str">
        <f t="shared" si="4"/>
        <v/>
      </c>
      <c r="M83" s="62" t="str">
        <f t="shared" si="5"/>
        <v/>
      </c>
      <c r="N83" s="54" t="str">
        <f>IF(K83="","",IF(K83&gt;=90,IFERROR(VLOOKUP(B83,'👥 بيانات الموظفين'!B:H,7,0),0)*0.15,IF(K83&gt;=75,IFERROR(VLOOKUP(B83,'👥 بيانات الموظفين'!B:H,7,0),0)*0.1,IF(K83&gt;=60,IFERROR(VLOOKUP(B83,'👥 بيانات الموظفين'!B:H,7,0),0)*0.05,0))))</f>
        <v/>
      </c>
      <c r="O83" s="98"/>
    </row>
    <row r="84" spans="1:15" ht="22.15" customHeight="1" x14ac:dyDescent="0.2">
      <c r="A84" s="57" t="str">
        <f>IF(B84&lt;&gt;"",80,"")</f>
        <v/>
      </c>
      <c r="B84" s="57"/>
      <c r="C84" s="57" t="str">
        <f>IFERROR(VLOOKUP(B84,'👥 بيانات الموظفين'!B:C,2,0),"")</f>
        <v/>
      </c>
      <c r="D84" s="57" t="str">
        <f>IFERROR(VLOOKUP(B84,'👥 بيانات الموظفين'!B:E,4,0),"")</f>
        <v/>
      </c>
      <c r="E84" s="69"/>
      <c r="F84" s="69"/>
      <c r="G84" s="69"/>
      <c r="H84" s="69"/>
      <c r="I84" s="69"/>
      <c r="J84" s="69"/>
      <c r="K84" s="69" t="str">
        <f t="shared" si="3"/>
        <v/>
      </c>
      <c r="L84" s="57" t="str">
        <f t="shared" si="4"/>
        <v/>
      </c>
      <c r="M84" s="63" t="str">
        <f t="shared" si="5"/>
        <v/>
      </c>
      <c r="N84" s="58" t="str">
        <f>IF(K84="","",IF(K84&gt;=90,IFERROR(VLOOKUP(B84,'👥 بيانات الموظفين'!B:H,7,0),0)*0.15,IF(K84&gt;=75,IFERROR(VLOOKUP(B84,'👥 بيانات الموظفين'!B:H,7,0),0)*0.1,IF(K84&gt;=60,IFERROR(VLOOKUP(B84,'👥 بيانات الموظفين'!B:H,7,0),0)*0.05,0))))</f>
        <v/>
      </c>
      <c r="O84" s="99"/>
    </row>
    <row r="85" spans="1:15" ht="22.15" customHeight="1" x14ac:dyDescent="0.2">
      <c r="A85" s="53" t="str">
        <f>IF(B85&lt;&gt;"",81,"")</f>
        <v/>
      </c>
      <c r="B85" s="53"/>
      <c r="C85" s="53" t="str">
        <f>IFERROR(VLOOKUP(B85,'👥 بيانات الموظفين'!B:C,2,0),"")</f>
        <v/>
      </c>
      <c r="D85" s="53" t="str">
        <f>IFERROR(VLOOKUP(B85,'👥 بيانات الموظفين'!B:E,4,0),"")</f>
        <v/>
      </c>
      <c r="E85" s="68"/>
      <c r="F85" s="68"/>
      <c r="G85" s="68"/>
      <c r="H85" s="68"/>
      <c r="I85" s="68"/>
      <c r="J85" s="68"/>
      <c r="K85" s="68" t="str">
        <f t="shared" si="3"/>
        <v/>
      </c>
      <c r="L85" s="53" t="str">
        <f t="shared" si="4"/>
        <v/>
      </c>
      <c r="M85" s="62" t="str">
        <f t="shared" si="5"/>
        <v/>
      </c>
      <c r="N85" s="54" t="str">
        <f>IF(K85="","",IF(K85&gt;=90,IFERROR(VLOOKUP(B85,'👥 بيانات الموظفين'!B:H,7,0),0)*0.15,IF(K85&gt;=75,IFERROR(VLOOKUP(B85,'👥 بيانات الموظفين'!B:H,7,0),0)*0.1,IF(K85&gt;=60,IFERROR(VLOOKUP(B85,'👥 بيانات الموظفين'!B:H,7,0),0)*0.05,0))))</f>
        <v/>
      </c>
      <c r="O85" s="98"/>
    </row>
    <row r="86" spans="1:15" ht="22.15" customHeight="1" x14ac:dyDescent="0.2">
      <c r="A86" s="57" t="str">
        <f>IF(B86&lt;&gt;"",82,"")</f>
        <v/>
      </c>
      <c r="B86" s="57"/>
      <c r="C86" s="57" t="str">
        <f>IFERROR(VLOOKUP(B86,'👥 بيانات الموظفين'!B:C,2,0),"")</f>
        <v/>
      </c>
      <c r="D86" s="57" t="str">
        <f>IFERROR(VLOOKUP(B86,'👥 بيانات الموظفين'!B:E,4,0),"")</f>
        <v/>
      </c>
      <c r="E86" s="69"/>
      <c r="F86" s="69"/>
      <c r="G86" s="69"/>
      <c r="H86" s="69"/>
      <c r="I86" s="69"/>
      <c r="J86" s="69"/>
      <c r="K86" s="69" t="str">
        <f t="shared" si="3"/>
        <v/>
      </c>
      <c r="L86" s="57" t="str">
        <f t="shared" si="4"/>
        <v/>
      </c>
      <c r="M86" s="63" t="str">
        <f t="shared" si="5"/>
        <v/>
      </c>
      <c r="N86" s="58" t="str">
        <f>IF(K86="","",IF(K86&gt;=90,IFERROR(VLOOKUP(B86,'👥 بيانات الموظفين'!B:H,7,0),0)*0.15,IF(K86&gt;=75,IFERROR(VLOOKUP(B86,'👥 بيانات الموظفين'!B:H,7,0),0)*0.1,IF(K86&gt;=60,IFERROR(VLOOKUP(B86,'👥 بيانات الموظفين'!B:H,7,0),0)*0.05,0))))</f>
        <v/>
      </c>
      <c r="O86" s="99"/>
    </row>
    <row r="87" spans="1:15" ht="22.15" customHeight="1" x14ac:dyDescent="0.2">
      <c r="A87" s="53" t="str">
        <f>IF(B87&lt;&gt;"",83,"")</f>
        <v/>
      </c>
      <c r="B87" s="53"/>
      <c r="C87" s="53" t="str">
        <f>IFERROR(VLOOKUP(B87,'👥 بيانات الموظفين'!B:C,2,0),"")</f>
        <v/>
      </c>
      <c r="D87" s="53" t="str">
        <f>IFERROR(VLOOKUP(B87,'👥 بيانات الموظفين'!B:E,4,0),"")</f>
        <v/>
      </c>
      <c r="E87" s="68"/>
      <c r="F87" s="68"/>
      <c r="G87" s="68"/>
      <c r="H87" s="68"/>
      <c r="I87" s="68"/>
      <c r="J87" s="68"/>
      <c r="K87" s="68" t="str">
        <f t="shared" si="3"/>
        <v/>
      </c>
      <c r="L87" s="53" t="str">
        <f t="shared" si="4"/>
        <v/>
      </c>
      <c r="M87" s="62" t="str">
        <f t="shared" si="5"/>
        <v/>
      </c>
      <c r="N87" s="54" t="str">
        <f>IF(K87="","",IF(K87&gt;=90,IFERROR(VLOOKUP(B87,'👥 بيانات الموظفين'!B:H,7,0),0)*0.15,IF(K87&gt;=75,IFERROR(VLOOKUP(B87,'👥 بيانات الموظفين'!B:H,7,0),0)*0.1,IF(K87&gt;=60,IFERROR(VLOOKUP(B87,'👥 بيانات الموظفين'!B:H,7,0),0)*0.05,0))))</f>
        <v/>
      </c>
      <c r="O87" s="98"/>
    </row>
    <row r="88" spans="1:15" ht="22.15" customHeight="1" x14ac:dyDescent="0.2">
      <c r="A88" s="57" t="str">
        <f>IF(B88&lt;&gt;"",84,"")</f>
        <v/>
      </c>
      <c r="B88" s="57"/>
      <c r="C88" s="57" t="str">
        <f>IFERROR(VLOOKUP(B88,'👥 بيانات الموظفين'!B:C,2,0),"")</f>
        <v/>
      </c>
      <c r="D88" s="57" t="str">
        <f>IFERROR(VLOOKUP(B88,'👥 بيانات الموظفين'!B:E,4,0),"")</f>
        <v/>
      </c>
      <c r="E88" s="69"/>
      <c r="F88" s="69"/>
      <c r="G88" s="69"/>
      <c r="H88" s="69"/>
      <c r="I88" s="69"/>
      <c r="J88" s="69"/>
      <c r="K88" s="69" t="str">
        <f t="shared" si="3"/>
        <v/>
      </c>
      <c r="L88" s="57" t="str">
        <f t="shared" si="4"/>
        <v/>
      </c>
      <c r="M88" s="63" t="str">
        <f t="shared" si="5"/>
        <v/>
      </c>
      <c r="N88" s="58" t="str">
        <f>IF(K88="","",IF(K88&gt;=90,IFERROR(VLOOKUP(B88,'👥 بيانات الموظفين'!B:H,7,0),0)*0.15,IF(K88&gt;=75,IFERROR(VLOOKUP(B88,'👥 بيانات الموظفين'!B:H,7,0),0)*0.1,IF(K88&gt;=60,IFERROR(VLOOKUP(B88,'👥 بيانات الموظفين'!B:H,7,0),0)*0.05,0))))</f>
        <v/>
      </c>
      <c r="O88" s="99"/>
    </row>
    <row r="89" spans="1:15" ht="22.15" customHeight="1" x14ac:dyDescent="0.2">
      <c r="A89" s="53" t="str">
        <f>IF(B89&lt;&gt;"",85,"")</f>
        <v/>
      </c>
      <c r="B89" s="53"/>
      <c r="C89" s="53" t="str">
        <f>IFERROR(VLOOKUP(B89,'👥 بيانات الموظفين'!B:C,2,0),"")</f>
        <v/>
      </c>
      <c r="D89" s="53" t="str">
        <f>IFERROR(VLOOKUP(B89,'👥 بيانات الموظفين'!B:E,4,0),"")</f>
        <v/>
      </c>
      <c r="E89" s="68"/>
      <c r="F89" s="68"/>
      <c r="G89" s="68"/>
      <c r="H89" s="68"/>
      <c r="I89" s="68"/>
      <c r="J89" s="68"/>
      <c r="K89" s="68" t="str">
        <f t="shared" si="3"/>
        <v/>
      </c>
      <c r="L89" s="53" t="str">
        <f t="shared" si="4"/>
        <v/>
      </c>
      <c r="M89" s="62" t="str">
        <f t="shared" si="5"/>
        <v/>
      </c>
      <c r="N89" s="54" t="str">
        <f>IF(K89="","",IF(K89&gt;=90,IFERROR(VLOOKUP(B89,'👥 بيانات الموظفين'!B:H,7,0),0)*0.15,IF(K89&gt;=75,IFERROR(VLOOKUP(B89,'👥 بيانات الموظفين'!B:H,7,0),0)*0.1,IF(K89&gt;=60,IFERROR(VLOOKUP(B89,'👥 بيانات الموظفين'!B:H,7,0),0)*0.05,0))))</f>
        <v/>
      </c>
      <c r="O89" s="98"/>
    </row>
    <row r="90" spans="1:15" ht="22.15" customHeight="1" x14ac:dyDescent="0.2">
      <c r="A90" s="57" t="str">
        <f>IF(B90&lt;&gt;"",86,"")</f>
        <v/>
      </c>
      <c r="B90" s="57"/>
      <c r="C90" s="57" t="str">
        <f>IFERROR(VLOOKUP(B90,'👥 بيانات الموظفين'!B:C,2,0),"")</f>
        <v/>
      </c>
      <c r="D90" s="57" t="str">
        <f>IFERROR(VLOOKUP(B90,'👥 بيانات الموظفين'!B:E,4,0),"")</f>
        <v/>
      </c>
      <c r="E90" s="69"/>
      <c r="F90" s="69"/>
      <c r="G90" s="69"/>
      <c r="H90" s="69"/>
      <c r="I90" s="69"/>
      <c r="J90" s="69"/>
      <c r="K90" s="69" t="str">
        <f t="shared" si="3"/>
        <v/>
      </c>
      <c r="L90" s="57" t="str">
        <f t="shared" si="4"/>
        <v/>
      </c>
      <c r="M90" s="63" t="str">
        <f t="shared" si="5"/>
        <v/>
      </c>
      <c r="N90" s="58" t="str">
        <f>IF(K90="","",IF(K90&gt;=90,IFERROR(VLOOKUP(B90,'👥 بيانات الموظفين'!B:H,7,0),0)*0.15,IF(K90&gt;=75,IFERROR(VLOOKUP(B90,'👥 بيانات الموظفين'!B:H,7,0),0)*0.1,IF(K90&gt;=60,IFERROR(VLOOKUP(B90,'👥 بيانات الموظفين'!B:H,7,0),0)*0.05,0))))</f>
        <v/>
      </c>
      <c r="O90" s="99"/>
    </row>
    <row r="91" spans="1:15" ht="22.15" customHeight="1" x14ac:dyDescent="0.2">
      <c r="A91" s="53" t="str">
        <f>IF(B91&lt;&gt;"",87,"")</f>
        <v/>
      </c>
      <c r="B91" s="53"/>
      <c r="C91" s="53" t="str">
        <f>IFERROR(VLOOKUP(B91,'👥 بيانات الموظفين'!B:C,2,0),"")</f>
        <v/>
      </c>
      <c r="D91" s="53" t="str">
        <f>IFERROR(VLOOKUP(B91,'👥 بيانات الموظفين'!B:E,4,0),"")</f>
        <v/>
      </c>
      <c r="E91" s="68"/>
      <c r="F91" s="68"/>
      <c r="G91" s="68"/>
      <c r="H91" s="68"/>
      <c r="I91" s="68"/>
      <c r="J91" s="68"/>
      <c r="K91" s="68" t="str">
        <f t="shared" si="3"/>
        <v/>
      </c>
      <c r="L91" s="53" t="str">
        <f t="shared" si="4"/>
        <v/>
      </c>
      <c r="M91" s="62" t="str">
        <f t="shared" si="5"/>
        <v/>
      </c>
      <c r="N91" s="54" t="str">
        <f>IF(K91="","",IF(K91&gt;=90,IFERROR(VLOOKUP(B91,'👥 بيانات الموظفين'!B:H,7,0),0)*0.15,IF(K91&gt;=75,IFERROR(VLOOKUP(B91,'👥 بيانات الموظفين'!B:H,7,0),0)*0.1,IF(K91&gt;=60,IFERROR(VLOOKUP(B91,'👥 بيانات الموظفين'!B:H,7,0),0)*0.05,0))))</f>
        <v/>
      </c>
      <c r="O91" s="98"/>
    </row>
    <row r="92" spans="1:15" ht="22.15" customHeight="1" x14ac:dyDescent="0.2">
      <c r="A92" s="57" t="str">
        <f>IF(B92&lt;&gt;"",88,"")</f>
        <v/>
      </c>
      <c r="B92" s="57"/>
      <c r="C92" s="57" t="str">
        <f>IFERROR(VLOOKUP(B92,'👥 بيانات الموظفين'!B:C,2,0),"")</f>
        <v/>
      </c>
      <c r="D92" s="57" t="str">
        <f>IFERROR(VLOOKUP(B92,'👥 بيانات الموظفين'!B:E,4,0),"")</f>
        <v/>
      </c>
      <c r="E92" s="69"/>
      <c r="F92" s="69"/>
      <c r="G92" s="69"/>
      <c r="H92" s="69"/>
      <c r="I92" s="69"/>
      <c r="J92" s="69"/>
      <c r="K92" s="69" t="str">
        <f t="shared" si="3"/>
        <v/>
      </c>
      <c r="L92" s="57" t="str">
        <f t="shared" si="4"/>
        <v/>
      </c>
      <c r="M92" s="63" t="str">
        <f t="shared" si="5"/>
        <v/>
      </c>
      <c r="N92" s="58" t="str">
        <f>IF(K92="","",IF(K92&gt;=90,IFERROR(VLOOKUP(B92,'👥 بيانات الموظفين'!B:H,7,0),0)*0.15,IF(K92&gt;=75,IFERROR(VLOOKUP(B92,'👥 بيانات الموظفين'!B:H,7,0),0)*0.1,IF(K92&gt;=60,IFERROR(VLOOKUP(B92,'👥 بيانات الموظفين'!B:H,7,0),0)*0.05,0))))</f>
        <v/>
      </c>
      <c r="O92" s="99"/>
    </row>
    <row r="93" spans="1:15" ht="22.15" customHeight="1" x14ac:dyDescent="0.2">
      <c r="A93" s="53" t="str">
        <f>IF(B93&lt;&gt;"",89,"")</f>
        <v/>
      </c>
      <c r="B93" s="53"/>
      <c r="C93" s="53" t="str">
        <f>IFERROR(VLOOKUP(B93,'👥 بيانات الموظفين'!B:C,2,0),"")</f>
        <v/>
      </c>
      <c r="D93" s="53" t="str">
        <f>IFERROR(VLOOKUP(B93,'👥 بيانات الموظفين'!B:E,4,0),"")</f>
        <v/>
      </c>
      <c r="E93" s="68"/>
      <c r="F93" s="68"/>
      <c r="G93" s="68"/>
      <c r="H93" s="68"/>
      <c r="I93" s="68"/>
      <c r="J93" s="68"/>
      <c r="K93" s="68" t="str">
        <f t="shared" si="3"/>
        <v/>
      </c>
      <c r="L93" s="53" t="str">
        <f t="shared" si="4"/>
        <v/>
      </c>
      <c r="M93" s="62" t="str">
        <f t="shared" si="5"/>
        <v/>
      </c>
      <c r="N93" s="54" t="str">
        <f>IF(K93="","",IF(K93&gt;=90,IFERROR(VLOOKUP(B93,'👥 بيانات الموظفين'!B:H,7,0),0)*0.15,IF(K93&gt;=75,IFERROR(VLOOKUP(B93,'👥 بيانات الموظفين'!B:H,7,0),0)*0.1,IF(K93&gt;=60,IFERROR(VLOOKUP(B93,'👥 بيانات الموظفين'!B:H,7,0),0)*0.05,0))))</f>
        <v/>
      </c>
      <c r="O93" s="98"/>
    </row>
    <row r="94" spans="1:15" ht="22.15" customHeight="1" x14ac:dyDescent="0.2">
      <c r="A94" s="57" t="str">
        <f>IF(B94&lt;&gt;"",90,"")</f>
        <v/>
      </c>
      <c r="B94" s="57"/>
      <c r="C94" s="57" t="str">
        <f>IFERROR(VLOOKUP(B94,'👥 بيانات الموظفين'!B:C,2,0),"")</f>
        <v/>
      </c>
      <c r="D94" s="57" t="str">
        <f>IFERROR(VLOOKUP(B94,'👥 بيانات الموظفين'!B:E,4,0),"")</f>
        <v/>
      </c>
      <c r="E94" s="69"/>
      <c r="F94" s="69"/>
      <c r="G94" s="69"/>
      <c r="H94" s="69"/>
      <c r="I94" s="69"/>
      <c r="J94" s="69"/>
      <c r="K94" s="69" t="str">
        <f t="shared" si="3"/>
        <v/>
      </c>
      <c r="L94" s="57" t="str">
        <f t="shared" si="4"/>
        <v/>
      </c>
      <c r="M94" s="63" t="str">
        <f t="shared" si="5"/>
        <v/>
      </c>
      <c r="N94" s="58" t="str">
        <f>IF(K94="","",IF(K94&gt;=90,IFERROR(VLOOKUP(B94,'👥 بيانات الموظفين'!B:H,7,0),0)*0.15,IF(K94&gt;=75,IFERROR(VLOOKUP(B94,'👥 بيانات الموظفين'!B:H,7,0),0)*0.1,IF(K94&gt;=60,IFERROR(VLOOKUP(B94,'👥 بيانات الموظفين'!B:H,7,0),0)*0.05,0))))</f>
        <v/>
      </c>
      <c r="O94" s="99"/>
    </row>
    <row r="95" spans="1:15" ht="22.15" customHeight="1" x14ac:dyDescent="0.2">
      <c r="A95" s="53" t="str">
        <f>IF(B95&lt;&gt;"",91,"")</f>
        <v/>
      </c>
      <c r="B95" s="53"/>
      <c r="C95" s="53" t="str">
        <f>IFERROR(VLOOKUP(B95,'👥 بيانات الموظفين'!B:C,2,0),"")</f>
        <v/>
      </c>
      <c r="D95" s="53" t="str">
        <f>IFERROR(VLOOKUP(B95,'👥 بيانات الموظفين'!B:E,4,0),"")</f>
        <v/>
      </c>
      <c r="E95" s="68"/>
      <c r="F95" s="68"/>
      <c r="G95" s="68"/>
      <c r="H95" s="68"/>
      <c r="I95" s="68"/>
      <c r="J95" s="68"/>
      <c r="K95" s="68" t="str">
        <f t="shared" si="3"/>
        <v/>
      </c>
      <c r="L95" s="53" t="str">
        <f t="shared" si="4"/>
        <v/>
      </c>
      <c r="M95" s="62" t="str">
        <f t="shared" si="5"/>
        <v/>
      </c>
      <c r="N95" s="54" t="str">
        <f>IF(K95="","",IF(K95&gt;=90,IFERROR(VLOOKUP(B95,'👥 بيانات الموظفين'!B:H,7,0),0)*0.15,IF(K95&gt;=75,IFERROR(VLOOKUP(B95,'👥 بيانات الموظفين'!B:H,7,0),0)*0.1,IF(K95&gt;=60,IFERROR(VLOOKUP(B95,'👥 بيانات الموظفين'!B:H,7,0),0)*0.05,0))))</f>
        <v/>
      </c>
      <c r="O95" s="98"/>
    </row>
    <row r="96" spans="1:15" ht="22.15" customHeight="1" x14ac:dyDescent="0.2">
      <c r="A96" s="57" t="str">
        <f>IF(B96&lt;&gt;"",92,"")</f>
        <v/>
      </c>
      <c r="B96" s="57"/>
      <c r="C96" s="57" t="str">
        <f>IFERROR(VLOOKUP(B96,'👥 بيانات الموظفين'!B:C,2,0),"")</f>
        <v/>
      </c>
      <c r="D96" s="57" t="str">
        <f>IFERROR(VLOOKUP(B96,'👥 بيانات الموظفين'!B:E,4,0),"")</f>
        <v/>
      </c>
      <c r="E96" s="69"/>
      <c r="F96" s="69"/>
      <c r="G96" s="69"/>
      <c r="H96" s="69"/>
      <c r="I96" s="69"/>
      <c r="J96" s="69"/>
      <c r="K96" s="69" t="str">
        <f t="shared" si="3"/>
        <v/>
      </c>
      <c r="L96" s="57" t="str">
        <f t="shared" si="4"/>
        <v/>
      </c>
      <c r="M96" s="63" t="str">
        <f t="shared" si="5"/>
        <v/>
      </c>
      <c r="N96" s="58" t="str">
        <f>IF(K96="","",IF(K96&gt;=90,IFERROR(VLOOKUP(B96,'👥 بيانات الموظفين'!B:H,7,0),0)*0.15,IF(K96&gt;=75,IFERROR(VLOOKUP(B96,'👥 بيانات الموظفين'!B:H,7,0),0)*0.1,IF(K96&gt;=60,IFERROR(VLOOKUP(B96,'👥 بيانات الموظفين'!B:H,7,0),0)*0.05,0))))</f>
        <v/>
      </c>
      <c r="O96" s="99"/>
    </row>
    <row r="97" spans="1:15" ht="22.15" customHeight="1" x14ac:dyDescent="0.2">
      <c r="A97" s="53" t="str">
        <f>IF(B97&lt;&gt;"",93,"")</f>
        <v/>
      </c>
      <c r="B97" s="53"/>
      <c r="C97" s="53" t="str">
        <f>IFERROR(VLOOKUP(B97,'👥 بيانات الموظفين'!B:C,2,0),"")</f>
        <v/>
      </c>
      <c r="D97" s="53" t="str">
        <f>IFERROR(VLOOKUP(B97,'👥 بيانات الموظفين'!B:E,4,0),"")</f>
        <v/>
      </c>
      <c r="E97" s="68"/>
      <c r="F97" s="68"/>
      <c r="G97" s="68"/>
      <c r="H97" s="68"/>
      <c r="I97" s="68"/>
      <c r="J97" s="68"/>
      <c r="K97" s="68" t="str">
        <f t="shared" si="3"/>
        <v/>
      </c>
      <c r="L97" s="53" t="str">
        <f t="shared" si="4"/>
        <v/>
      </c>
      <c r="M97" s="62" t="str">
        <f t="shared" si="5"/>
        <v/>
      </c>
      <c r="N97" s="54" t="str">
        <f>IF(K97="","",IF(K97&gt;=90,IFERROR(VLOOKUP(B97,'👥 بيانات الموظفين'!B:H,7,0),0)*0.15,IF(K97&gt;=75,IFERROR(VLOOKUP(B97,'👥 بيانات الموظفين'!B:H,7,0),0)*0.1,IF(K97&gt;=60,IFERROR(VLOOKUP(B97,'👥 بيانات الموظفين'!B:H,7,0),0)*0.05,0))))</f>
        <v/>
      </c>
      <c r="O97" s="98"/>
    </row>
    <row r="98" spans="1:15" ht="22.15" customHeight="1" x14ac:dyDescent="0.2">
      <c r="A98" s="57" t="str">
        <f>IF(B98&lt;&gt;"",94,"")</f>
        <v/>
      </c>
      <c r="B98" s="57"/>
      <c r="C98" s="57" t="str">
        <f>IFERROR(VLOOKUP(B98,'👥 بيانات الموظفين'!B:C,2,0),"")</f>
        <v/>
      </c>
      <c r="D98" s="57" t="str">
        <f>IFERROR(VLOOKUP(B98,'👥 بيانات الموظفين'!B:E,4,0),"")</f>
        <v/>
      </c>
      <c r="E98" s="69"/>
      <c r="F98" s="69"/>
      <c r="G98" s="69"/>
      <c r="H98" s="69"/>
      <c r="I98" s="69"/>
      <c r="J98" s="69"/>
      <c r="K98" s="69" t="str">
        <f t="shared" si="3"/>
        <v/>
      </c>
      <c r="L98" s="57" t="str">
        <f t="shared" si="4"/>
        <v/>
      </c>
      <c r="M98" s="63" t="str">
        <f t="shared" si="5"/>
        <v/>
      </c>
      <c r="N98" s="58" t="str">
        <f>IF(K98="","",IF(K98&gt;=90,IFERROR(VLOOKUP(B98,'👥 بيانات الموظفين'!B:H,7,0),0)*0.15,IF(K98&gt;=75,IFERROR(VLOOKUP(B98,'👥 بيانات الموظفين'!B:H,7,0),0)*0.1,IF(K98&gt;=60,IFERROR(VLOOKUP(B98,'👥 بيانات الموظفين'!B:H,7,0),0)*0.05,0))))</f>
        <v/>
      </c>
      <c r="O98" s="99"/>
    </row>
    <row r="99" spans="1:15" ht="22.15" customHeight="1" x14ac:dyDescent="0.2">
      <c r="A99" s="53" t="str">
        <f>IF(B99&lt;&gt;"",95,"")</f>
        <v/>
      </c>
      <c r="B99" s="53"/>
      <c r="C99" s="53" t="str">
        <f>IFERROR(VLOOKUP(B99,'👥 بيانات الموظفين'!B:C,2,0),"")</f>
        <v/>
      </c>
      <c r="D99" s="53" t="str">
        <f>IFERROR(VLOOKUP(B99,'👥 بيانات الموظفين'!B:E,4,0),"")</f>
        <v/>
      </c>
      <c r="E99" s="68"/>
      <c r="F99" s="68"/>
      <c r="G99" s="68"/>
      <c r="H99" s="68"/>
      <c r="I99" s="68"/>
      <c r="J99" s="68"/>
      <c r="K99" s="68" t="str">
        <f t="shared" si="3"/>
        <v/>
      </c>
      <c r="L99" s="53" t="str">
        <f t="shared" si="4"/>
        <v/>
      </c>
      <c r="M99" s="62" t="str">
        <f t="shared" si="5"/>
        <v/>
      </c>
      <c r="N99" s="54" t="str">
        <f>IF(K99="","",IF(K99&gt;=90,IFERROR(VLOOKUP(B99,'👥 بيانات الموظفين'!B:H,7,0),0)*0.15,IF(K99&gt;=75,IFERROR(VLOOKUP(B99,'👥 بيانات الموظفين'!B:H,7,0),0)*0.1,IF(K99&gt;=60,IFERROR(VLOOKUP(B99,'👥 بيانات الموظفين'!B:H,7,0),0)*0.05,0))))</f>
        <v/>
      </c>
      <c r="O99" s="98"/>
    </row>
    <row r="100" spans="1:15" ht="22.15" customHeight="1" x14ac:dyDescent="0.2">
      <c r="A100" s="57" t="str">
        <f>IF(B100&lt;&gt;"",96,"")</f>
        <v/>
      </c>
      <c r="B100" s="57"/>
      <c r="C100" s="57" t="str">
        <f>IFERROR(VLOOKUP(B100,'👥 بيانات الموظفين'!B:C,2,0),"")</f>
        <v/>
      </c>
      <c r="D100" s="57" t="str">
        <f>IFERROR(VLOOKUP(B100,'👥 بيانات الموظفين'!B:E,4,0),"")</f>
        <v/>
      </c>
      <c r="E100" s="69"/>
      <c r="F100" s="69"/>
      <c r="G100" s="69"/>
      <c r="H100" s="69"/>
      <c r="I100" s="69"/>
      <c r="J100" s="69"/>
      <c r="K100" s="69" t="str">
        <f t="shared" si="3"/>
        <v/>
      </c>
      <c r="L100" s="57" t="str">
        <f t="shared" si="4"/>
        <v/>
      </c>
      <c r="M100" s="63" t="str">
        <f t="shared" si="5"/>
        <v/>
      </c>
      <c r="N100" s="58" t="str">
        <f>IF(K100="","",IF(K100&gt;=90,IFERROR(VLOOKUP(B100,'👥 بيانات الموظفين'!B:H,7,0),0)*0.15,IF(K100&gt;=75,IFERROR(VLOOKUP(B100,'👥 بيانات الموظفين'!B:H,7,0),0)*0.1,IF(K100&gt;=60,IFERROR(VLOOKUP(B100,'👥 بيانات الموظفين'!B:H,7,0),0)*0.05,0))))</f>
        <v/>
      </c>
      <c r="O100" s="99"/>
    </row>
    <row r="101" spans="1:15" ht="22.15" customHeight="1" x14ac:dyDescent="0.2">
      <c r="A101" s="53" t="str">
        <f>IF(B101&lt;&gt;"",97,"")</f>
        <v/>
      </c>
      <c r="B101" s="53"/>
      <c r="C101" s="53" t="str">
        <f>IFERROR(VLOOKUP(B101,'👥 بيانات الموظفين'!B:C,2,0),"")</f>
        <v/>
      </c>
      <c r="D101" s="53" t="str">
        <f>IFERROR(VLOOKUP(B101,'👥 بيانات الموظفين'!B:E,4,0),"")</f>
        <v/>
      </c>
      <c r="E101" s="68"/>
      <c r="F101" s="68"/>
      <c r="G101" s="68"/>
      <c r="H101" s="68"/>
      <c r="I101" s="68"/>
      <c r="J101" s="68"/>
      <c r="K101" s="68" t="str">
        <f t="shared" si="3"/>
        <v/>
      </c>
      <c r="L101" s="53" t="str">
        <f t="shared" si="4"/>
        <v/>
      </c>
      <c r="M101" s="62" t="str">
        <f t="shared" si="5"/>
        <v/>
      </c>
      <c r="N101" s="54" t="str">
        <f>IF(K101="","",IF(K101&gt;=90,IFERROR(VLOOKUP(B101,'👥 بيانات الموظفين'!B:H,7,0),0)*0.15,IF(K101&gt;=75,IFERROR(VLOOKUP(B101,'👥 بيانات الموظفين'!B:H,7,0),0)*0.1,IF(K101&gt;=60,IFERROR(VLOOKUP(B101,'👥 بيانات الموظفين'!B:H,7,0),0)*0.05,0))))</f>
        <v/>
      </c>
      <c r="O101" s="98"/>
    </row>
    <row r="102" spans="1:15" ht="22.15" customHeight="1" x14ac:dyDescent="0.2">
      <c r="A102" s="57" t="str">
        <f>IF(B102&lt;&gt;"",98,"")</f>
        <v/>
      </c>
      <c r="B102" s="57"/>
      <c r="C102" s="57" t="str">
        <f>IFERROR(VLOOKUP(B102,'👥 بيانات الموظفين'!B:C,2,0),"")</f>
        <v/>
      </c>
      <c r="D102" s="57" t="str">
        <f>IFERROR(VLOOKUP(B102,'👥 بيانات الموظفين'!B:E,4,0),"")</f>
        <v/>
      </c>
      <c r="E102" s="69"/>
      <c r="F102" s="69"/>
      <c r="G102" s="69"/>
      <c r="H102" s="69"/>
      <c r="I102" s="69"/>
      <c r="J102" s="69"/>
      <c r="K102" s="69" t="str">
        <f t="shared" si="3"/>
        <v/>
      </c>
      <c r="L102" s="57" t="str">
        <f t="shared" si="4"/>
        <v/>
      </c>
      <c r="M102" s="63" t="str">
        <f t="shared" si="5"/>
        <v/>
      </c>
      <c r="N102" s="58" t="str">
        <f>IF(K102="","",IF(K102&gt;=90,IFERROR(VLOOKUP(B102,'👥 بيانات الموظفين'!B:H,7,0),0)*0.15,IF(K102&gt;=75,IFERROR(VLOOKUP(B102,'👥 بيانات الموظفين'!B:H,7,0),0)*0.1,IF(K102&gt;=60,IFERROR(VLOOKUP(B102,'👥 بيانات الموظفين'!B:H,7,0),0)*0.05,0))))</f>
        <v/>
      </c>
      <c r="O102" s="99"/>
    </row>
    <row r="103" spans="1:15" ht="22.15" customHeight="1" x14ac:dyDescent="0.2">
      <c r="A103" s="53" t="str">
        <f>IF(B103&lt;&gt;"",99,"")</f>
        <v/>
      </c>
      <c r="B103" s="53"/>
      <c r="C103" s="53" t="str">
        <f>IFERROR(VLOOKUP(B103,'👥 بيانات الموظفين'!B:C,2,0),"")</f>
        <v/>
      </c>
      <c r="D103" s="53" t="str">
        <f>IFERROR(VLOOKUP(B103,'👥 بيانات الموظفين'!B:E,4,0),"")</f>
        <v/>
      </c>
      <c r="E103" s="68"/>
      <c r="F103" s="68"/>
      <c r="G103" s="68"/>
      <c r="H103" s="68"/>
      <c r="I103" s="68"/>
      <c r="J103" s="68"/>
      <c r="K103" s="68" t="str">
        <f t="shared" si="3"/>
        <v/>
      </c>
      <c r="L103" s="53" t="str">
        <f t="shared" si="4"/>
        <v/>
      </c>
      <c r="M103" s="62" t="str">
        <f t="shared" si="5"/>
        <v/>
      </c>
      <c r="N103" s="54" t="str">
        <f>IF(K103="","",IF(K103&gt;=90,IFERROR(VLOOKUP(B103,'👥 بيانات الموظفين'!B:H,7,0),0)*0.15,IF(K103&gt;=75,IFERROR(VLOOKUP(B103,'👥 بيانات الموظفين'!B:H,7,0),0)*0.1,IF(K103&gt;=60,IFERROR(VLOOKUP(B103,'👥 بيانات الموظفين'!B:H,7,0),0)*0.05,0))))</f>
        <v/>
      </c>
      <c r="O103" s="98"/>
    </row>
    <row r="104" spans="1:15" ht="22.15" customHeight="1" x14ac:dyDescent="0.2">
      <c r="A104" s="57" t="str">
        <f>IF(B104&lt;&gt;"",100,"")</f>
        <v/>
      </c>
      <c r="B104" s="57"/>
      <c r="C104" s="57" t="str">
        <f>IFERROR(VLOOKUP(B104,'👥 بيانات الموظفين'!B:C,2,0),"")</f>
        <v/>
      </c>
      <c r="D104" s="57" t="str">
        <f>IFERROR(VLOOKUP(B104,'👥 بيانات الموظفين'!B:E,4,0),"")</f>
        <v/>
      </c>
      <c r="E104" s="69"/>
      <c r="F104" s="69"/>
      <c r="G104" s="69"/>
      <c r="H104" s="69"/>
      <c r="I104" s="69"/>
      <c r="J104" s="69"/>
      <c r="K104" s="69" t="str">
        <f t="shared" si="3"/>
        <v/>
      </c>
      <c r="L104" s="57" t="str">
        <f t="shared" si="4"/>
        <v/>
      </c>
      <c r="M104" s="63" t="str">
        <f t="shared" si="5"/>
        <v/>
      </c>
      <c r="N104" s="58" t="str">
        <f>IF(K104="","",IF(K104&gt;=90,IFERROR(VLOOKUP(B104,'👥 بيانات الموظفين'!B:H,7,0),0)*0.15,IF(K104&gt;=75,IFERROR(VLOOKUP(B104,'👥 بيانات الموظفين'!B:H,7,0),0)*0.1,IF(K104&gt;=60,IFERROR(VLOOKUP(B104,'👥 بيانات الموظفين'!B:H,7,0),0)*0.05,0))))</f>
        <v/>
      </c>
      <c r="O104" s="99"/>
    </row>
    <row r="105" spans="1:15" ht="22.15" customHeight="1" x14ac:dyDescent="0.2">
      <c r="A105" s="53" t="str">
        <f>IF(B105&lt;&gt;"",101,"")</f>
        <v/>
      </c>
      <c r="B105" s="53"/>
      <c r="C105" s="53" t="str">
        <f>IFERROR(VLOOKUP(B105,'👥 بيانات الموظفين'!B:C,2,0),"")</f>
        <v/>
      </c>
      <c r="D105" s="53" t="str">
        <f>IFERROR(VLOOKUP(B105,'👥 بيانات الموظفين'!B:E,4,0),"")</f>
        <v/>
      </c>
      <c r="E105" s="68"/>
      <c r="F105" s="68"/>
      <c r="G105" s="68"/>
      <c r="H105" s="68"/>
      <c r="I105" s="68"/>
      <c r="J105" s="68"/>
      <c r="K105" s="68" t="str">
        <f t="shared" si="3"/>
        <v/>
      </c>
      <c r="L105" s="53" t="str">
        <f t="shared" si="4"/>
        <v/>
      </c>
      <c r="M105" s="62" t="str">
        <f t="shared" si="5"/>
        <v/>
      </c>
      <c r="N105" s="54" t="str">
        <f>IF(K105="","",IF(K105&gt;=90,IFERROR(VLOOKUP(B105,'👥 بيانات الموظفين'!B:H,7,0),0)*0.15,IF(K105&gt;=75,IFERROR(VLOOKUP(B105,'👥 بيانات الموظفين'!B:H,7,0),0)*0.1,IF(K105&gt;=60,IFERROR(VLOOKUP(B105,'👥 بيانات الموظفين'!B:H,7,0),0)*0.05,0))))</f>
        <v/>
      </c>
      <c r="O105" s="98"/>
    </row>
    <row r="106" spans="1:15" ht="22.15" customHeight="1" x14ac:dyDescent="0.2">
      <c r="A106" s="57" t="str">
        <f>IF(B106&lt;&gt;"",102,"")</f>
        <v/>
      </c>
      <c r="B106" s="57"/>
      <c r="C106" s="57" t="str">
        <f>IFERROR(VLOOKUP(B106,'👥 بيانات الموظفين'!B:C,2,0),"")</f>
        <v/>
      </c>
      <c r="D106" s="57" t="str">
        <f>IFERROR(VLOOKUP(B106,'👥 بيانات الموظفين'!B:E,4,0),"")</f>
        <v/>
      </c>
      <c r="E106" s="69"/>
      <c r="F106" s="69"/>
      <c r="G106" s="69"/>
      <c r="H106" s="69"/>
      <c r="I106" s="69"/>
      <c r="J106" s="69"/>
      <c r="K106" s="69" t="str">
        <f t="shared" si="3"/>
        <v/>
      </c>
      <c r="L106" s="57" t="str">
        <f t="shared" si="4"/>
        <v/>
      </c>
      <c r="M106" s="63" t="str">
        <f t="shared" si="5"/>
        <v/>
      </c>
      <c r="N106" s="58" t="str">
        <f>IF(K106="","",IF(K106&gt;=90,IFERROR(VLOOKUP(B106,'👥 بيانات الموظفين'!B:H,7,0),0)*0.15,IF(K106&gt;=75,IFERROR(VLOOKUP(B106,'👥 بيانات الموظفين'!B:H,7,0),0)*0.1,IF(K106&gt;=60,IFERROR(VLOOKUP(B106,'👥 بيانات الموظفين'!B:H,7,0),0)*0.05,0))))</f>
        <v/>
      </c>
      <c r="O106" s="99"/>
    </row>
    <row r="107" spans="1:15" ht="22.15" customHeight="1" x14ac:dyDescent="0.2">
      <c r="A107" s="53" t="str">
        <f>IF(B107&lt;&gt;"",103,"")</f>
        <v/>
      </c>
      <c r="B107" s="53"/>
      <c r="C107" s="53" t="str">
        <f>IFERROR(VLOOKUP(B107,'👥 بيانات الموظفين'!B:C,2,0),"")</f>
        <v/>
      </c>
      <c r="D107" s="53" t="str">
        <f>IFERROR(VLOOKUP(B107,'👥 بيانات الموظفين'!B:E,4,0),"")</f>
        <v/>
      </c>
      <c r="E107" s="68"/>
      <c r="F107" s="68"/>
      <c r="G107" s="68"/>
      <c r="H107" s="68"/>
      <c r="I107" s="68"/>
      <c r="J107" s="68"/>
      <c r="K107" s="68" t="str">
        <f t="shared" si="3"/>
        <v/>
      </c>
      <c r="L107" s="53" t="str">
        <f t="shared" si="4"/>
        <v/>
      </c>
      <c r="M107" s="62" t="str">
        <f t="shared" si="5"/>
        <v/>
      </c>
      <c r="N107" s="54" t="str">
        <f>IF(K107="","",IF(K107&gt;=90,IFERROR(VLOOKUP(B107,'👥 بيانات الموظفين'!B:H,7,0),0)*0.15,IF(K107&gt;=75,IFERROR(VLOOKUP(B107,'👥 بيانات الموظفين'!B:H,7,0),0)*0.1,IF(K107&gt;=60,IFERROR(VLOOKUP(B107,'👥 بيانات الموظفين'!B:H,7,0),0)*0.05,0))))</f>
        <v/>
      </c>
      <c r="O107" s="98"/>
    </row>
    <row r="108" spans="1:15" ht="22.15" customHeight="1" x14ac:dyDescent="0.2">
      <c r="A108" s="57" t="str">
        <f>IF(B108&lt;&gt;"",104,"")</f>
        <v/>
      </c>
      <c r="B108" s="57"/>
      <c r="C108" s="57" t="str">
        <f>IFERROR(VLOOKUP(B108,'👥 بيانات الموظفين'!B:C,2,0),"")</f>
        <v/>
      </c>
      <c r="D108" s="57" t="str">
        <f>IFERROR(VLOOKUP(B108,'👥 بيانات الموظفين'!B:E,4,0),"")</f>
        <v/>
      </c>
      <c r="E108" s="69"/>
      <c r="F108" s="69"/>
      <c r="G108" s="69"/>
      <c r="H108" s="69"/>
      <c r="I108" s="69"/>
      <c r="J108" s="69"/>
      <c r="K108" s="69" t="str">
        <f t="shared" si="3"/>
        <v/>
      </c>
      <c r="L108" s="57" t="str">
        <f t="shared" si="4"/>
        <v/>
      </c>
      <c r="M108" s="63" t="str">
        <f t="shared" si="5"/>
        <v/>
      </c>
      <c r="N108" s="58" t="str">
        <f>IF(K108="","",IF(K108&gt;=90,IFERROR(VLOOKUP(B108,'👥 بيانات الموظفين'!B:H,7,0),0)*0.15,IF(K108&gt;=75,IFERROR(VLOOKUP(B108,'👥 بيانات الموظفين'!B:H,7,0),0)*0.1,IF(K108&gt;=60,IFERROR(VLOOKUP(B108,'👥 بيانات الموظفين'!B:H,7,0),0)*0.05,0))))</f>
        <v/>
      </c>
      <c r="O108" s="99"/>
    </row>
    <row r="109" spans="1:15" ht="22.15" customHeight="1" x14ac:dyDescent="0.2">
      <c r="A109" s="53" t="str">
        <f>IF(B109&lt;&gt;"",105,"")</f>
        <v/>
      </c>
      <c r="B109" s="53"/>
      <c r="C109" s="53" t="str">
        <f>IFERROR(VLOOKUP(B109,'👥 بيانات الموظفين'!B:C,2,0),"")</f>
        <v/>
      </c>
      <c r="D109" s="53" t="str">
        <f>IFERROR(VLOOKUP(B109,'👥 بيانات الموظفين'!B:E,4,0),"")</f>
        <v/>
      </c>
      <c r="E109" s="68"/>
      <c r="F109" s="68"/>
      <c r="G109" s="68"/>
      <c r="H109" s="68"/>
      <c r="I109" s="68"/>
      <c r="J109" s="68"/>
      <c r="K109" s="68" t="str">
        <f t="shared" si="3"/>
        <v/>
      </c>
      <c r="L109" s="53" t="str">
        <f t="shared" si="4"/>
        <v/>
      </c>
      <c r="M109" s="62" t="str">
        <f t="shared" si="5"/>
        <v/>
      </c>
      <c r="N109" s="54" t="str">
        <f>IF(K109="","",IF(K109&gt;=90,IFERROR(VLOOKUP(B109,'👥 بيانات الموظفين'!B:H,7,0),0)*0.15,IF(K109&gt;=75,IFERROR(VLOOKUP(B109,'👥 بيانات الموظفين'!B:H,7,0),0)*0.1,IF(K109&gt;=60,IFERROR(VLOOKUP(B109,'👥 بيانات الموظفين'!B:H,7,0),0)*0.05,0))))</f>
        <v/>
      </c>
      <c r="O109" s="98"/>
    </row>
    <row r="110" spans="1:15" ht="22.15" customHeight="1" x14ac:dyDescent="0.2">
      <c r="A110" s="57" t="str">
        <f>IF(B110&lt;&gt;"",106,"")</f>
        <v/>
      </c>
      <c r="B110" s="57"/>
      <c r="C110" s="57" t="str">
        <f>IFERROR(VLOOKUP(B110,'👥 بيانات الموظفين'!B:C,2,0),"")</f>
        <v/>
      </c>
      <c r="D110" s="57" t="str">
        <f>IFERROR(VLOOKUP(B110,'👥 بيانات الموظفين'!B:E,4,0),"")</f>
        <v/>
      </c>
      <c r="E110" s="69"/>
      <c r="F110" s="69"/>
      <c r="G110" s="69"/>
      <c r="H110" s="69"/>
      <c r="I110" s="69"/>
      <c r="J110" s="69"/>
      <c r="K110" s="69" t="str">
        <f t="shared" si="3"/>
        <v/>
      </c>
      <c r="L110" s="57" t="str">
        <f t="shared" si="4"/>
        <v/>
      </c>
      <c r="M110" s="63" t="str">
        <f t="shared" si="5"/>
        <v/>
      </c>
      <c r="N110" s="58" t="str">
        <f>IF(K110="","",IF(K110&gt;=90,IFERROR(VLOOKUP(B110,'👥 بيانات الموظفين'!B:H,7,0),0)*0.15,IF(K110&gt;=75,IFERROR(VLOOKUP(B110,'👥 بيانات الموظفين'!B:H,7,0),0)*0.1,IF(K110&gt;=60,IFERROR(VLOOKUP(B110,'👥 بيانات الموظفين'!B:H,7,0),0)*0.05,0))))</f>
        <v/>
      </c>
      <c r="O110" s="99"/>
    </row>
    <row r="111" spans="1:15" ht="22.15" customHeight="1" x14ac:dyDescent="0.2">
      <c r="A111" s="53" t="str">
        <f>IF(B111&lt;&gt;"",107,"")</f>
        <v/>
      </c>
      <c r="B111" s="53"/>
      <c r="C111" s="53" t="str">
        <f>IFERROR(VLOOKUP(B111,'👥 بيانات الموظفين'!B:C,2,0),"")</f>
        <v/>
      </c>
      <c r="D111" s="53" t="str">
        <f>IFERROR(VLOOKUP(B111,'👥 بيانات الموظفين'!B:E,4,0),"")</f>
        <v/>
      </c>
      <c r="E111" s="68"/>
      <c r="F111" s="68"/>
      <c r="G111" s="68"/>
      <c r="H111" s="68"/>
      <c r="I111" s="68"/>
      <c r="J111" s="68"/>
      <c r="K111" s="68" t="str">
        <f t="shared" si="3"/>
        <v/>
      </c>
      <c r="L111" s="53" t="str">
        <f t="shared" si="4"/>
        <v/>
      </c>
      <c r="M111" s="62" t="str">
        <f t="shared" si="5"/>
        <v/>
      </c>
      <c r="N111" s="54" t="str">
        <f>IF(K111="","",IF(K111&gt;=90,IFERROR(VLOOKUP(B111,'👥 بيانات الموظفين'!B:H,7,0),0)*0.15,IF(K111&gt;=75,IFERROR(VLOOKUP(B111,'👥 بيانات الموظفين'!B:H,7,0),0)*0.1,IF(K111&gt;=60,IFERROR(VLOOKUP(B111,'👥 بيانات الموظفين'!B:H,7,0),0)*0.05,0))))</f>
        <v/>
      </c>
      <c r="O111" s="98"/>
    </row>
    <row r="112" spans="1:15" ht="22.15" customHeight="1" x14ac:dyDescent="0.2">
      <c r="A112" s="57" t="str">
        <f>IF(B112&lt;&gt;"",108,"")</f>
        <v/>
      </c>
      <c r="B112" s="57"/>
      <c r="C112" s="57" t="str">
        <f>IFERROR(VLOOKUP(B112,'👥 بيانات الموظفين'!B:C,2,0),"")</f>
        <v/>
      </c>
      <c r="D112" s="57" t="str">
        <f>IFERROR(VLOOKUP(B112,'👥 بيانات الموظفين'!B:E,4,0),"")</f>
        <v/>
      </c>
      <c r="E112" s="69"/>
      <c r="F112" s="69"/>
      <c r="G112" s="69"/>
      <c r="H112" s="69"/>
      <c r="I112" s="69"/>
      <c r="J112" s="69"/>
      <c r="K112" s="69" t="str">
        <f t="shared" si="3"/>
        <v/>
      </c>
      <c r="L112" s="57" t="str">
        <f t="shared" si="4"/>
        <v/>
      </c>
      <c r="M112" s="63" t="str">
        <f t="shared" si="5"/>
        <v/>
      </c>
      <c r="N112" s="58" t="str">
        <f>IF(K112="","",IF(K112&gt;=90,IFERROR(VLOOKUP(B112,'👥 بيانات الموظفين'!B:H,7,0),0)*0.15,IF(K112&gt;=75,IFERROR(VLOOKUP(B112,'👥 بيانات الموظفين'!B:H,7,0),0)*0.1,IF(K112&gt;=60,IFERROR(VLOOKUP(B112,'👥 بيانات الموظفين'!B:H,7,0),0)*0.05,0))))</f>
        <v/>
      </c>
      <c r="O112" s="99"/>
    </row>
    <row r="113" spans="1:15" ht="22.15" customHeight="1" x14ac:dyDescent="0.2">
      <c r="A113" s="53" t="str">
        <f>IF(B113&lt;&gt;"",109,"")</f>
        <v/>
      </c>
      <c r="B113" s="53"/>
      <c r="C113" s="53" t="str">
        <f>IFERROR(VLOOKUP(B113,'👥 بيانات الموظفين'!B:C,2,0),"")</f>
        <v/>
      </c>
      <c r="D113" s="53" t="str">
        <f>IFERROR(VLOOKUP(B113,'👥 بيانات الموظفين'!B:E,4,0),"")</f>
        <v/>
      </c>
      <c r="E113" s="68"/>
      <c r="F113" s="68"/>
      <c r="G113" s="68"/>
      <c r="H113" s="68"/>
      <c r="I113" s="68"/>
      <c r="J113" s="68"/>
      <c r="K113" s="68" t="str">
        <f t="shared" si="3"/>
        <v/>
      </c>
      <c r="L113" s="53" t="str">
        <f t="shared" si="4"/>
        <v/>
      </c>
      <c r="M113" s="62" t="str">
        <f t="shared" si="5"/>
        <v/>
      </c>
      <c r="N113" s="54" t="str">
        <f>IF(K113="","",IF(K113&gt;=90,IFERROR(VLOOKUP(B113,'👥 بيانات الموظفين'!B:H,7,0),0)*0.15,IF(K113&gt;=75,IFERROR(VLOOKUP(B113,'👥 بيانات الموظفين'!B:H,7,0),0)*0.1,IF(K113&gt;=60,IFERROR(VLOOKUP(B113,'👥 بيانات الموظفين'!B:H,7,0),0)*0.05,0))))</f>
        <v/>
      </c>
      <c r="O113" s="98"/>
    </row>
    <row r="114" spans="1:15" ht="22.15" customHeight="1" x14ac:dyDescent="0.2">
      <c r="A114" s="57" t="str">
        <f>IF(B114&lt;&gt;"",110,"")</f>
        <v/>
      </c>
      <c r="B114" s="57"/>
      <c r="C114" s="57" t="str">
        <f>IFERROR(VLOOKUP(B114,'👥 بيانات الموظفين'!B:C,2,0),"")</f>
        <v/>
      </c>
      <c r="D114" s="57" t="str">
        <f>IFERROR(VLOOKUP(B114,'👥 بيانات الموظفين'!B:E,4,0),"")</f>
        <v/>
      </c>
      <c r="E114" s="69"/>
      <c r="F114" s="69"/>
      <c r="G114" s="69"/>
      <c r="H114" s="69"/>
      <c r="I114" s="69"/>
      <c r="J114" s="69"/>
      <c r="K114" s="69" t="str">
        <f t="shared" si="3"/>
        <v/>
      </c>
      <c r="L114" s="57" t="str">
        <f t="shared" si="4"/>
        <v/>
      </c>
      <c r="M114" s="63" t="str">
        <f t="shared" si="5"/>
        <v/>
      </c>
      <c r="N114" s="58" t="str">
        <f>IF(K114="","",IF(K114&gt;=90,IFERROR(VLOOKUP(B114,'👥 بيانات الموظفين'!B:H,7,0),0)*0.15,IF(K114&gt;=75,IFERROR(VLOOKUP(B114,'👥 بيانات الموظفين'!B:H,7,0),0)*0.1,IF(K114&gt;=60,IFERROR(VLOOKUP(B114,'👥 بيانات الموظفين'!B:H,7,0),0)*0.05,0))))</f>
        <v/>
      </c>
      <c r="O114" s="99"/>
    </row>
    <row r="115" spans="1:15" ht="22.15" customHeight="1" x14ac:dyDescent="0.2">
      <c r="A115" s="53" t="str">
        <f>IF(B115&lt;&gt;"",111,"")</f>
        <v/>
      </c>
      <c r="B115" s="53"/>
      <c r="C115" s="53" t="str">
        <f>IFERROR(VLOOKUP(B115,'👥 بيانات الموظفين'!B:C,2,0),"")</f>
        <v/>
      </c>
      <c r="D115" s="53" t="str">
        <f>IFERROR(VLOOKUP(B115,'👥 بيانات الموظفين'!B:E,4,0),"")</f>
        <v/>
      </c>
      <c r="E115" s="68"/>
      <c r="F115" s="68"/>
      <c r="G115" s="68"/>
      <c r="H115" s="68"/>
      <c r="I115" s="68"/>
      <c r="J115" s="68"/>
      <c r="K115" s="68" t="str">
        <f t="shared" si="3"/>
        <v/>
      </c>
      <c r="L115" s="53" t="str">
        <f t="shared" si="4"/>
        <v/>
      </c>
      <c r="M115" s="62" t="str">
        <f t="shared" si="5"/>
        <v/>
      </c>
      <c r="N115" s="54" t="str">
        <f>IF(K115="","",IF(K115&gt;=90,IFERROR(VLOOKUP(B115,'👥 بيانات الموظفين'!B:H,7,0),0)*0.15,IF(K115&gt;=75,IFERROR(VLOOKUP(B115,'👥 بيانات الموظفين'!B:H,7,0),0)*0.1,IF(K115&gt;=60,IFERROR(VLOOKUP(B115,'👥 بيانات الموظفين'!B:H,7,0),0)*0.05,0))))</f>
        <v/>
      </c>
      <c r="O115" s="98"/>
    </row>
    <row r="116" spans="1:15" ht="22.15" customHeight="1" x14ac:dyDescent="0.2">
      <c r="A116" s="57" t="str">
        <f>IF(B116&lt;&gt;"",112,"")</f>
        <v/>
      </c>
      <c r="B116" s="57"/>
      <c r="C116" s="57" t="str">
        <f>IFERROR(VLOOKUP(B116,'👥 بيانات الموظفين'!B:C,2,0),"")</f>
        <v/>
      </c>
      <c r="D116" s="57" t="str">
        <f>IFERROR(VLOOKUP(B116,'👥 بيانات الموظفين'!B:E,4,0),"")</f>
        <v/>
      </c>
      <c r="E116" s="69"/>
      <c r="F116" s="69"/>
      <c r="G116" s="69"/>
      <c r="H116" s="69"/>
      <c r="I116" s="69"/>
      <c r="J116" s="69"/>
      <c r="K116" s="69" t="str">
        <f t="shared" si="3"/>
        <v/>
      </c>
      <c r="L116" s="57" t="str">
        <f t="shared" si="4"/>
        <v/>
      </c>
      <c r="M116" s="63" t="str">
        <f t="shared" si="5"/>
        <v/>
      </c>
      <c r="N116" s="58" t="str">
        <f>IF(K116="","",IF(K116&gt;=90,IFERROR(VLOOKUP(B116,'👥 بيانات الموظفين'!B:H,7,0),0)*0.15,IF(K116&gt;=75,IFERROR(VLOOKUP(B116,'👥 بيانات الموظفين'!B:H,7,0),0)*0.1,IF(K116&gt;=60,IFERROR(VLOOKUP(B116,'👥 بيانات الموظفين'!B:H,7,0),0)*0.05,0))))</f>
        <v/>
      </c>
      <c r="O116" s="99"/>
    </row>
    <row r="117" spans="1:15" ht="22.15" customHeight="1" x14ac:dyDescent="0.2">
      <c r="A117" s="53" t="str">
        <f>IF(B117&lt;&gt;"",113,"")</f>
        <v/>
      </c>
      <c r="B117" s="53"/>
      <c r="C117" s="53" t="str">
        <f>IFERROR(VLOOKUP(B117,'👥 بيانات الموظفين'!B:C,2,0),"")</f>
        <v/>
      </c>
      <c r="D117" s="53" t="str">
        <f>IFERROR(VLOOKUP(B117,'👥 بيانات الموظفين'!B:E,4,0),"")</f>
        <v/>
      </c>
      <c r="E117" s="68"/>
      <c r="F117" s="68"/>
      <c r="G117" s="68"/>
      <c r="H117" s="68"/>
      <c r="I117" s="68"/>
      <c r="J117" s="68"/>
      <c r="K117" s="68" t="str">
        <f t="shared" si="3"/>
        <v/>
      </c>
      <c r="L117" s="53" t="str">
        <f t="shared" si="4"/>
        <v/>
      </c>
      <c r="M117" s="62" t="str">
        <f t="shared" si="5"/>
        <v/>
      </c>
      <c r="N117" s="54" t="str">
        <f>IF(K117="","",IF(K117&gt;=90,IFERROR(VLOOKUP(B117,'👥 بيانات الموظفين'!B:H,7,0),0)*0.15,IF(K117&gt;=75,IFERROR(VLOOKUP(B117,'👥 بيانات الموظفين'!B:H,7,0),0)*0.1,IF(K117&gt;=60,IFERROR(VLOOKUP(B117,'👥 بيانات الموظفين'!B:H,7,0),0)*0.05,0))))</f>
        <v/>
      </c>
      <c r="O117" s="98"/>
    </row>
    <row r="118" spans="1:15" ht="22.15" customHeight="1" x14ac:dyDescent="0.2">
      <c r="A118" s="57" t="str">
        <f>IF(B118&lt;&gt;"",114,"")</f>
        <v/>
      </c>
      <c r="B118" s="57"/>
      <c r="C118" s="57" t="str">
        <f>IFERROR(VLOOKUP(B118,'👥 بيانات الموظفين'!B:C,2,0),"")</f>
        <v/>
      </c>
      <c r="D118" s="57" t="str">
        <f>IFERROR(VLOOKUP(B118,'👥 بيانات الموظفين'!B:E,4,0),"")</f>
        <v/>
      </c>
      <c r="E118" s="69"/>
      <c r="F118" s="69"/>
      <c r="G118" s="69"/>
      <c r="H118" s="69"/>
      <c r="I118" s="69"/>
      <c r="J118" s="69"/>
      <c r="K118" s="69" t="str">
        <f t="shared" si="3"/>
        <v/>
      </c>
      <c r="L118" s="57" t="str">
        <f t="shared" si="4"/>
        <v/>
      </c>
      <c r="M118" s="63" t="str">
        <f t="shared" si="5"/>
        <v/>
      </c>
      <c r="N118" s="58" t="str">
        <f>IF(K118="","",IF(K118&gt;=90,IFERROR(VLOOKUP(B118,'👥 بيانات الموظفين'!B:H,7,0),0)*0.15,IF(K118&gt;=75,IFERROR(VLOOKUP(B118,'👥 بيانات الموظفين'!B:H,7,0),0)*0.1,IF(K118&gt;=60,IFERROR(VLOOKUP(B118,'👥 بيانات الموظفين'!B:H,7,0),0)*0.05,0))))</f>
        <v/>
      </c>
      <c r="O118" s="99"/>
    </row>
    <row r="119" spans="1:15" ht="22.15" customHeight="1" x14ac:dyDescent="0.2">
      <c r="A119" s="53" t="str">
        <f>IF(B119&lt;&gt;"",115,"")</f>
        <v/>
      </c>
      <c r="B119" s="53"/>
      <c r="C119" s="53" t="str">
        <f>IFERROR(VLOOKUP(B119,'👥 بيانات الموظفين'!B:C,2,0),"")</f>
        <v/>
      </c>
      <c r="D119" s="53" t="str">
        <f>IFERROR(VLOOKUP(B119,'👥 بيانات الموظفين'!B:E,4,0),"")</f>
        <v/>
      </c>
      <c r="E119" s="68"/>
      <c r="F119" s="68"/>
      <c r="G119" s="68"/>
      <c r="H119" s="68"/>
      <c r="I119" s="68"/>
      <c r="J119" s="68"/>
      <c r="K119" s="68" t="str">
        <f t="shared" si="3"/>
        <v/>
      </c>
      <c r="L119" s="53" t="str">
        <f t="shared" si="4"/>
        <v/>
      </c>
      <c r="M119" s="62" t="str">
        <f t="shared" si="5"/>
        <v/>
      </c>
      <c r="N119" s="54" t="str">
        <f>IF(K119="","",IF(K119&gt;=90,IFERROR(VLOOKUP(B119,'👥 بيانات الموظفين'!B:H,7,0),0)*0.15,IF(K119&gt;=75,IFERROR(VLOOKUP(B119,'👥 بيانات الموظفين'!B:H,7,0),0)*0.1,IF(K119&gt;=60,IFERROR(VLOOKUP(B119,'👥 بيانات الموظفين'!B:H,7,0),0)*0.05,0))))</f>
        <v/>
      </c>
      <c r="O119" s="98"/>
    </row>
    <row r="120" spans="1:15" ht="22.15" customHeight="1" x14ac:dyDescent="0.2">
      <c r="A120" s="57" t="str">
        <f>IF(B120&lt;&gt;"",116,"")</f>
        <v/>
      </c>
      <c r="B120" s="57"/>
      <c r="C120" s="57" t="str">
        <f>IFERROR(VLOOKUP(B120,'👥 بيانات الموظفين'!B:C,2,0),"")</f>
        <v/>
      </c>
      <c r="D120" s="57" t="str">
        <f>IFERROR(VLOOKUP(B120,'👥 بيانات الموظفين'!B:E,4,0),"")</f>
        <v/>
      </c>
      <c r="E120" s="69"/>
      <c r="F120" s="69"/>
      <c r="G120" s="69"/>
      <c r="H120" s="69"/>
      <c r="I120" s="69"/>
      <c r="J120" s="69"/>
      <c r="K120" s="69" t="str">
        <f t="shared" si="3"/>
        <v/>
      </c>
      <c r="L120" s="57" t="str">
        <f t="shared" si="4"/>
        <v/>
      </c>
      <c r="M120" s="63" t="str">
        <f t="shared" si="5"/>
        <v/>
      </c>
      <c r="N120" s="58" t="str">
        <f>IF(K120="","",IF(K120&gt;=90,IFERROR(VLOOKUP(B120,'👥 بيانات الموظفين'!B:H,7,0),0)*0.15,IF(K120&gt;=75,IFERROR(VLOOKUP(B120,'👥 بيانات الموظفين'!B:H,7,0),0)*0.1,IF(K120&gt;=60,IFERROR(VLOOKUP(B120,'👥 بيانات الموظفين'!B:H,7,0),0)*0.05,0))))</f>
        <v/>
      </c>
      <c r="O120" s="99"/>
    </row>
    <row r="121" spans="1:15" ht="22.15" customHeight="1" x14ac:dyDescent="0.2">
      <c r="A121" s="53" t="str">
        <f>IF(B121&lt;&gt;"",117,"")</f>
        <v/>
      </c>
      <c r="B121" s="53"/>
      <c r="C121" s="53" t="str">
        <f>IFERROR(VLOOKUP(B121,'👥 بيانات الموظفين'!B:C,2,0),"")</f>
        <v/>
      </c>
      <c r="D121" s="53" t="str">
        <f>IFERROR(VLOOKUP(B121,'👥 بيانات الموظفين'!B:E,4,0),"")</f>
        <v/>
      </c>
      <c r="E121" s="68"/>
      <c r="F121" s="68"/>
      <c r="G121" s="68"/>
      <c r="H121" s="68"/>
      <c r="I121" s="68"/>
      <c r="J121" s="68"/>
      <c r="K121" s="68" t="str">
        <f t="shared" si="3"/>
        <v/>
      </c>
      <c r="L121" s="53" t="str">
        <f t="shared" si="4"/>
        <v/>
      </c>
      <c r="M121" s="62" t="str">
        <f t="shared" si="5"/>
        <v/>
      </c>
      <c r="N121" s="54" t="str">
        <f>IF(K121="","",IF(K121&gt;=90,IFERROR(VLOOKUP(B121,'👥 بيانات الموظفين'!B:H,7,0),0)*0.15,IF(K121&gt;=75,IFERROR(VLOOKUP(B121,'👥 بيانات الموظفين'!B:H,7,0),0)*0.1,IF(K121&gt;=60,IFERROR(VLOOKUP(B121,'👥 بيانات الموظفين'!B:H,7,0),0)*0.05,0))))</f>
        <v/>
      </c>
      <c r="O121" s="98"/>
    </row>
    <row r="122" spans="1:15" ht="22.15" customHeight="1" x14ac:dyDescent="0.2">
      <c r="A122" s="57" t="str">
        <f>IF(B122&lt;&gt;"",118,"")</f>
        <v/>
      </c>
      <c r="B122" s="57"/>
      <c r="C122" s="57" t="str">
        <f>IFERROR(VLOOKUP(B122,'👥 بيانات الموظفين'!B:C,2,0),"")</f>
        <v/>
      </c>
      <c r="D122" s="57" t="str">
        <f>IFERROR(VLOOKUP(B122,'👥 بيانات الموظفين'!B:E,4,0),"")</f>
        <v/>
      </c>
      <c r="E122" s="69"/>
      <c r="F122" s="69"/>
      <c r="G122" s="69"/>
      <c r="H122" s="69"/>
      <c r="I122" s="69"/>
      <c r="J122" s="69"/>
      <c r="K122" s="69" t="str">
        <f t="shared" si="3"/>
        <v/>
      </c>
      <c r="L122" s="57" t="str">
        <f t="shared" si="4"/>
        <v/>
      </c>
      <c r="M122" s="63" t="str">
        <f t="shared" si="5"/>
        <v/>
      </c>
      <c r="N122" s="58" t="str">
        <f>IF(K122="","",IF(K122&gt;=90,IFERROR(VLOOKUP(B122,'👥 بيانات الموظفين'!B:H,7,0),0)*0.15,IF(K122&gt;=75,IFERROR(VLOOKUP(B122,'👥 بيانات الموظفين'!B:H,7,0),0)*0.1,IF(K122&gt;=60,IFERROR(VLOOKUP(B122,'👥 بيانات الموظفين'!B:H,7,0),0)*0.05,0))))</f>
        <v/>
      </c>
      <c r="O122" s="99"/>
    </row>
    <row r="123" spans="1:15" ht="22.15" customHeight="1" x14ac:dyDescent="0.2">
      <c r="A123" s="53" t="str">
        <f>IF(B123&lt;&gt;"",119,"")</f>
        <v/>
      </c>
      <c r="B123" s="53"/>
      <c r="C123" s="53" t="str">
        <f>IFERROR(VLOOKUP(B123,'👥 بيانات الموظفين'!B:C,2,0),"")</f>
        <v/>
      </c>
      <c r="D123" s="53" t="str">
        <f>IFERROR(VLOOKUP(B123,'👥 بيانات الموظفين'!B:E,4,0),"")</f>
        <v/>
      </c>
      <c r="E123" s="68"/>
      <c r="F123" s="68"/>
      <c r="G123" s="68"/>
      <c r="H123" s="68"/>
      <c r="I123" s="68"/>
      <c r="J123" s="68"/>
      <c r="K123" s="68" t="str">
        <f t="shared" si="3"/>
        <v/>
      </c>
      <c r="L123" s="53" t="str">
        <f t="shared" si="4"/>
        <v/>
      </c>
      <c r="M123" s="62" t="str">
        <f t="shared" si="5"/>
        <v/>
      </c>
      <c r="N123" s="54" t="str">
        <f>IF(K123="","",IF(K123&gt;=90,IFERROR(VLOOKUP(B123,'👥 بيانات الموظفين'!B:H,7,0),0)*0.15,IF(K123&gt;=75,IFERROR(VLOOKUP(B123,'👥 بيانات الموظفين'!B:H,7,0),0)*0.1,IF(K123&gt;=60,IFERROR(VLOOKUP(B123,'👥 بيانات الموظفين'!B:H,7,0),0)*0.05,0))))</f>
        <v/>
      </c>
      <c r="O123" s="98"/>
    </row>
    <row r="124" spans="1:15" ht="22.15" customHeight="1" x14ac:dyDescent="0.2">
      <c r="A124" s="57" t="str">
        <f>IF(B124&lt;&gt;"",120,"")</f>
        <v/>
      </c>
      <c r="B124" s="57"/>
      <c r="C124" s="57" t="str">
        <f>IFERROR(VLOOKUP(B124,'👥 بيانات الموظفين'!B:C,2,0),"")</f>
        <v/>
      </c>
      <c r="D124" s="57" t="str">
        <f>IFERROR(VLOOKUP(B124,'👥 بيانات الموظفين'!B:E,4,0),"")</f>
        <v/>
      </c>
      <c r="E124" s="69"/>
      <c r="F124" s="69"/>
      <c r="G124" s="69"/>
      <c r="H124" s="69"/>
      <c r="I124" s="69"/>
      <c r="J124" s="69"/>
      <c r="K124" s="69" t="str">
        <f t="shared" si="3"/>
        <v/>
      </c>
      <c r="L124" s="57" t="str">
        <f t="shared" si="4"/>
        <v/>
      </c>
      <c r="M124" s="63" t="str">
        <f t="shared" si="5"/>
        <v/>
      </c>
      <c r="N124" s="58" t="str">
        <f>IF(K124="","",IF(K124&gt;=90,IFERROR(VLOOKUP(B124,'👥 بيانات الموظفين'!B:H,7,0),0)*0.15,IF(K124&gt;=75,IFERROR(VLOOKUP(B124,'👥 بيانات الموظفين'!B:H,7,0),0)*0.1,IF(K124&gt;=60,IFERROR(VLOOKUP(B124,'👥 بيانات الموظفين'!B:H,7,0),0)*0.05,0))))</f>
        <v/>
      </c>
      <c r="O124" s="99"/>
    </row>
    <row r="125" spans="1:15" ht="22.15" customHeight="1" x14ac:dyDescent="0.2">
      <c r="A125" s="53" t="str">
        <f>IF(B125&lt;&gt;"",121,"")</f>
        <v/>
      </c>
      <c r="B125" s="53"/>
      <c r="C125" s="53" t="str">
        <f>IFERROR(VLOOKUP(B125,'👥 بيانات الموظفين'!B:C,2,0),"")</f>
        <v/>
      </c>
      <c r="D125" s="53" t="str">
        <f>IFERROR(VLOOKUP(B125,'👥 بيانات الموظفين'!B:E,4,0),"")</f>
        <v/>
      </c>
      <c r="E125" s="68"/>
      <c r="F125" s="68"/>
      <c r="G125" s="68"/>
      <c r="H125" s="68"/>
      <c r="I125" s="68"/>
      <c r="J125" s="68"/>
      <c r="K125" s="68" t="str">
        <f t="shared" si="3"/>
        <v/>
      </c>
      <c r="L125" s="53" t="str">
        <f t="shared" si="4"/>
        <v/>
      </c>
      <c r="M125" s="62" t="str">
        <f t="shared" si="5"/>
        <v/>
      </c>
      <c r="N125" s="54" t="str">
        <f>IF(K125="","",IF(K125&gt;=90,IFERROR(VLOOKUP(B125,'👥 بيانات الموظفين'!B:H,7,0),0)*0.15,IF(K125&gt;=75,IFERROR(VLOOKUP(B125,'👥 بيانات الموظفين'!B:H,7,0),0)*0.1,IF(K125&gt;=60,IFERROR(VLOOKUP(B125,'👥 بيانات الموظفين'!B:H,7,0),0)*0.05,0))))</f>
        <v/>
      </c>
      <c r="O125" s="98"/>
    </row>
    <row r="126" spans="1:15" ht="22.15" customHeight="1" x14ac:dyDescent="0.2">
      <c r="A126" s="57" t="str">
        <f>IF(B126&lt;&gt;"",122,"")</f>
        <v/>
      </c>
      <c r="B126" s="57"/>
      <c r="C126" s="57" t="str">
        <f>IFERROR(VLOOKUP(B126,'👥 بيانات الموظفين'!B:C,2,0),"")</f>
        <v/>
      </c>
      <c r="D126" s="57" t="str">
        <f>IFERROR(VLOOKUP(B126,'👥 بيانات الموظفين'!B:E,4,0),"")</f>
        <v/>
      </c>
      <c r="E126" s="69"/>
      <c r="F126" s="69"/>
      <c r="G126" s="69"/>
      <c r="H126" s="69"/>
      <c r="I126" s="69"/>
      <c r="J126" s="69"/>
      <c r="K126" s="69" t="str">
        <f t="shared" si="3"/>
        <v/>
      </c>
      <c r="L126" s="57" t="str">
        <f t="shared" si="4"/>
        <v/>
      </c>
      <c r="M126" s="63" t="str">
        <f t="shared" si="5"/>
        <v/>
      </c>
      <c r="N126" s="58" t="str">
        <f>IF(K126="","",IF(K126&gt;=90,IFERROR(VLOOKUP(B126,'👥 بيانات الموظفين'!B:H,7,0),0)*0.15,IF(K126&gt;=75,IFERROR(VLOOKUP(B126,'👥 بيانات الموظفين'!B:H,7,0),0)*0.1,IF(K126&gt;=60,IFERROR(VLOOKUP(B126,'👥 بيانات الموظفين'!B:H,7,0),0)*0.05,0))))</f>
        <v/>
      </c>
      <c r="O126" s="99"/>
    </row>
    <row r="127" spans="1:15" ht="22.15" customHeight="1" x14ac:dyDescent="0.2">
      <c r="A127" s="53" t="str">
        <f>IF(B127&lt;&gt;"",123,"")</f>
        <v/>
      </c>
      <c r="B127" s="53"/>
      <c r="C127" s="53" t="str">
        <f>IFERROR(VLOOKUP(B127,'👥 بيانات الموظفين'!B:C,2,0),"")</f>
        <v/>
      </c>
      <c r="D127" s="53" t="str">
        <f>IFERROR(VLOOKUP(B127,'👥 بيانات الموظفين'!B:E,4,0),"")</f>
        <v/>
      </c>
      <c r="E127" s="68"/>
      <c r="F127" s="68"/>
      <c r="G127" s="68"/>
      <c r="H127" s="68"/>
      <c r="I127" s="68"/>
      <c r="J127" s="68"/>
      <c r="K127" s="68" t="str">
        <f t="shared" si="3"/>
        <v/>
      </c>
      <c r="L127" s="53" t="str">
        <f t="shared" si="4"/>
        <v/>
      </c>
      <c r="M127" s="62" t="str">
        <f t="shared" si="5"/>
        <v/>
      </c>
      <c r="N127" s="54" t="str">
        <f>IF(K127="","",IF(K127&gt;=90,IFERROR(VLOOKUP(B127,'👥 بيانات الموظفين'!B:H,7,0),0)*0.15,IF(K127&gt;=75,IFERROR(VLOOKUP(B127,'👥 بيانات الموظفين'!B:H,7,0),0)*0.1,IF(K127&gt;=60,IFERROR(VLOOKUP(B127,'👥 بيانات الموظفين'!B:H,7,0),0)*0.05,0))))</f>
        <v/>
      </c>
      <c r="O127" s="98"/>
    </row>
    <row r="128" spans="1:15" ht="22.15" customHeight="1" x14ac:dyDescent="0.2">
      <c r="A128" s="57" t="str">
        <f>IF(B128&lt;&gt;"",124,"")</f>
        <v/>
      </c>
      <c r="B128" s="57"/>
      <c r="C128" s="57" t="str">
        <f>IFERROR(VLOOKUP(B128,'👥 بيانات الموظفين'!B:C,2,0),"")</f>
        <v/>
      </c>
      <c r="D128" s="57" t="str">
        <f>IFERROR(VLOOKUP(B128,'👥 بيانات الموظفين'!B:E,4,0),"")</f>
        <v/>
      </c>
      <c r="E128" s="69"/>
      <c r="F128" s="69"/>
      <c r="G128" s="69"/>
      <c r="H128" s="69"/>
      <c r="I128" s="69"/>
      <c r="J128" s="69"/>
      <c r="K128" s="69" t="str">
        <f t="shared" si="3"/>
        <v/>
      </c>
      <c r="L128" s="57" t="str">
        <f t="shared" si="4"/>
        <v/>
      </c>
      <c r="M128" s="63" t="str">
        <f t="shared" si="5"/>
        <v/>
      </c>
      <c r="N128" s="58" t="str">
        <f>IF(K128="","",IF(K128&gt;=90,IFERROR(VLOOKUP(B128,'👥 بيانات الموظفين'!B:H,7,0),0)*0.15,IF(K128&gt;=75,IFERROR(VLOOKUP(B128,'👥 بيانات الموظفين'!B:H,7,0),0)*0.1,IF(K128&gt;=60,IFERROR(VLOOKUP(B128,'👥 بيانات الموظفين'!B:H,7,0),0)*0.05,0))))</f>
        <v/>
      </c>
      <c r="O128" s="99"/>
    </row>
    <row r="129" spans="1:15" ht="22.15" customHeight="1" x14ac:dyDescent="0.2">
      <c r="A129" s="53" t="str">
        <f>IF(B129&lt;&gt;"",125,"")</f>
        <v/>
      </c>
      <c r="B129" s="53"/>
      <c r="C129" s="53" t="str">
        <f>IFERROR(VLOOKUP(B129,'👥 بيانات الموظفين'!B:C,2,0),"")</f>
        <v/>
      </c>
      <c r="D129" s="53" t="str">
        <f>IFERROR(VLOOKUP(B129,'👥 بيانات الموظفين'!B:E,4,0),"")</f>
        <v/>
      </c>
      <c r="E129" s="68"/>
      <c r="F129" s="68"/>
      <c r="G129" s="68"/>
      <c r="H129" s="68"/>
      <c r="I129" s="68"/>
      <c r="J129" s="68"/>
      <c r="K129" s="68" t="str">
        <f t="shared" si="3"/>
        <v/>
      </c>
      <c r="L129" s="53" t="str">
        <f t="shared" si="4"/>
        <v/>
      </c>
      <c r="M129" s="62" t="str">
        <f t="shared" si="5"/>
        <v/>
      </c>
      <c r="N129" s="54" t="str">
        <f>IF(K129="","",IF(K129&gt;=90,IFERROR(VLOOKUP(B129,'👥 بيانات الموظفين'!B:H,7,0),0)*0.15,IF(K129&gt;=75,IFERROR(VLOOKUP(B129,'👥 بيانات الموظفين'!B:H,7,0),0)*0.1,IF(K129&gt;=60,IFERROR(VLOOKUP(B129,'👥 بيانات الموظفين'!B:H,7,0),0)*0.05,0))))</f>
        <v/>
      </c>
      <c r="O129" s="98"/>
    </row>
    <row r="130" spans="1:15" ht="22.15" customHeight="1" x14ac:dyDescent="0.2">
      <c r="A130" s="57" t="str">
        <f>IF(B130&lt;&gt;"",126,"")</f>
        <v/>
      </c>
      <c r="B130" s="57"/>
      <c r="C130" s="57" t="str">
        <f>IFERROR(VLOOKUP(B130,'👥 بيانات الموظفين'!B:C,2,0),"")</f>
        <v/>
      </c>
      <c r="D130" s="57" t="str">
        <f>IFERROR(VLOOKUP(B130,'👥 بيانات الموظفين'!B:E,4,0),"")</f>
        <v/>
      </c>
      <c r="E130" s="69"/>
      <c r="F130" s="69"/>
      <c r="G130" s="69"/>
      <c r="H130" s="69"/>
      <c r="I130" s="69"/>
      <c r="J130" s="69"/>
      <c r="K130" s="69" t="str">
        <f t="shared" si="3"/>
        <v/>
      </c>
      <c r="L130" s="57" t="str">
        <f t="shared" si="4"/>
        <v/>
      </c>
      <c r="M130" s="63" t="str">
        <f t="shared" si="5"/>
        <v/>
      </c>
      <c r="N130" s="58" t="str">
        <f>IF(K130="","",IF(K130&gt;=90,IFERROR(VLOOKUP(B130,'👥 بيانات الموظفين'!B:H,7,0),0)*0.15,IF(K130&gt;=75,IFERROR(VLOOKUP(B130,'👥 بيانات الموظفين'!B:H,7,0),0)*0.1,IF(K130&gt;=60,IFERROR(VLOOKUP(B130,'👥 بيانات الموظفين'!B:H,7,0),0)*0.05,0))))</f>
        <v/>
      </c>
      <c r="O130" s="99"/>
    </row>
    <row r="131" spans="1:15" ht="22.15" customHeight="1" x14ac:dyDescent="0.2">
      <c r="A131" s="53" t="str">
        <f>IF(B131&lt;&gt;"",127,"")</f>
        <v/>
      </c>
      <c r="B131" s="53"/>
      <c r="C131" s="53" t="str">
        <f>IFERROR(VLOOKUP(B131,'👥 بيانات الموظفين'!B:C,2,0),"")</f>
        <v/>
      </c>
      <c r="D131" s="53" t="str">
        <f>IFERROR(VLOOKUP(B131,'👥 بيانات الموظفين'!B:E,4,0),"")</f>
        <v/>
      </c>
      <c r="E131" s="68"/>
      <c r="F131" s="68"/>
      <c r="G131" s="68"/>
      <c r="H131" s="68"/>
      <c r="I131" s="68"/>
      <c r="J131" s="68"/>
      <c r="K131" s="68" t="str">
        <f t="shared" si="3"/>
        <v/>
      </c>
      <c r="L131" s="53" t="str">
        <f t="shared" si="4"/>
        <v/>
      </c>
      <c r="M131" s="62" t="str">
        <f t="shared" si="5"/>
        <v/>
      </c>
      <c r="N131" s="54" t="str">
        <f>IF(K131="","",IF(K131&gt;=90,IFERROR(VLOOKUP(B131,'👥 بيانات الموظفين'!B:H,7,0),0)*0.15,IF(K131&gt;=75,IFERROR(VLOOKUP(B131,'👥 بيانات الموظفين'!B:H,7,0),0)*0.1,IF(K131&gt;=60,IFERROR(VLOOKUP(B131,'👥 بيانات الموظفين'!B:H,7,0),0)*0.05,0))))</f>
        <v/>
      </c>
      <c r="O131" s="98"/>
    </row>
    <row r="132" spans="1:15" ht="22.15" customHeight="1" x14ac:dyDescent="0.2">
      <c r="A132" s="57" t="str">
        <f>IF(B132&lt;&gt;"",128,"")</f>
        <v/>
      </c>
      <c r="B132" s="57"/>
      <c r="C132" s="57" t="str">
        <f>IFERROR(VLOOKUP(B132,'👥 بيانات الموظفين'!B:C,2,0),"")</f>
        <v/>
      </c>
      <c r="D132" s="57" t="str">
        <f>IFERROR(VLOOKUP(B132,'👥 بيانات الموظفين'!B:E,4,0),"")</f>
        <v/>
      </c>
      <c r="E132" s="69"/>
      <c r="F132" s="69"/>
      <c r="G132" s="69"/>
      <c r="H132" s="69"/>
      <c r="I132" s="69"/>
      <c r="J132" s="69"/>
      <c r="K132" s="69" t="str">
        <f t="shared" si="3"/>
        <v/>
      </c>
      <c r="L132" s="57" t="str">
        <f t="shared" si="4"/>
        <v/>
      </c>
      <c r="M132" s="63" t="str">
        <f t="shared" si="5"/>
        <v/>
      </c>
      <c r="N132" s="58" t="str">
        <f>IF(K132="","",IF(K132&gt;=90,IFERROR(VLOOKUP(B132,'👥 بيانات الموظفين'!B:H,7,0),0)*0.15,IF(K132&gt;=75,IFERROR(VLOOKUP(B132,'👥 بيانات الموظفين'!B:H,7,0),0)*0.1,IF(K132&gt;=60,IFERROR(VLOOKUP(B132,'👥 بيانات الموظفين'!B:H,7,0),0)*0.05,0))))</f>
        <v/>
      </c>
      <c r="O132" s="99"/>
    </row>
    <row r="133" spans="1:15" ht="22.15" customHeight="1" x14ac:dyDescent="0.2">
      <c r="A133" s="53" t="str">
        <f>IF(B133&lt;&gt;"",129,"")</f>
        <v/>
      </c>
      <c r="B133" s="53"/>
      <c r="C133" s="53" t="str">
        <f>IFERROR(VLOOKUP(B133,'👥 بيانات الموظفين'!B:C,2,0),"")</f>
        <v/>
      </c>
      <c r="D133" s="53" t="str">
        <f>IFERROR(VLOOKUP(B133,'👥 بيانات الموظفين'!B:E,4,0),"")</f>
        <v/>
      </c>
      <c r="E133" s="68"/>
      <c r="F133" s="68"/>
      <c r="G133" s="68"/>
      <c r="H133" s="68"/>
      <c r="I133" s="68"/>
      <c r="J133" s="68"/>
      <c r="K133" s="68" t="str">
        <f t="shared" ref="K133:K196" si="6">IF(B133&lt;&gt;"",IF(AND(F133&lt;&gt;"",G133&lt;&gt;"",H133&lt;&gt;"",I133&lt;&gt;"",J133&lt;&gt;""),SUM(F133:J133),""),"")</f>
        <v/>
      </c>
      <c r="L133" s="53" t="str">
        <f t="shared" ref="L133:L196" si="7">IF(K133="","",IF(K133&gt;=90,"ممتاز",IF(K133&gt;=75,"جيد جداً",IF(K133&gt;=60,"جيد",IF(K133&gt;=50,"مقبول","ضعيف")))))</f>
        <v/>
      </c>
      <c r="M133" s="62" t="str">
        <f t="shared" ref="M133:M196" si="8">IF(K133="","",IF(K133&gt;=90,"A",IF(K133&gt;=75,"B",IF(K133&gt;=60,"C",IF(K133&gt;=50,"D","F")))))</f>
        <v/>
      </c>
      <c r="N133" s="54" t="str">
        <f>IF(K133="","",IF(K133&gt;=90,IFERROR(VLOOKUP(B133,'👥 بيانات الموظفين'!B:H,7,0),0)*0.15,IF(K133&gt;=75,IFERROR(VLOOKUP(B133,'👥 بيانات الموظفين'!B:H,7,0),0)*0.1,IF(K133&gt;=60,IFERROR(VLOOKUP(B133,'👥 بيانات الموظفين'!B:H,7,0),0)*0.05,0))))</f>
        <v/>
      </c>
      <c r="O133" s="98"/>
    </row>
    <row r="134" spans="1:15" ht="22.15" customHeight="1" x14ac:dyDescent="0.2">
      <c r="A134" s="57" t="str">
        <f>IF(B134&lt;&gt;"",130,"")</f>
        <v/>
      </c>
      <c r="B134" s="57"/>
      <c r="C134" s="57" t="str">
        <f>IFERROR(VLOOKUP(B134,'👥 بيانات الموظفين'!B:C,2,0),"")</f>
        <v/>
      </c>
      <c r="D134" s="57" t="str">
        <f>IFERROR(VLOOKUP(B134,'👥 بيانات الموظفين'!B:E,4,0),"")</f>
        <v/>
      </c>
      <c r="E134" s="69"/>
      <c r="F134" s="69"/>
      <c r="G134" s="69"/>
      <c r="H134" s="69"/>
      <c r="I134" s="69"/>
      <c r="J134" s="69"/>
      <c r="K134" s="69" t="str">
        <f t="shared" si="6"/>
        <v/>
      </c>
      <c r="L134" s="57" t="str">
        <f t="shared" si="7"/>
        <v/>
      </c>
      <c r="M134" s="63" t="str">
        <f t="shared" si="8"/>
        <v/>
      </c>
      <c r="N134" s="58" t="str">
        <f>IF(K134="","",IF(K134&gt;=90,IFERROR(VLOOKUP(B134,'👥 بيانات الموظفين'!B:H,7,0),0)*0.15,IF(K134&gt;=75,IFERROR(VLOOKUP(B134,'👥 بيانات الموظفين'!B:H,7,0),0)*0.1,IF(K134&gt;=60,IFERROR(VLOOKUP(B134,'👥 بيانات الموظفين'!B:H,7,0),0)*0.05,0))))</f>
        <v/>
      </c>
      <c r="O134" s="99"/>
    </row>
    <row r="135" spans="1:15" ht="22.15" customHeight="1" x14ac:dyDescent="0.2">
      <c r="A135" s="53" t="str">
        <f>IF(B135&lt;&gt;"",131,"")</f>
        <v/>
      </c>
      <c r="B135" s="53"/>
      <c r="C135" s="53" t="str">
        <f>IFERROR(VLOOKUP(B135,'👥 بيانات الموظفين'!B:C,2,0),"")</f>
        <v/>
      </c>
      <c r="D135" s="53" t="str">
        <f>IFERROR(VLOOKUP(B135,'👥 بيانات الموظفين'!B:E,4,0),"")</f>
        <v/>
      </c>
      <c r="E135" s="68"/>
      <c r="F135" s="68"/>
      <c r="G135" s="68"/>
      <c r="H135" s="68"/>
      <c r="I135" s="68"/>
      <c r="J135" s="68"/>
      <c r="K135" s="68" t="str">
        <f t="shared" si="6"/>
        <v/>
      </c>
      <c r="L135" s="53" t="str">
        <f t="shared" si="7"/>
        <v/>
      </c>
      <c r="M135" s="62" t="str">
        <f t="shared" si="8"/>
        <v/>
      </c>
      <c r="N135" s="54" t="str">
        <f>IF(K135="","",IF(K135&gt;=90,IFERROR(VLOOKUP(B135,'👥 بيانات الموظفين'!B:H,7,0),0)*0.15,IF(K135&gt;=75,IFERROR(VLOOKUP(B135,'👥 بيانات الموظفين'!B:H,7,0),0)*0.1,IF(K135&gt;=60,IFERROR(VLOOKUP(B135,'👥 بيانات الموظفين'!B:H,7,0),0)*0.05,0))))</f>
        <v/>
      </c>
      <c r="O135" s="98"/>
    </row>
    <row r="136" spans="1:15" ht="22.15" customHeight="1" x14ac:dyDescent="0.2">
      <c r="A136" s="57" t="str">
        <f>IF(B136&lt;&gt;"",132,"")</f>
        <v/>
      </c>
      <c r="B136" s="57"/>
      <c r="C136" s="57" t="str">
        <f>IFERROR(VLOOKUP(B136,'👥 بيانات الموظفين'!B:C,2,0),"")</f>
        <v/>
      </c>
      <c r="D136" s="57" t="str">
        <f>IFERROR(VLOOKUP(B136,'👥 بيانات الموظفين'!B:E,4,0),"")</f>
        <v/>
      </c>
      <c r="E136" s="69"/>
      <c r="F136" s="69"/>
      <c r="G136" s="69"/>
      <c r="H136" s="69"/>
      <c r="I136" s="69"/>
      <c r="J136" s="69"/>
      <c r="K136" s="69" t="str">
        <f t="shared" si="6"/>
        <v/>
      </c>
      <c r="L136" s="57" t="str">
        <f t="shared" si="7"/>
        <v/>
      </c>
      <c r="M136" s="63" t="str">
        <f t="shared" si="8"/>
        <v/>
      </c>
      <c r="N136" s="58" t="str">
        <f>IF(K136="","",IF(K136&gt;=90,IFERROR(VLOOKUP(B136,'👥 بيانات الموظفين'!B:H,7,0),0)*0.15,IF(K136&gt;=75,IFERROR(VLOOKUP(B136,'👥 بيانات الموظفين'!B:H,7,0),0)*0.1,IF(K136&gt;=60,IFERROR(VLOOKUP(B136,'👥 بيانات الموظفين'!B:H,7,0),0)*0.05,0))))</f>
        <v/>
      </c>
      <c r="O136" s="99"/>
    </row>
    <row r="137" spans="1:15" ht="22.15" customHeight="1" x14ac:dyDescent="0.2">
      <c r="A137" s="53" t="str">
        <f>IF(B137&lt;&gt;"",133,"")</f>
        <v/>
      </c>
      <c r="B137" s="53"/>
      <c r="C137" s="53" t="str">
        <f>IFERROR(VLOOKUP(B137,'👥 بيانات الموظفين'!B:C,2,0),"")</f>
        <v/>
      </c>
      <c r="D137" s="53" t="str">
        <f>IFERROR(VLOOKUP(B137,'👥 بيانات الموظفين'!B:E,4,0),"")</f>
        <v/>
      </c>
      <c r="E137" s="68"/>
      <c r="F137" s="68"/>
      <c r="G137" s="68"/>
      <c r="H137" s="68"/>
      <c r="I137" s="68"/>
      <c r="J137" s="68"/>
      <c r="K137" s="68" t="str">
        <f t="shared" si="6"/>
        <v/>
      </c>
      <c r="L137" s="53" t="str">
        <f t="shared" si="7"/>
        <v/>
      </c>
      <c r="M137" s="62" t="str">
        <f t="shared" si="8"/>
        <v/>
      </c>
      <c r="N137" s="54" t="str">
        <f>IF(K137="","",IF(K137&gt;=90,IFERROR(VLOOKUP(B137,'👥 بيانات الموظفين'!B:H,7,0),0)*0.15,IF(K137&gt;=75,IFERROR(VLOOKUP(B137,'👥 بيانات الموظفين'!B:H,7,0),0)*0.1,IF(K137&gt;=60,IFERROR(VLOOKUP(B137,'👥 بيانات الموظفين'!B:H,7,0),0)*0.05,0))))</f>
        <v/>
      </c>
      <c r="O137" s="98"/>
    </row>
    <row r="138" spans="1:15" ht="22.15" customHeight="1" x14ac:dyDescent="0.2">
      <c r="A138" s="57" t="str">
        <f>IF(B138&lt;&gt;"",134,"")</f>
        <v/>
      </c>
      <c r="B138" s="57"/>
      <c r="C138" s="57" t="str">
        <f>IFERROR(VLOOKUP(B138,'👥 بيانات الموظفين'!B:C,2,0),"")</f>
        <v/>
      </c>
      <c r="D138" s="57" t="str">
        <f>IFERROR(VLOOKUP(B138,'👥 بيانات الموظفين'!B:E,4,0),"")</f>
        <v/>
      </c>
      <c r="E138" s="69"/>
      <c r="F138" s="69"/>
      <c r="G138" s="69"/>
      <c r="H138" s="69"/>
      <c r="I138" s="69"/>
      <c r="J138" s="69"/>
      <c r="K138" s="69" t="str">
        <f t="shared" si="6"/>
        <v/>
      </c>
      <c r="L138" s="57" t="str">
        <f t="shared" si="7"/>
        <v/>
      </c>
      <c r="M138" s="63" t="str">
        <f t="shared" si="8"/>
        <v/>
      </c>
      <c r="N138" s="58" t="str">
        <f>IF(K138="","",IF(K138&gt;=90,IFERROR(VLOOKUP(B138,'👥 بيانات الموظفين'!B:H,7,0),0)*0.15,IF(K138&gt;=75,IFERROR(VLOOKUP(B138,'👥 بيانات الموظفين'!B:H,7,0),0)*0.1,IF(K138&gt;=60,IFERROR(VLOOKUP(B138,'👥 بيانات الموظفين'!B:H,7,0),0)*0.05,0))))</f>
        <v/>
      </c>
      <c r="O138" s="99"/>
    </row>
    <row r="139" spans="1:15" ht="22.15" customHeight="1" x14ac:dyDescent="0.2">
      <c r="A139" s="53" t="str">
        <f>IF(B139&lt;&gt;"",135,"")</f>
        <v/>
      </c>
      <c r="B139" s="53"/>
      <c r="C139" s="53" t="str">
        <f>IFERROR(VLOOKUP(B139,'👥 بيانات الموظفين'!B:C,2,0),"")</f>
        <v/>
      </c>
      <c r="D139" s="53" t="str">
        <f>IFERROR(VLOOKUP(B139,'👥 بيانات الموظفين'!B:E,4,0),"")</f>
        <v/>
      </c>
      <c r="E139" s="68"/>
      <c r="F139" s="68"/>
      <c r="G139" s="68"/>
      <c r="H139" s="68"/>
      <c r="I139" s="68"/>
      <c r="J139" s="68"/>
      <c r="K139" s="68" t="str">
        <f t="shared" si="6"/>
        <v/>
      </c>
      <c r="L139" s="53" t="str">
        <f t="shared" si="7"/>
        <v/>
      </c>
      <c r="M139" s="62" t="str">
        <f t="shared" si="8"/>
        <v/>
      </c>
      <c r="N139" s="54" t="str">
        <f>IF(K139="","",IF(K139&gt;=90,IFERROR(VLOOKUP(B139,'👥 بيانات الموظفين'!B:H,7,0),0)*0.15,IF(K139&gt;=75,IFERROR(VLOOKUP(B139,'👥 بيانات الموظفين'!B:H,7,0),0)*0.1,IF(K139&gt;=60,IFERROR(VLOOKUP(B139,'👥 بيانات الموظفين'!B:H,7,0),0)*0.05,0))))</f>
        <v/>
      </c>
      <c r="O139" s="98"/>
    </row>
    <row r="140" spans="1:15" ht="22.15" customHeight="1" x14ac:dyDescent="0.2">
      <c r="A140" s="57" t="str">
        <f>IF(B140&lt;&gt;"",136,"")</f>
        <v/>
      </c>
      <c r="B140" s="57"/>
      <c r="C140" s="57" t="str">
        <f>IFERROR(VLOOKUP(B140,'👥 بيانات الموظفين'!B:C,2,0),"")</f>
        <v/>
      </c>
      <c r="D140" s="57" t="str">
        <f>IFERROR(VLOOKUP(B140,'👥 بيانات الموظفين'!B:E,4,0),"")</f>
        <v/>
      </c>
      <c r="E140" s="69"/>
      <c r="F140" s="69"/>
      <c r="G140" s="69"/>
      <c r="H140" s="69"/>
      <c r="I140" s="69"/>
      <c r="J140" s="69"/>
      <c r="K140" s="69" t="str">
        <f t="shared" si="6"/>
        <v/>
      </c>
      <c r="L140" s="57" t="str">
        <f t="shared" si="7"/>
        <v/>
      </c>
      <c r="M140" s="63" t="str">
        <f t="shared" si="8"/>
        <v/>
      </c>
      <c r="N140" s="58" t="str">
        <f>IF(K140="","",IF(K140&gt;=90,IFERROR(VLOOKUP(B140,'👥 بيانات الموظفين'!B:H,7,0),0)*0.15,IF(K140&gt;=75,IFERROR(VLOOKUP(B140,'👥 بيانات الموظفين'!B:H,7,0),0)*0.1,IF(K140&gt;=60,IFERROR(VLOOKUP(B140,'👥 بيانات الموظفين'!B:H,7,0),0)*0.05,0))))</f>
        <v/>
      </c>
      <c r="O140" s="99"/>
    </row>
    <row r="141" spans="1:15" ht="22.15" customHeight="1" x14ac:dyDescent="0.2">
      <c r="A141" s="53" t="str">
        <f>IF(B141&lt;&gt;"",137,"")</f>
        <v/>
      </c>
      <c r="B141" s="53"/>
      <c r="C141" s="53" t="str">
        <f>IFERROR(VLOOKUP(B141,'👥 بيانات الموظفين'!B:C,2,0),"")</f>
        <v/>
      </c>
      <c r="D141" s="53" t="str">
        <f>IFERROR(VLOOKUP(B141,'👥 بيانات الموظفين'!B:E,4,0),"")</f>
        <v/>
      </c>
      <c r="E141" s="68"/>
      <c r="F141" s="68"/>
      <c r="G141" s="68"/>
      <c r="H141" s="68"/>
      <c r="I141" s="68"/>
      <c r="J141" s="68"/>
      <c r="K141" s="68" t="str">
        <f t="shared" si="6"/>
        <v/>
      </c>
      <c r="L141" s="53" t="str">
        <f t="shared" si="7"/>
        <v/>
      </c>
      <c r="M141" s="62" t="str">
        <f t="shared" si="8"/>
        <v/>
      </c>
      <c r="N141" s="54" t="str">
        <f>IF(K141="","",IF(K141&gt;=90,IFERROR(VLOOKUP(B141,'👥 بيانات الموظفين'!B:H,7,0),0)*0.15,IF(K141&gt;=75,IFERROR(VLOOKUP(B141,'👥 بيانات الموظفين'!B:H,7,0),0)*0.1,IF(K141&gt;=60,IFERROR(VLOOKUP(B141,'👥 بيانات الموظفين'!B:H,7,0),0)*0.05,0))))</f>
        <v/>
      </c>
      <c r="O141" s="98"/>
    </row>
    <row r="142" spans="1:15" ht="22.15" customHeight="1" x14ac:dyDescent="0.2">
      <c r="A142" s="57" t="str">
        <f>IF(B142&lt;&gt;"",138,"")</f>
        <v/>
      </c>
      <c r="B142" s="57"/>
      <c r="C142" s="57" t="str">
        <f>IFERROR(VLOOKUP(B142,'👥 بيانات الموظفين'!B:C,2,0),"")</f>
        <v/>
      </c>
      <c r="D142" s="57" t="str">
        <f>IFERROR(VLOOKUP(B142,'👥 بيانات الموظفين'!B:E,4,0),"")</f>
        <v/>
      </c>
      <c r="E142" s="69"/>
      <c r="F142" s="69"/>
      <c r="G142" s="69"/>
      <c r="H142" s="69"/>
      <c r="I142" s="69"/>
      <c r="J142" s="69"/>
      <c r="K142" s="69" t="str">
        <f t="shared" si="6"/>
        <v/>
      </c>
      <c r="L142" s="57" t="str">
        <f t="shared" si="7"/>
        <v/>
      </c>
      <c r="M142" s="63" t="str">
        <f t="shared" si="8"/>
        <v/>
      </c>
      <c r="N142" s="58" t="str">
        <f>IF(K142="","",IF(K142&gt;=90,IFERROR(VLOOKUP(B142,'👥 بيانات الموظفين'!B:H,7,0),0)*0.15,IF(K142&gt;=75,IFERROR(VLOOKUP(B142,'👥 بيانات الموظفين'!B:H,7,0),0)*0.1,IF(K142&gt;=60,IFERROR(VLOOKUP(B142,'👥 بيانات الموظفين'!B:H,7,0),0)*0.05,0))))</f>
        <v/>
      </c>
      <c r="O142" s="99"/>
    </row>
    <row r="143" spans="1:15" ht="22.15" customHeight="1" x14ac:dyDescent="0.2">
      <c r="A143" s="53" t="str">
        <f>IF(B143&lt;&gt;"",139,"")</f>
        <v/>
      </c>
      <c r="B143" s="53"/>
      <c r="C143" s="53" t="str">
        <f>IFERROR(VLOOKUP(B143,'👥 بيانات الموظفين'!B:C,2,0),"")</f>
        <v/>
      </c>
      <c r="D143" s="53" t="str">
        <f>IFERROR(VLOOKUP(B143,'👥 بيانات الموظفين'!B:E,4,0),"")</f>
        <v/>
      </c>
      <c r="E143" s="68"/>
      <c r="F143" s="68"/>
      <c r="G143" s="68"/>
      <c r="H143" s="68"/>
      <c r="I143" s="68"/>
      <c r="J143" s="68"/>
      <c r="K143" s="68" t="str">
        <f t="shared" si="6"/>
        <v/>
      </c>
      <c r="L143" s="53" t="str">
        <f t="shared" si="7"/>
        <v/>
      </c>
      <c r="M143" s="62" t="str">
        <f t="shared" si="8"/>
        <v/>
      </c>
      <c r="N143" s="54" t="str">
        <f>IF(K143="","",IF(K143&gt;=90,IFERROR(VLOOKUP(B143,'👥 بيانات الموظفين'!B:H,7,0),0)*0.15,IF(K143&gt;=75,IFERROR(VLOOKUP(B143,'👥 بيانات الموظفين'!B:H,7,0),0)*0.1,IF(K143&gt;=60,IFERROR(VLOOKUP(B143,'👥 بيانات الموظفين'!B:H,7,0),0)*0.05,0))))</f>
        <v/>
      </c>
      <c r="O143" s="98"/>
    </row>
    <row r="144" spans="1:15" ht="22.15" customHeight="1" x14ac:dyDescent="0.2">
      <c r="A144" s="57" t="str">
        <f>IF(B144&lt;&gt;"",140,"")</f>
        <v/>
      </c>
      <c r="B144" s="57"/>
      <c r="C144" s="57" t="str">
        <f>IFERROR(VLOOKUP(B144,'👥 بيانات الموظفين'!B:C,2,0),"")</f>
        <v/>
      </c>
      <c r="D144" s="57" t="str">
        <f>IFERROR(VLOOKUP(B144,'👥 بيانات الموظفين'!B:E,4,0),"")</f>
        <v/>
      </c>
      <c r="E144" s="69"/>
      <c r="F144" s="69"/>
      <c r="G144" s="69"/>
      <c r="H144" s="69"/>
      <c r="I144" s="69"/>
      <c r="J144" s="69"/>
      <c r="K144" s="69" t="str">
        <f t="shared" si="6"/>
        <v/>
      </c>
      <c r="L144" s="57" t="str">
        <f t="shared" si="7"/>
        <v/>
      </c>
      <c r="M144" s="63" t="str">
        <f t="shared" si="8"/>
        <v/>
      </c>
      <c r="N144" s="58" t="str">
        <f>IF(K144="","",IF(K144&gt;=90,IFERROR(VLOOKUP(B144,'👥 بيانات الموظفين'!B:H,7,0),0)*0.15,IF(K144&gt;=75,IFERROR(VLOOKUP(B144,'👥 بيانات الموظفين'!B:H,7,0),0)*0.1,IF(K144&gt;=60,IFERROR(VLOOKUP(B144,'👥 بيانات الموظفين'!B:H,7,0),0)*0.05,0))))</f>
        <v/>
      </c>
      <c r="O144" s="99"/>
    </row>
    <row r="145" spans="1:15" ht="22.15" customHeight="1" x14ac:dyDescent="0.2">
      <c r="A145" s="53" t="str">
        <f>IF(B145&lt;&gt;"",141,"")</f>
        <v/>
      </c>
      <c r="B145" s="53"/>
      <c r="C145" s="53" t="str">
        <f>IFERROR(VLOOKUP(B145,'👥 بيانات الموظفين'!B:C,2,0),"")</f>
        <v/>
      </c>
      <c r="D145" s="53" t="str">
        <f>IFERROR(VLOOKUP(B145,'👥 بيانات الموظفين'!B:E,4,0),"")</f>
        <v/>
      </c>
      <c r="E145" s="68"/>
      <c r="F145" s="68"/>
      <c r="G145" s="68"/>
      <c r="H145" s="68"/>
      <c r="I145" s="68"/>
      <c r="J145" s="68"/>
      <c r="K145" s="68" t="str">
        <f t="shared" si="6"/>
        <v/>
      </c>
      <c r="L145" s="53" t="str">
        <f t="shared" si="7"/>
        <v/>
      </c>
      <c r="M145" s="62" t="str">
        <f t="shared" si="8"/>
        <v/>
      </c>
      <c r="N145" s="54" t="str">
        <f>IF(K145="","",IF(K145&gt;=90,IFERROR(VLOOKUP(B145,'👥 بيانات الموظفين'!B:H,7,0),0)*0.15,IF(K145&gt;=75,IFERROR(VLOOKUP(B145,'👥 بيانات الموظفين'!B:H,7,0),0)*0.1,IF(K145&gt;=60,IFERROR(VLOOKUP(B145,'👥 بيانات الموظفين'!B:H,7,0),0)*0.05,0))))</f>
        <v/>
      </c>
      <c r="O145" s="98"/>
    </row>
    <row r="146" spans="1:15" ht="22.15" customHeight="1" x14ac:dyDescent="0.2">
      <c r="A146" s="57" t="str">
        <f>IF(B146&lt;&gt;"",142,"")</f>
        <v/>
      </c>
      <c r="B146" s="57"/>
      <c r="C146" s="57" t="str">
        <f>IFERROR(VLOOKUP(B146,'👥 بيانات الموظفين'!B:C,2,0),"")</f>
        <v/>
      </c>
      <c r="D146" s="57" t="str">
        <f>IFERROR(VLOOKUP(B146,'👥 بيانات الموظفين'!B:E,4,0),"")</f>
        <v/>
      </c>
      <c r="E146" s="69"/>
      <c r="F146" s="69"/>
      <c r="G146" s="69"/>
      <c r="H146" s="69"/>
      <c r="I146" s="69"/>
      <c r="J146" s="69"/>
      <c r="K146" s="69" t="str">
        <f t="shared" si="6"/>
        <v/>
      </c>
      <c r="L146" s="57" t="str">
        <f t="shared" si="7"/>
        <v/>
      </c>
      <c r="M146" s="63" t="str">
        <f t="shared" si="8"/>
        <v/>
      </c>
      <c r="N146" s="58" t="str">
        <f>IF(K146="","",IF(K146&gt;=90,IFERROR(VLOOKUP(B146,'👥 بيانات الموظفين'!B:H,7,0),0)*0.15,IF(K146&gt;=75,IFERROR(VLOOKUP(B146,'👥 بيانات الموظفين'!B:H,7,0),0)*0.1,IF(K146&gt;=60,IFERROR(VLOOKUP(B146,'👥 بيانات الموظفين'!B:H,7,0),0)*0.05,0))))</f>
        <v/>
      </c>
      <c r="O146" s="99"/>
    </row>
    <row r="147" spans="1:15" ht="22.15" customHeight="1" x14ac:dyDescent="0.2">
      <c r="A147" s="53" t="str">
        <f>IF(B147&lt;&gt;"",143,"")</f>
        <v/>
      </c>
      <c r="B147" s="53"/>
      <c r="C147" s="53" t="str">
        <f>IFERROR(VLOOKUP(B147,'👥 بيانات الموظفين'!B:C,2,0),"")</f>
        <v/>
      </c>
      <c r="D147" s="53" t="str">
        <f>IFERROR(VLOOKUP(B147,'👥 بيانات الموظفين'!B:E,4,0),"")</f>
        <v/>
      </c>
      <c r="E147" s="68"/>
      <c r="F147" s="68"/>
      <c r="G147" s="68"/>
      <c r="H147" s="68"/>
      <c r="I147" s="68"/>
      <c r="J147" s="68"/>
      <c r="K147" s="68" t="str">
        <f t="shared" si="6"/>
        <v/>
      </c>
      <c r="L147" s="53" t="str">
        <f t="shared" si="7"/>
        <v/>
      </c>
      <c r="M147" s="62" t="str">
        <f t="shared" si="8"/>
        <v/>
      </c>
      <c r="N147" s="54" t="str">
        <f>IF(K147="","",IF(K147&gt;=90,IFERROR(VLOOKUP(B147,'👥 بيانات الموظفين'!B:H,7,0),0)*0.15,IF(K147&gt;=75,IFERROR(VLOOKUP(B147,'👥 بيانات الموظفين'!B:H,7,0),0)*0.1,IF(K147&gt;=60,IFERROR(VLOOKUP(B147,'👥 بيانات الموظفين'!B:H,7,0),0)*0.05,0))))</f>
        <v/>
      </c>
      <c r="O147" s="98"/>
    </row>
    <row r="148" spans="1:15" ht="22.15" customHeight="1" x14ac:dyDescent="0.2">
      <c r="A148" s="57" t="str">
        <f>IF(B148&lt;&gt;"",144,"")</f>
        <v/>
      </c>
      <c r="B148" s="57"/>
      <c r="C148" s="57" t="str">
        <f>IFERROR(VLOOKUP(B148,'👥 بيانات الموظفين'!B:C,2,0),"")</f>
        <v/>
      </c>
      <c r="D148" s="57" t="str">
        <f>IFERROR(VLOOKUP(B148,'👥 بيانات الموظفين'!B:E,4,0),"")</f>
        <v/>
      </c>
      <c r="E148" s="69"/>
      <c r="F148" s="69"/>
      <c r="G148" s="69"/>
      <c r="H148" s="69"/>
      <c r="I148" s="69"/>
      <c r="J148" s="69"/>
      <c r="K148" s="69" t="str">
        <f t="shared" si="6"/>
        <v/>
      </c>
      <c r="L148" s="57" t="str">
        <f t="shared" si="7"/>
        <v/>
      </c>
      <c r="M148" s="63" t="str">
        <f t="shared" si="8"/>
        <v/>
      </c>
      <c r="N148" s="58" t="str">
        <f>IF(K148="","",IF(K148&gt;=90,IFERROR(VLOOKUP(B148,'👥 بيانات الموظفين'!B:H,7,0),0)*0.15,IF(K148&gt;=75,IFERROR(VLOOKUP(B148,'👥 بيانات الموظفين'!B:H,7,0),0)*0.1,IF(K148&gt;=60,IFERROR(VLOOKUP(B148,'👥 بيانات الموظفين'!B:H,7,0),0)*0.05,0))))</f>
        <v/>
      </c>
      <c r="O148" s="99"/>
    </row>
    <row r="149" spans="1:15" ht="22.15" customHeight="1" x14ac:dyDescent="0.2">
      <c r="A149" s="53" t="str">
        <f>IF(B149&lt;&gt;"",145,"")</f>
        <v/>
      </c>
      <c r="B149" s="53"/>
      <c r="C149" s="53" t="str">
        <f>IFERROR(VLOOKUP(B149,'👥 بيانات الموظفين'!B:C,2,0),"")</f>
        <v/>
      </c>
      <c r="D149" s="53" t="str">
        <f>IFERROR(VLOOKUP(B149,'👥 بيانات الموظفين'!B:E,4,0),"")</f>
        <v/>
      </c>
      <c r="E149" s="68"/>
      <c r="F149" s="68"/>
      <c r="G149" s="68"/>
      <c r="H149" s="68"/>
      <c r="I149" s="68"/>
      <c r="J149" s="68"/>
      <c r="K149" s="68" t="str">
        <f t="shared" si="6"/>
        <v/>
      </c>
      <c r="L149" s="53" t="str">
        <f t="shared" si="7"/>
        <v/>
      </c>
      <c r="M149" s="62" t="str">
        <f t="shared" si="8"/>
        <v/>
      </c>
      <c r="N149" s="54" t="str">
        <f>IF(K149="","",IF(K149&gt;=90,IFERROR(VLOOKUP(B149,'👥 بيانات الموظفين'!B:H,7,0),0)*0.15,IF(K149&gt;=75,IFERROR(VLOOKUP(B149,'👥 بيانات الموظفين'!B:H,7,0),0)*0.1,IF(K149&gt;=60,IFERROR(VLOOKUP(B149,'👥 بيانات الموظفين'!B:H,7,0),0)*0.05,0))))</f>
        <v/>
      </c>
      <c r="O149" s="98"/>
    </row>
    <row r="150" spans="1:15" ht="22.15" customHeight="1" x14ac:dyDescent="0.2">
      <c r="A150" s="57" t="str">
        <f>IF(B150&lt;&gt;"",146,"")</f>
        <v/>
      </c>
      <c r="B150" s="57"/>
      <c r="C150" s="57" t="str">
        <f>IFERROR(VLOOKUP(B150,'👥 بيانات الموظفين'!B:C,2,0),"")</f>
        <v/>
      </c>
      <c r="D150" s="57" t="str">
        <f>IFERROR(VLOOKUP(B150,'👥 بيانات الموظفين'!B:E,4,0),"")</f>
        <v/>
      </c>
      <c r="E150" s="69"/>
      <c r="F150" s="69"/>
      <c r="G150" s="69"/>
      <c r="H150" s="69"/>
      <c r="I150" s="69"/>
      <c r="J150" s="69"/>
      <c r="K150" s="69" t="str">
        <f t="shared" si="6"/>
        <v/>
      </c>
      <c r="L150" s="57" t="str">
        <f t="shared" si="7"/>
        <v/>
      </c>
      <c r="M150" s="63" t="str">
        <f t="shared" si="8"/>
        <v/>
      </c>
      <c r="N150" s="58" t="str">
        <f>IF(K150="","",IF(K150&gt;=90,IFERROR(VLOOKUP(B150,'👥 بيانات الموظفين'!B:H,7,0),0)*0.15,IF(K150&gt;=75,IFERROR(VLOOKUP(B150,'👥 بيانات الموظفين'!B:H,7,0),0)*0.1,IF(K150&gt;=60,IFERROR(VLOOKUP(B150,'👥 بيانات الموظفين'!B:H,7,0),0)*0.05,0))))</f>
        <v/>
      </c>
      <c r="O150" s="99"/>
    </row>
    <row r="151" spans="1:15" ht="22.15" customHeight="1" x14ac:dyDescent="0.2">
      <c r="A151" s="53" t="str">
        <f>IF(B151&lt;&gt;"",147,"")</f>
        <v/>
      </c>
      <c r="B151" s="53"/>
      <c r="C151" s="53" t="str">
        <f>IFERROR(VLOOKUP(B151,'👥 بيانات الموظفين'!B:C,2,0),"")</f>
        <v/>
      </c>
      <c r="D151" s="53" t="str">
        <f>IFERROR(VLOOKUP(B151,'👥 بيانات الموظفين'!B:E,4,0),"")</f>
        <v/>
      </c>
      <c r="E151" s="68"/>
      <c r="F151" s="68"/>
      <c r="G151" s="68"/>
      <c r="H151" s="68"/>
      <c r="I151" s="68"/>
      <c r="J151" s="68"/>
      <c r="K151" s="68" t="str">
        <f t="shared" si="6"/>
        <v/>
      </c>
      <c r="L151" s="53" t="str">
        <f t="shared" si="7"/>
        <v/>
      </c>
      <c r="M151" s="62" t="str">
        <f t="shared" si="8"/>
        <v/>
      </c>
      <c r="N151" s="54" t="str">
        <f>IF(K151="","",IF(K151&gt;=90,IFERROR(VLOOKUP(B151,'👥 بيانات الموظفين'!B:H,7,0),0)*0.15,IF(K151&gt;=75,IFERROR(VLOOKUP(B151,'👥 بيانات الموظفين'!B:H,7,0),0)*0.1,IF(K151&gt;=60,IFERROR(VLOOKUP(B151,'👥 بيانات الموظفين'!B:H,7,0),0)*0.05,0))))</f>
        <v/>
      </c>
      <c r="O151" s="98"/>
    </row>
    <row r="152" spans="1:15" ht="22.15" customHeight="1" x14ac:dyDescent="0.2">
      <c r="A152" s="57" t="str">
        <f>IF(B152&lt;&gt;"",148,"")</f>
        <v/>
      </c>
      <c r="B152" s="57"/>
      <c r="C152" s="57" t="str">
        <f>IFERROR(VLOOKUP(B152,'👥 بيانات الموظفين'!B:C,2,0),"")</f>
        <v/>
      </c>
      <c r="D152" s="57" t="str">
        <f>IFERROR(VLOOKUP(B152,'👥 بيانات الموظفين'!B:E,4,0),"")</f>
        <v/>
      </c>
      <c r="E152" s="69"/>
      <c r="F152" s="69"/>
      <c r="G152" s="69"/>
      <c r="H152" s="69"/>
      <c r="I152" s="69"/>
      <c r="J152" s="69"/>
      <c r="K152" s="69" t="str">
        <f t="shared" si="6"/>
        <v/>
      </c>
      <c r="L152" s="57" t="str">
        <f t="shared" si="7"/>
        <v/>
      </c>
      <c r="M152" s="63" t="str">
        <f t="shared" si="8"/>
        <v/>
      </c>
      <c r="N152" s="58" t="str">
        <f>IF(K152="","",IF(K152&gt;=90,IFERROR(VLOOKUP(B152,'👥 بيانات الموظفين'!B:H,7,0),0)*0.15,IF(K152&gt;=75,IFERROR(VLOOKUP(B152,'👥 بيانات الموظفين'!B:H,7,0),0)*0.1,IF(K152&gt;=60,IFERROR(VLOOKUP(B152,'👥 بيانات الموظفين'!B:H,7,0),0)*0.05,0))))</f>
        <v/>
      </c>
      <c r="O152" s="99"/>
    </row>
    <row r="153" spans="1:15" ht="22.15" customHeight="1" x14ac:dyDescent="0.2">
      <c r="A153" s="53" t="str">
        <f>IF(B153&lt;&gt;"",149,"")</f>
        <v/>
      </c>
      <c r="B153" s="53"/>
      <c r="C153" s="53" t="str">
        <f>IFERROR(VLOOKUP(B153,'👥 بيانات الموظفين'!B:C,2,0),"")</f>
        <v/>
      </c>
      <c r="D153" s="53" t="str">
        <f>IFERROR(VLOOKUP(B153,'👥 بيانات الموظفين'!B:E,4,0),"")</f>
        <v/>
      </c>
      <c r="E153" s="68"/>
      <c r="F153" s="68"/>
      <c r="G153" s="68"/>
      <c r="H153" s="68"/>
      <c r="I153" s="68"/>
      <c r="J153" s="68"/>
      <c r="K153" s="68" t="str">
        <f t="shared" si="6"/>
        <v/>
      </c>
      <c r="L153" s="53" t="str">
        <f t="shared" si="7"/>
        <v/>
      </c>
      <c r="M153" s="62" t="str">
        <f t="shared" si="8"/>
        <v/>
      </c>
      <c r="N153" s="54" t="str">
        <f>IF(K153="","",IF(K153&gt;=90,IFERROR(VLOOKUP(B153,'👥 بيانات الموظفين'!B:H,7,0),0)*0.15,IF(K153&gt;=75,IFERROR(VLOOKUP(B153,'👥 بيانات الموظفين'!B:H,7,0),0)*0.1,IF(K153&gt;=60,IFERROR(VLOOKUP(B153,'👥 بيانات الموظفين'!B:H,7,0),0)*0.05,0))))</f>
        <v/>
      </c>
      <c r="O153" s="98"/>
    </row>
    <row r="154" spans="1:15" ht="22.15" customHeight="1" x14ac:dyDescent="0.2">
      <c r="A154" s="57" t="str">
        <f>IF(B154&lt;&gt;"",150,"")</f>
        <v/>
      </c>
      <c r="B154" s="57"/>
      <c r="C154" s="57" t="str">
        <f>IFERROR(VLOOKUP(B154,'👥 بيانات الموظفين'!B:C,2,0),"")</f>
        <v/>
      </c>
      <c r="D154" s="57" t="str">
        <f>IFERROR(VLOOKUP(B154,'👥 بيانات الموظفين'!B:E,4,0),"")</f>
        <v/>
      </c>
      <c r="E154" s="69"/>
      <c r="F154" s="69"/>
      <c r="G154" s="69"/>
      <c r="H154" s="69"/>
      <c r="I154" s="69"/>
      <c r="J154" s="69"/>
      <c r="K154" s="69" t="str">
        <f t="shared" si="6"/>
        <v/>
      </c>
      <c r="L154" s="57" t="str">
        <f t="shared" si="7"/>
        <v/>
      </c>
      <c r="M154" s="63" t="str">
        <f t="shared" si="8"/>
        <v/>
      </c>
      <c r="N154" s="58" t="str">
        <f>IF(K154="","",IF(K154&gt;=90,IFERROR(VLOOKUP(B154,'👥 بيانات الموظفين'!B:H,7,0),0)*0.15,IF(K154&gt;=75,IFERROR(VLOOKUP(B154,'👥 بيانات الموظفين'!B:H,7,0),0)*0.1,IF(K154&gt;=60,IFERROR(VLOOKUP(B154,'👥 بيانات الموظفين'!B:H,7,0),0)*0.05,0))))</f>
        <v/>
      </c>
      <c r="O154" s="99"/>
    </row>
    <row r="155" spans="1:15" ht="22.15" customHeight="1" x14ac:dyDescent="0.2">
      <c r="A155" s="53" t="str">
        <f>IF(B155&lt;&gt;"",151,"")</f>
        <v/>
      </c>
      <c r="B155" s="53"/>
      <c r="C155" s="53" t="str">
        <f>IFERROR(VLOOKUP(B155,'👥 بيانات الموظفين'!B:C,2,0),"")</f>
        <v/>
      </c>
      <c r="D155" s="53" t="str">
        <f>IFERROR(VLOOKUP(B155,'👥 بيانات الموظفين'!B:E,4,0),"")</f>
        <v/>
      </c>
      <c r="E155" s="68"/>
      <c r="F155" s="68"/>
      <c r="G155" s="68"/>
      <c r="H155" s="68"/>
      <c r="I155" s="68"/>
      <c r="J155" s="68"/>
      <c r="K155" s="68" t="str">
        <f t="shared" si="6"/>
        <v/>
      </c>
      <c r="L155" s="53" t="str">
        <f t="shared" si="7"/>
        <v/>
      </c>
      <c r="M155" s="62" t="str">
        <f t="shared" si="8"/>
        <v/>
      </c>
      <c r="N155" s="54" t="str">
        <f>IF(K155="","",IF(K155&gt;=90,IFERROR(VLOOKUP(B155,'👥 بيانات الموظفين'!B:H,7,0),0)*0.15,IF(K155&gt;=75,IFERROR(VLOOKUP(B155,'👥 بيانات الموظفين'!B:H,7,0),0)*0.1,IF(K155&gt;=60,IFERROR(VLOOKUP(B155,'👥 بيانات الموظفين'!B:H,7,0),0)*0.05,0))))</f>
        <v/>
      </c>
      <c r="O155" s="98"/>
    </row>
    <row r="156" spans="1:15" ht="22.15" customHeight="1" x14ac:dyDescent="0.2">
      <c r="A156" s="57" t="str">
        <f>IF(B156&lt;&gt;"",152,"")</f>
        <v/>
      </c>
      <c r="B156" s="57"/>
      <c r="C156" s="57" t="str">
        <f>IFERROR(VLOOKUP(B156,'👥 بيانات الموظفين'!B:C,2,0),"")</f>
        <v/>
      </c>
      <c r="D156" s="57" t="str">
        <f>IFERROR(VLOOKUP(B156,'👥 بيانات الموظفين'!B:E,4,0),"")</f>
        <v/>
      </c>
      <c r="E156" s="69"/>
      <c r="F156" s="69"/>
      <c r="G156" s="69"/>
      <c r="H156" s="69"/>
      <c r="I156" s="69"/>
      <c r="J156" s="69"/>
      <c r="K156" s="69" t="str">
        <f t="shared" si="6"/>
        <v/>
      </c>
      <c r="L156" s="57" t="str">
        <f t="shared" si="7"/>
        <v/>
      </c>
      <c r="M156" s="63" t="str">
        <f t="shared" si="8"/>
        <v/>
      </c>
      <c r="N156" s="58" t="str">
        <f>IF(K156="","",IF(K156&gt;=90,IFERROR(VLOOKUP(B156,'👥 بيانات الموظفين'!B:H,7,0),0)*0.15,IF(K156&gt;=75,IFERROR(VLOOKUP(B156,'👥 بيانات الموظفين'!B:H,7,0),0)*0.1,IF(K156&gt;=60,IFERROR(VLOOKUP(B156,'👥 بيانات الموظفين'!B:H,7,0),0)*0.05,0))))</f>
        <v/>
      </c>
      <c r="O156" s="99"/>
    </row>
    <row r="157" spans="1:15" ht="22.15" customHeight="1" x14ac:dyDescent="0.2">
      <c r="A157" s="53" t="str">
        <f>IF(B157&lt;&gt;"",153,"")</f>
        <v/>
      </c>
      <c r="B157" s="53"/>
      <c r="C157" s="53" t="str">
        <f>IFERROR(VLOOKUP(B157,'👥 بيانات الموظفين'!B:C,2,0),"")</f>
        <v/>
      </c>
      <c r="D157" s="53" t="str">
        <f>IFERROR(VLOOKUP(B157,'👥 بيانات الموظفين'!B:E,4,0),"")</f>
        <v/>
      </c>
      <c r="E157" s="68"/>
      <c r="F157" s="68"/>
      <c r="G157" s="68"/>
      <c r="H157" s="68"/>
      <c r="I157" s="68"/>
      <c r="J157" s="68"/>
      <c r="K157" s="68" t="str">
        <f t="shared" si="6"/>
        <v/>
      </c>
      <c r="L157" s="53" t="str">
        <f t="shared" si="7"/>
        <v/>
      </c>
      <c r="M157" s="62" t="str">
        <f t="shared" si="8"/>
        <v/>
      </c>
      <c r="N157" s="54" t="str">
        <f>IF(K157="","",IF(K157&gt;=90,IFERROR(VLOOKUP(B157,'👥 بيانات الموظفين'!B:H,7,0),0)*0.15,IF(K157&gt;=75,IFERROR(VLOOKUP(B157,'👥 بيانات الموظفين'!B:H,7,0),0)*0.1,IF(K157&gt;=60,IFERROR(VLOOKUP(B157,'👥 بيانات الموظفين'!B:H,7,0),0)*0.05,0))))</f>
        <v/>
      </c>
      <c r="O157" s="98"/>
    </row>
    <row r="158" spans="1:15" ht="22.15" customHeight="1" x14ac:dyDescent="0.2">
      <c r="A158" s="57" t="str">
        <f>IF(B158&lt;&gt;"",154,"")</f>
        <v/>
      </c>
      <c r="B158" s="57"/>
      <c r="C158" s="57" t="str">
        <f>IFERROR(VLOOKUP(B158,'👥 بيانات الموظفين'!B:C,2,0),"")</f>
        <v/>
      </c>
      <c r="D158" s="57" t="str">
        <f>IFERROR(VLOOKUP(B158,'👥 بيانات الموظفين'!B:E,4,0),"")</f>
        <v/>
      </c>
      <c r="E158" s="69"/>
      <c r="F158" s="69"/>
      <c r="G158" s="69"/>
      <c r="H158" s="69"/>
      <c r="I158" s="69"/>
      <c r="J158" s="69"/>
      <c r="K158" s="69" t="str">
        <f t="shared" si="6"/>
        <v/>
      </c>
      <c r="L158" s="57" t="str">
        <f t="shared" si="7"/>
        <v/>
      </c>
      <c r="M158" s="63" t="str">
        <f t="shared" si="8"/>
        <v/>
      </c>
      <c r="N158" s="58" t="str">
        <f>IF(K158="","",IF(K158&gt;=90,IFERROR(VLOOKUP(B158,'👥 بيانات الموظفين'!B:H,7,0),0)*0.15,IF(K158&gt;=75,IFERROR(VLOOKUP(B158,'👥 بيانات الموظفين'!B:H,7,0),0)*0.1,IF(K158&gt;=60,IFERROR(VLOOKUP(B158,'👥 بيانات الموظفين'!B:H,7,0),0)*0.05,0))))</f>
        <v/>
      </c>
      <c r="O158" s="99"/>
    </row>
    <row r="159" spans="1:15" ht="22.15" customHeight="1" x14ac:dyDescent="0.2">
      <c r="A159" s="53" t="str">
        <f>IF(B159&lt;&gt;"",155,"")</f>
        <v/>
      </c>
      <c r="B159" s="53"/>
      <c r="C159" s="53" t="str">
        <f>IFERROR(VLOOKUP(B159,'👥 بيانات الموظفين'!B:C,2,0),"")</f>
        <v/>
      </c>
      <c r="D159" s="53" t="str">
        <f>IFERROR(VLOOKUP(B159,'👥 بيانات الموظفين'!B:E,4,0),"")</f>
        <v/>
      </c>
      <c r="E159" s="68"/>
      <c r="F159" s="68"/>
      <c r="G159" s="68"/>
      <c r="H159" s="68"/>
      <c r="I159" s="68"/>
      <c r="J159" s="68"/>
      <c r="K159" s="68" t="str">
        <f t="shared" si="6"/>
        <v/>
      </c>
      <c r="L159" s="53" t="str">
        <f t="shared" si="7"/>
        <v/>
      </c>
      <c r="M159" s="62" t="str">
        <f t="shared" si="8"/>
        <v/>
      </c>
      <c r="N159" s="54" t="str">
        <f>IF(K159="","",IF(K159&gt;=90,IFERROR(VLOOKUP(B159,'👥 بيانات الموظفين'!B:H,7,0),0)*0.15,IF(K159&gt;=75,IFERROR(VLOOKUP(B159,'👥 بيانات الموظفين'!B:H,7,0),0)*0.1,IF(K159&gt;=60,IFERROR(VLOOKUP(B159,'👥 بيانات الموظفين'!B:H,7,0),0)*0.05,0))))</f>
        <v/>
      </c>
      <c r="O159" s="98"/>
    </row>
    <row r="160" spans="1:15" ht="22.15" customHeight="1" x14ac:dyDescent="0.2">
      <c r="A160" s="57" t="str">
        <f>IF(B160&lt;&gt;"",156,"")</f>
        <v/>
      </c>
      <c r="B160" s="57"/>
      <c r="C160" s="57" t="str">
        <f>IFERROR(VLOOKUP(B160,'👥 بيانات الموظفين'!B:C,2,0),"")</f>
        <v/>
      </c>
      <c r="D160" s="57" t="str">
        <f>IFERROR(VLOOKUP(B160,'👥 بيانات الموظفين'!B:E,4,0),"")</f>
        <v/>
      </c>
      <c r="E160" s="69"/>
      <c r="F160" s="69"/>
      <c r="G160" s="69"/>
      <c r="H160" s="69"/>
      <c r="I160" s="69"/>
      <c r="J160" s="69"/>
      <c r="K160" s="69" t="str">
        <f t="shared" si="6"/>
        <v/>
      </c>
      <c r="L160" s="57" t="str">
        <f t="shared" si="7"/>
        <v/>
      </c>
      <c r="M160" s="63" t="str">
        <f t="shared" si="8"/>
        <v/>
      </c>
      <c r="N160" s="58" t="str">
        <f>IF(K160="","",IF(K160&gt;=90,IFERROR(VLOOKUP(B160,'👥 بيانات الموظفين'!B:H,7,0),0)*0.15,IF(K160&gt;=75,IFERROR(VLOOKUP(B160,'👥 بيانات الموظفين'!B:H,7,0),0)*0.1,IF(K160&gt;=60,IFERROR(VLOOKUP(B160,'👥 بيانات الموظفين'!B:H,7,0),0)*0.05,0))))</f>
        <v/>
      </c>
      <c r="O160" s="99"/>
    </row>
    <row r="161" spans="1:15" ht="22.15" customHeight="1" x14ac:dyDescent="0.2">
      <c r="A161" s="53" t="str">
        <f>IF(B161&lt;&gt;"",157,"")</f>
        <v/>
      </c>
      <c r="B161" s="53"/>
      <c r="C161" s="53" t="str">
        <f>IFERROR(VLOOKUP(B161,'👥 بيانات الموظفين'!B:C,2,0),"")</f>
        <v/>
      </c>
      <c r="D161" s="53" t="str">
        <f>IFERROR(VLOOKUP(B161,'👥 بيانات الموظفين'!B:E,4,0),"")</f>
        <v/>
      </c>
      <c r="E161" s="68"/>
      <c r="F161" s="68"/>
      <c r="G161" s="68"/>
      <c r="H161" s="68"/>
      <c r="I161" s="68"/>
      <c r="J161" s="68"/>
      <c r="K161" s="68" t="str">
        <f t="shared" si="6"/>
        <v/>
      </c>
      <c r="L161" s="53" t="str">
        <f t="shared" si="7"/>
        <v/>
      </c>
      <c r="M161" s="62" t="str">
        <f t="shared" si="8"/>
        <v/>
      </c>
      <c r="N161" s="54" t="str">
        <f>IF(K161="","",IF(K161&gt;=90,IFERROR(VLOOKUP(B161,'👥 بيانات الموظفين'!B:H,7,0),0)*0.15,IF(K161&gt;=75,IFERROR(VLOOKUP(B161,'👥 بيانات الموظفين'!B:H,7,0),0)*0.1,IF(K161&gt;=60,IFERROR(VLOOKUP(B161,'👥 بيانات الموظفين'!B:H,7,0),0)*0.05,0))))</f>
        <v/>
      </c>
      <c r="O161" s="98"/>
    </row>
    <row r="162" spans="1:15" ht="22.15" customHeight="1" x14ac:dyDescent="0.2">
      <c r="A162" s="57" t="str">
        <f>IF(B162&lt;&gt;"",158,"")</f>
        <v/>
      </c>
      <c r="B162" s="57"/>
      <c r="C162" s="57" t="str">
        <f>IFERROR(VLOOKUP(B162,'👥 بيانات الموظفين'!B:C,2,0),"")</f>
        <v/>
      </c>
      <c r="D162" s="57" t="str">
        <f>IFERROR(VLOOKUP(B162,'👥 بيانات الموظفين'!B:E,4,0),"")</f>
        <v/>
      </c>
      <c r="E162" s="69"/>
      <c r="F162" s="69"/>
      <c r="G162" s="69"/>
      <c r="H162" s="69"/>
      <c r="I162" s="69"/>
      <c r="J162" s="69"/>
      <c r="K162" s="69" t="str">
        <f t="shared" si="6"/>
        <v/>
      </c>
      <c r="L162" s="57" t="str">
        <f t="shared" si="7"/>
        <v/>
      </c>
      <c r="M162" s="63" t="str">
        <f t="shared" si="8"/>
        <v/>
      </c>
      <c r="N162" s="58" t="str">
        <f>IF(K162="","",IF(K162&gt;=90,IFERROR(VLOOKUP(B162,'👥 بيانات الموظفين'!B:H,7,0),0)*0.15,IF(K162&gt;=75,IFERROR(VLOOKUP(B162,'👥 بيانات الموظفين'!B:H,7,0),0)*0.1,IF(K162&gt;=60,IFERROR(VLOOKUP(B162,'👥 بيانات الموظفين'!B:H,7,0),0)*0.05,0))))</f>
        <v/>
      </c>
      <c r="O162" s="99"/>
    </row>
    <row r="163" spans="1:15" ht="22.15" customHeight="1" x14ac:dyDescent="0.2">
      <c r="A163" s="53" t="str">
        <f>IF(B163&lt;&gt;"",159,"")</f>
        <v/>
      </c>
      <c r="B163" s="53"/>
      <c r="C163" s="53" t="str">
        <f>IFERROR(VLOOKUP(B163,'👥 بيانات الموظفين'!B:C,2,0),"")</f>
        <v/>
      </c>
      <c r="D163" s="53" t="str">
        <f>IFERROR(VLOOKUP(B163,'👥 بيانات الموظفين'!B:E,4,0),"")</f>
        <v/>
      </c>
      <c r="E163" s="68"/>
      <c r="F163" s="68"/>
      <c r="G163" s="68"/>
      <c r="H163" s="68"/>
      <c r="I163" s="68"/>
      <c r="J163" s="68"/>
      <c r="K163" s="68" t="str">
        <f t="shared" si="6"/>
        <v/>
      </c>
      <c r="L163" s="53" t="str">
        <f t="shared" si="7"/>
        <v/>
      </c>
      <c r="M163" s="62" t="str">
        <f t="shared" si="8"/>
        <v/>
      </c>
      <c r="N163" s="54" t="str">
        <f>IF(K163="","",IF(K163&gt;=90,IFERROR(VLOOKUP(B163,'👥 بيانات الموظفين'!B:H,7,0),0)*0.15,IF(K163&gt;=75,IFERROR(VLOOKUP(B163,'👥 بيانات الموظفين'!B:H,7,0),0)*0.1,IF(K163&gt;=60,IFERROR(VLOOKUP(B163,'👥 بيانات الموظفين'!B:H,7,0),0)*0.05,0))))</f>
        <v/>
      </c>
      <c r="O163" s="98"/>
    </row>
    <row r="164" spans="1:15" ht="22.15" customHeight="1" x14ac:dyDescent="0.2">
      <c r="A164" s="57" t="str">
        <f>IF(B164&lt;&gt;"",160,"")</f>
        <v/>
      </c>
      <c r="B164" s="57"/>
      <c r="C164" s="57" t="str">
        <f>IFERROR(VLOOKUP(B164,'👥 بيانات الموظفين'!B:C,2,0),"")</f>
        <v/>
      </c>
      <c r="D164" s="57" t="str">
        <f>IFERROR(VLOOKUP(B164,'👥 بيانات الموظفين'!B:E,4,0),"")</f>
        <v/>
      </c>
      <c r="E164" s="69"/>
      <c r="F164" s="69"/>
      <c r="G164" s="69"/>
      <c r="H164" s="69"/>
      <c r="I164" s="69"/>
      <c r="J164" s="69"/>
      <c r="K164" s="69" t="str">
        <f t="shared" si="6"/>
        <v/>
      </c>
      <c r="L164" s="57" t="str">
        <f t="shared" si="7"/>
        <v/>
      </c>
      <c r="M164" s="63" t="str">
        <f t="shared" si="8"/>
        <v/>
      </c>
      <c r="N164" s="58" t="str">
        <f>IF(K164="","",IF(K164&gt;=90,IFERROR(VLOOKUP(B164,'👥 بيانات الموظفين'!B:H,7,0),0)*0.15,IF(K164&gt;=75,IFERROR(VLOOKUP(B164,'👥 بيانات الموظفين'!B:H,7,0),0)*0.1,IF(K164&gt;=60,IFERROR(VLOOKUP(B164,'👥 بيانات الموظفين'!B:H,7,0),0)*0.05,0))))</f>
        <v/>
      </c>
      <c r="O164" s="99"/>
    </row>
    <row r="165" spans="1:15" ht="22.15" customHeight="1" x14ac:dyDescent="0.2">
      <c r="A165" s="53" t="str">
        <f>IF(B165&lt;&gt;"",161,"")</f>
        <v/>
      </c>
      <c r="B165" s="53"/>
      <c r="C165" s="53" t="str">
        <f>IFERROR(VLOOKUP(B165,'👥 بيانات الموظفين'!B:C,2,0),"")</f>
        <v/>
      </c>
      <c r="D165" s="53" t="str">
        <f>IFERROR(VLOOKUP(B165,'👥 بيانات الموظفين'!B:E,4,0),"")</f>
        <v/>
      </c>
      <c r="E165" s="68"/>
      <c r="F165" s="68"/>
      <c r="G165" s="68"/>
      <c r="H165" s="68"/>
      <c r="I165" s="68"/>
      <c r="J165" s="68"/>
      <c r="K165" s="68" t="str">
        <f t="shared" si="6"/>
        <v/>
      </c>
      <c r="L165" s="53" t="str">
        <f t="shared" si="7"/>
        <v/>
      </c>
      <c r="M165" s="62" t="str">
        <f t="shared" si="8"/>
        <v/>
      </c>
      <c r="N165" s="54" t="str">
        <f>IF(K165="","",IF(K165&gt;=90,IFERROR(VLOOKUP(B165,'👥 بيانات الموظفين'!B:H,7,0),0)*0.15,IF(K165&gt;=75,IFERROR(VLOOKUP(B165,'👥 بيانات الموظفين'!B:H,7,0),0)*0.1,IF(K165&gt;=60,IFERROR(VLOOKUP(B165,'👥 بيانات الموظفين'!B:H,7,0),0)*0.05,0))))</f>
        <v/>
      </c>
      <c r="O165" s="98"/>
    </row>
    <row r="166" spans="1:15" ht="22.15" customHeight="1" x14ac:dyDescent="0.2">
      <c r="A166" s="57" t="str">
        <f>IF(B166&lt;&gt;"",162,"")</f>
        <v/>
      </c>
      <c r="B166" s="57"/>
      <c r="C166" s="57" t="str">
        <f>IFERROR(VLOOKUP(B166,'👥 بيانات الموظفين'!B:C,2,0),"")</f>
        <v/>
      </c>
      <c r="D166" s="57" t="str">
        <f>IFERROR(VLOOKUP(B166,'👥 بيانات الموظفين'!B:E,4,0),"")</f>
        <v/>
      </c>
      <c r="E166" s="69"/>
      <c r="F166" s="69"/>
      <c r="G166" s="69"/>
      <c r="H166" s="69"/>
      <c r="I166" s="69"/>
      <c r="J166" s="69"/>
      <c r="K166" s="69" t="str">
        <f t="shared" si="6"/>
        <v/>
      </c>
      <c r="L166" s="57" t="str">
        <f t="shared" si="7"/>
        <v/>
      </c>
      <c r="M166" s="63" t="str">
        <f t="shared" si="8"/>
        <v/>
      </c>
      <c r="N166" s="58" t="str">
        <f>IF(K166="","",IF(K166&gt;=90,IFERROR(VLOOKUP(B166,'👥 بيانات الموظفين'!B:H,7,0),0)*0.15,IF(K166&gt;=75,IFERROR(VLOOKUP(B166,'👥 بيانات الموظفين'!B:H,7,0),0)*0.1,IF(K166&gt;=60,IFERROR(VLOOKUP(B166,'👥 بيانات الموظفين'!B:H,7,0),0)*0.05,0))))</f>
        <v/>
      </c>
      <c r="O166" s="99"/>
    </row>
    <row r="167" spans="1:15" ht="22.15" customHeight="1" x14ac:dyDescent="0.2">
      <c r="A167" s="53" t="str">
        <f>IF(B167&lt;&gt;"",163,"")</f>
        <v/>
      </c>
      <c r="B167" s="53"/>
      <c r="C167" s="53" t="str">
        <f>IFERROR(VLOOKUP(B167,'👥 بيانات الموظفين'!B:C,2,0),"")</f>
        <v/>
      </c>
      <c r="D167" s="53" t="str">
        <f>IFERROR(VLOOKUP(B167,'👥 بيانات الموظفين'!B:E,4,0),"")</f>
        <v/>
      </c>
      <c r="E167" s="68"/>
      <c r="F167" s="68"/>
      <c r="G167" s="68"/>
      <c r="H167" s="68"/>
      <c r="I167" s="68"/>
      <c r="J167" s="68"/>
      <c r="K167" s="68" t="str">
        <f t="shared" si="6"/>
        <v/>
      </c>
      <c r="L167" s="53" t="str">
        <f t="shared" si="7"/>
        <v/>
      </c>
      <c r="M167" s="62" t="str">
        <f t="shared" si="8"/>
        <v/>
      </c>
      <c r="N167" s="54" t="str">
        <f>IF(K167="","",IF(K167&gt;=90,IFERROR(VLOOKUP(B167,'👥 بيانات الموظفين'!B:H,7,0),0)*0.15,IF(K167&gt;=75,IFERROR(VLOOKUP(B167,'👥 بيانات الموظفين'!B:H,7,0),0)*0.1,IF(K167&gt;=60,IFERROR(VLOOKUP(B167,'👥 بيانات الموظفين'!B:H,7,0),0)*0.05,0))))</f>
        <v/>
      </c>
      <c r="O167" s="98"/>
    </row>
    <row r="168" spans="1:15" ht="22.15" customHeight="1" x14ac:dyDescent="0.2">
      <c r="A168" s="57" t="str">
        <f>IF(B168&lt;&gt;"",164,"")</f>
        <v/>
      </c>
      <c r="B168" s="57"/>
      <c r="C168" s="57" t="str">
        <f>IFERROR(VLOOKUP(B168,'👥 بيانات الموظفين'!B:C,2,0),"")</f>
        <v/>
      </c>
      <c r="D168" s="57" t="str">
        <f>IFERROR(VLOOKUP(B168,'👥 بيانات الموظفين'!B:E,4,0),"")</f>
        <v/>
      </c>
      <c r="E168" s="69"/>
      <c r="F168" s="69"/>
      <c r="G168" s="69"/>
      <c r="H168" s="69"/>
      <c r="I168" s="69"/>
      <c r="J168" s="69"/>
      <c r="K168" s="69" t="str">
        <f t="shared" si="6"/>
        <v/>
      </c>
      <c r="L168" s="57" t="str">
        <f t="shared" si="7"/>
        <v/>
      </c>
      <c r="M168" s="63" t="str">
        <f t="shared" si="8"/>
        <v/>
      </c>
      <c r="N168" s="58" t="str">
        <f>IF(K168="","",IF(K168&gt;=90,IFERROR(VLOOKUP(B168,'👥 بيانات الموظفين'!B:H,7,0),0)*0.15,IF(K168&gt;=75,IFERROR(VLOOKUP(B168,'👥 بيانات الموظفين'!B:H,7,0),0)*0.1,IF(K168&gt;=60,IFERROR(VLOOKUP(B168,'👥 بيانات الموظفين'!B:H,7,0),0)*0.05,0))))</f>
        <v/>
      </c>
      <c r="O168" s="99"/>
    </row>
    <row r="169" spans="1:15" ht="22.15" customHeight="1" x14ac:dyDescent="0.2">
      <c r="A169" s="53" t="str">
        <f>IF(B169&lt;&gt;"",165,"")</f>
        <v/>
      </c>
      <c r="B169" s="53"/>
      <c r="C169" s="53" t="str">
        <f>IFERROR(VLOOKUP(B169,'👥 بيانات الموظفين'!B:C,2,0),"")</f>
        <v/>
      </c>
      <c r="D169" s="53" t="str">
        <f>IFERROR(VLOOKUP(B169,'👥 بيانات الموظفين'!B:E,4,0),"")</f>
        <v/>
      </c>
      <c r="E169" s="68"/>
      <c r="F169" s="68"/>
      <c r="G169" s="68"/>
      <c r="H169" s="68"/>
      <c r="I169" s="68"/>
      <c r="J169" s="68"/>
      <c r="K169" s="68" t="str">
        <f t="shared" si="6"/>
        <v/>
      </c>
      <c r="L169" s="53" t="str">
        <f t="shared" si="7"/>
        <v/>
      </c>
      <c r="M169" s="62" t="str">
        <f t="shared" si="8"/>
        <v/>
      </c>
      <c r="N169" s="54" t="str">
        <f>IF(K169="","",IF(K169&gt;=90,IFERROR(VLOOKUP(B169,'👥 بيانات الموظفين'!B:H,7,0),0)*0.15,IF(K169&gt;=75,IFERROR(VLOOKUP(B169,'👥 بيانات الموظفين'!B:H,7,0),0)*0.1,IF(K169&gt;=60,IFERROR(VLOOKUP(B169,'👥 بيانات الموظفين'!B:H,7,0),0)*0.05,0))))</f>
        <v/>
      </c>
      <c r="O169" s="98"/>
    </row>
    <row r="170" spans="1:15" ht="22.15" customHeight="1" x14ac:dyDescent="0.2">
      <c r="A170" s="57" t="str">
        <f>IF(B170&lt;&gt;"",166,"")</f>
        <v/>
      </c>
      <c r="B170" s="57"/>
      <c r="C170" s="57" t="str">
        <f>IFERROR(VLOOKUP(B170,'👥 بيانات الموظفين'!B:C,2,0),"")</f>
        <v/>
      </c>
      <c r="D170" s="57" t="str">
        <f>IFERROR(VLOOKUP(B170,'👥 بيانات الموظفين'!B:E,4,0),"")</f>
        <v/>
      </c>
      <c r="E170" s="69"/>
      <c r="F170" s="69"/>
      <c r="G170" s="69"/>
      <c r="H170" s="69"/>
      <c r="I170" s="69"/>
      <c r="J170" s="69"/>
      <c r="K170" s="69" t="str">
        <f t="shared" si="6"/>
        <v/>
      </c>
      <c r="L170" s="57" t="str">
        <f t="shared" si="7"/>
        <v/>
      </c>
      <c r="M170" s="63" t="str">
        <f t="shared" si="8"/>
        <v/>
      </c>
      <c r="N170" s="58" t="str">
        <f>IF(K170="","",IF(K170&gt;=90,IFERROR(VLOOKUP(B170,'👥 بيانات الموظفين'!B:H,7,0),0)*0.15,IF(K170&gt;=75,IFERROR(VLOOKUP(B170,'👥 بيانات الموظفين'!B:H,7,0),0)*0.1,IF(K170&gt;=60,IFERROR(VLOOKUP(B170,'👥 بيانات الموظفين'!B:H,7,0),0)*0.05,0))))</f>
        <v/>
      </c>
      <c r="O170" s="99"/>
    </row>
    <row r="171" spans="1:15" ht="22.15" customHeight="1" x14ac:dyDescent="0.2">
      <c r="A171" s="53" t="str">
        <f>IF(B171&lt;&gt;"",167,"")</f>
        <v/>
      </c>
      <c r="B171" s="53"/>
      <c r="C171" s="53" t="str">
        <f>IFERROR(VLOOKUP(B171,'👥 بيانات الموظفين'!B:C,2,0),"")</f>
        <v/>
      </c>
      <c r="D171" s="53" t="str">
        <f>IFERROR(VLOOKUP(B171,'👥 بيانات الموظفين'!B:E,4,0),"")</f>
        <v/>
      </c>
      <c r="E171" s="68"/>
      <c r="F171" s="68"/>
      <c r="G171" s="68"/>
      <c r="H171" s="68"/>
      <c r="I171" s="68"/>
      <c r="J171" s="68"/>
      <c r="K171" s="68" t="str">
        <f t="shared" si="6"/>
        <v/>
      </c>
      <c r="L171" s="53" t="str">
        <f t="shared" si="7"/>
        <v/>
      </c>
      <c r="M171" s="62" t="str">
        <f t="shared" si="8"/>
        <v/>
      </c>
      <c r="N171" s="54" t="str">
        <f>IF(K171="","",IF(K171&gt;=90,IFERROR(VLOOKUP(B171,'👥 بيانات الموظفين'!B:H,7,0),0)*0.15,IF(K171&gt;=75,IFERROR(VLOOKUP(B171,'👥 بيانات الموظفين'!B:H,7,0),0)*0.1,IF(K171&gt;=60,IFERROR(VLOOKUP(B171,'👥 بيانات الموظفين'!B:H,7,0),0)*0.05,0))))</f>
        <v/>
      </c>
      <c r="O171" s="98"/>
    </row>
    <row r="172" spans="1:15" ht="22.15" customHeight="1" x14ac:dyDescent="0.2">
      <c r="A172" s="57" t="str">
        <f>IF(B172&lt;&gt;"",168,"")</f>
        <v/>
      </c>
      <c r="B172" s="57"/>
      <c r="C172" s="57" t="str">
        <f>IFERROR(VLOOKUP(B172,'👥 بيانات الموظفين'!B:C,2,0),"")</f>
        <v/>
      </c>
      <c r="D172" s="57" t="str">
        <f>IFERROR(VLOOKUP(B172,'👥 بيانات الموظفين'!B:E,4,0),"")</f>
        <v/>
      </c>
      <c r="E172" s="69"/>
      <c r="F172" s="69"/>
      <c r="G172" s="69"/>
      <c r="H172" s="69"/>
      <c r="I172" s="69"/>
      <c r="J172" s="69"/>
      <c r="K172" s="69" t="str">
        <f t="shared" si="6"/>
        <v/>
      </c>
      <c r="L172" s="57" t="str">
        <f t="shared" si="7"/>
        <v/>
      </c>
      <c r="M172" s="63" t="str">
        <f t="shared" si="8"/>
        <v/>
      </c>
      <c r="N172" s="58" t="str">
        <f>IF(K172="","",IF(K172&gt;=90,IFERROR(VLOOKUP(B172,'👥 بيانات الموظفين'!B:H,7,0),0)*0.15,IF(K172&gt;=75,IFERROR(VLOOKUP(B172,'👥 بيانات الموظفين'!B:H,7,0),0)*0.1,IF(K172&gt;=60,IFERROR(VLOOKUP(B172,'👥 بيانات الموظفين'!B:H,7,0),0)*0.05,0))))</f>
        <v/>
      </c>
      <c r="O172" s="99"/>
    </row>
    <row r="173" spans="1:15" ht="22.15" customHeight="1" x14ac:dyDescent="0.2">
      <c r="A173" s="53" t="str">
        <f>IF(B173&lt;&gt;"",169,"")</f>
        <v/>
      </c>
      <c r="B173" s="53"/>
      <c r="C173" s="53" t="str">
        <f>IFERROR(VLOOKUP(B173,'👥 بيانات الموظفين'!B:C,2,0),"")</f>
        <v/>
      </c>
      <c r="D173" s="53" t="str">
        <f>IFERROR(VLOOKUP(B173,'👥 بيانات الموظفين'!B:E,4,0),"")</f>
        <v/>
      </c>
      <c r="E173" s="68"/>
      <c r="F173" s="68"/>
      <c r="G173" s="68"/>
      <c r="H173" s="68"/>
      <c r="I173" s="68"/>
      <c r="J173" s="68"/>
      <c r="K173" s="68" t="str">
        <f t="shared" si="6"/>
        <v/>
      </c>
      <c r="L173" s="53" t="str">
        <f t="shared" si="7"/>
        <v/>
      </c>
      <c r="M173" s="62" t="str">
        <f t="shared" si="8"/>
        <v/>
      </c>
      <c r="N173" s="54" t="str">
        <f>IF(K173="","",IF(K173&gt;=90,IFERROR(VLOOKUP(B173,'👥 بيانات الموظفين'!B:H,7,0),0)*0.15,IF(K173&gt;=75,IFERROR(VLOOKUP(B173,'👥 بيانات الموظفين'!B:H,7,0),0)*0.1,IF(K173&gt;=60,IFERROR(VLOOKUP(B173,'👥 بيانات الموظفين'!B:H,7,0),0)*0.05,0))))</f>
        <v/>
      </c>
      <c r="O173" s="98"/>
    </row>
    <row r="174" spans="1:15" ht="22.15" customHeight="1" x14ac:dyDescent="0.2">
      <c r="A174" s="57" t="str">
        <f>IF(B174&lt;&gt;"",170,"")</f>
        <v/>
      </c>
      <c r="B174" s="57"/>
      <c r="C174" s="57" t="str">
        <f>IFERROR(VLOOKUP(B174,'👥 بيانات الموظفين'!B:C,2,0),"")</f>
        <v/>
      </c>
      <c r="D174" s="57" t="str">
        <f>IFERROR(VLOOKUP(B174,'👥 بيانات الموظفين'!B:E,4,0),"")</f>
        <v/>
      </c>
      <c r="E174" s="69"/>
      <c r="F174" s="69"/>
      <c r="G174" s="69"/>
      <c r="H174" s="69"/>
      <c r="I174" s="69"/>
      <c r="J174" s="69"/>
      <c r="K174" s="69" t="str">
        <f t="shared" si="6"/>
        <v/>
      </c>
      <c r="L174" s="57" t="str">
        <f t="shared" si="7"/>
        <v/>
      </c>
      <c r="M174" s="63" t="str">
        <f t="shared" si="8"/>
        <v/>
      </c>
      <c r="N174" s="58" t="str">
        <f>IF(K174="","",IF(K174&gt;=90,IFERROR(VLOOKUP(B174,'👥 بيانات الموظفين'!B:H,7,0),0)*0.15,IF(K174&gt;=75,IFERROR(VLOOKUP(B174,'👥 بيانات الموظفين'!B:H,7,0),0)*0.1,IF(K174&gt;=60,IFERROR(VLOOKUP(B174,'👥 بيانات الموظفين'!B:H,7,0),0)*0.05,0))))</f>
        <v/>
      </c>
      <c r="O174" s="99"/>
    </row>
    <row r="175" spans="1:15" ht="22.15" customHeight="1" x14ac:dyDescent="0.2">
      <c r="A175" s="53" t="str">
        <f>IF(B175&lt;&gt;"",171,"")</f>
        <v/>
      </c>
      <c r="B175" s="53"/>
      <c r="C175" s="53" t="str">
        <f>IFERROR(VLOOKUP(B175,'👥 بيانات الموظفين'!B:C,2,0),"")</f>
        <v/>
      </c>
      <c r="D175" s="53" t="str">
        <f>IFERROR(VLOOKUP(B175,'👥 بيانات الموظفين'!B:E,4,0),"")</f>
        <v/>
      </c>
      <c r="E175" s="68"/>
      <c r="F175" s="68"/>
      <c r="G175" s="68"/>
      <c r="H175" s="68"/>
      <c r="I175" s="68"/>
      <c r="J175" s="68"/>
      <c r="K175" s="68" t="str">
        <f t="shared" si="6"/>
        <v/>
      </c>
      <c r="L175" s="53" t="str">
        <f t="shared" si="7"/>
        <v/>
      </c>
      <c r="M175" s="62" t="str">
        <f t="shared" si="8"/>
        <v/>
      </c>
      <c r="N175" s="54" t="str">
        <f>IF(K175="","",IF(K175&gt;=90,IFERROR(VLOOKUP(B175,'👥 بيانات الموظفين'!B:H,7,0),0)*0.15,IF(K175&gt;=75,IFERROR(VLOOKUP(B175,'👥 بيانات الموظفين'!B:H,7,0),0)*0.1,IF(K175&gt;=60,IFERROR(VLOOKUP(B175,'👥 بيانات الموظفين'!B:H,7,0),0)*0.05,0))))</f>
        <v/>
      </c>
      <c r="O175" s="98"/>
    </row>
    <row r="176" spans="1:15" ht="22.15" customHeight="1" x14ac:dyDescent="0.2">
      <c r="A176" s="57" t="str">
        <f>IF(B176&lt;&gt;"",172,"")</f>
        <v/>
      </c>
      <c r="B176" s="57"/>
      <c r="C176" s="57" t="str">
        <f>IFERROR(VLOOKUP(B176,'👥 بيانات الموظفين'!B:C,2,0),"")</f>
        <v/>
      </c>
      <c r="D176" s="57" t="str">
        <f>IFERROR(VLOOKUP(B176,'👥 بيانات الموظفين'!B:E,4,0),"")</f>
        <v/>
      </c>
      <c r="E176" s="69"/>
      <c r="F176" s="69"/>
      <c r="G176" s="69"/>
      <c r="H176" s="69"/>
      <c r="I176" s="69"/>
      <c r="J176" s="69"/>
      <c r="K176" s="69" t="str">
        <f t="shared" si="6"/>
        <v/>
      </c>
      <c r="L176" s="57" t="str">
        <f t="shared" si="7"/>
        <v/>
      </c>
      <c r="M176" s="63" t="str">
        <f t="shared" si="8"/>
        <v/>
      </c>
      <c r="N176" s="58" t="str">
        <f>IF(K176="","",IF(K176&gt;=90,IFERROR(VLOOKUP(B176,'👥 بيانات الموظفين'!B:H,7,0),0)*0.15,IF(K176&gt;=75,IFERROR(VLOOKUP(B176,'👥 بيانات الموظفين'!B:H,7,0),0)*0.1,IF(K176&gt;=60,IFERROR(VLOOKUP(B176,'👥 بيانات الموظفين'!B:H,7,0),0)*0.05,0))))</f>
        <v/>
      </c>
      <c r="O176" s="99"/>
    </row>
    <row r="177" spans="1:15" ht="22.15" customHeight="1" x14ac:dyDescent="0.2">
      <c r="A177" s="53" t="str">
        <f>IF(B177&lt;&gt;"",173,"")</f>
        <v/>
      </c>
      <c r="B177" s="53"/>
      <c r="C177" s="53" t="str">
        <f>IFERROR(VLOOKUP(B177,'👥 بيانات الموظفين'!B:C,2,0),"")</f>
        <v/>
      </c>
      <c r="D177" s="53" t="str">
        <f>IFERROR(VLOOKUP(B177,'👥 بيانات الموظفين'!B:E,4,0),"")</f>
        <v/>
      </c>
      <c r="E177" s="68"/>
      <c r="F177" s="68"/>
      <c r="G177" s="68"/>
      <c r="H177" s="68"/>
      <c r="I177" s="68"/>
      <c r="J177" s="68"/>
      <c r="K177" s="68" t="str">
        <f t="shared" si="6"/>
        <v/>
      </c>
      <c r="L177" s="53" t="str">
        <f t="shared" si="7"/>
        <v/>
      </c>
      <c r="M177" s="62" t="str">
        <f t="shared" si="8"/>
        <v/>
      </c>
      <c r="N177" s="54" t="str">
        <f>IF(K177="","",IF(K177&gt;=90,IFERROR(VLOOKUP(B177,'👥 بيانات الموظفين'!B:H,7,0),0)*0.15,IF(K177&gt;=75,IFERROR(VLOOKUP(B177,'👥 بيانات الموظفين'!B:H,7,0),0)*0.1,IF(K177&gt;=60,IFERROR(VLOOKUP(B177,'👥 بيانات الموظفين'!B:H,7,0),0)*0.05,0))))</f>
        <v/>
      </c>
      <c r="O177" s="98"/>
    </row>
    <row r="178" spans="1:15" ht="22.15" customHeight="1" x14ac:dyDescent="0.2">
      <c r="A178" s="57" t="str">
        <f>IF(B178&lt;&gt;"",174,"")</f>
        <v/>
      </c>
      <c r="B178" s="57"/>
      <c r="C178" s="57" t="str">
        <f>IFERROR(VLOOKUP(B178,'👥 بيانات الموظفين'!B:C,2,0),"")</f>
        <v/>
      </c>
      <c r="D178" s="57" t="str">
        <f>IFERROR(VLOOKUP(B178,'👥 بيانات الموظفين'!B:E,4,0),"")</f>
        <v/>
      </c>
      <c r="E178" s="69"/>
      <c r="F178" s="69"/>
      <c r="G178" s="69"/>
      <c r="H178" s="69"/>
      <c r="I178" s="69"/>
      <c r="J178" s="69"/>
      <c r="K178" s="69" t="str">
        <f t="shared" si="6"/>
        <v/>
      </c>
      <c r="L178" s="57" t="str">
        <f t="shared" si="7"/>
        <v/>
      </c>
      <c r="M178" s="63" t="str">
        <f t="shared" si="8"/>
        <v/>
      </c>
      <c r="N178" s="58" t="str">
        <f>IF(K178="","",IF(K178&gt;=90,IFERROR(VLOOKUP(B178,'👥 بيانات الموظفين'!B:H,7,0),0)*0.15,IF(K178&gt;=75,IFERROR(VLOOKUP(B178,'👥 بيانات الموظفين'!B:H,7,0),0)*0.1,IF(K178&gt;=60,IFERROR(VLOOKUP(B178,'👥 بيانات الموظفين'!B:H,7,0),0)*0.05,0))))</f>
        <v/>
      </c>
      <c r="O178" s="99"/>
    </row>
    <row r="179" spans="1:15" ht="22.15" customHeight="1" x14ac:dyDescent="0.2">
      <c r="A179" s="53" t="str">
        <f>IF(B179&lt;&gt;"",175,"")</f>
        <v/>
      </c>
      <c r="B179" s="53"/>
      <c r="C179" s="53" t="str">
        <f>IFERROR(VLOOKUP(B179,'👥 بيانات الموظفين'!B:C,2,0),"")</f>
        <v/>
      </c>
      <c r="D179" s="53" t="str">
        <f>IFERROR(VLOOKUP(B179,'👥 بيانات الموظفين'!B:E,4,0),"")</f>
        <v/>
      </c>
      <c r="E179" s="68"/>
      <c r="F179" s="68"/>
      <c r="G179" s="68"/>
      <c r="H179" s="68"/>
      <c r="I179" s="68"/>
      <c r="J179" s="68"/>
      <c r="K179" s="68" t="str">
        <f t="shared" si="6"/>
        <v/>
      </c>
      <c r="L179" s="53" t="str">
        <f t="shared" si="7"/>
        <v/>
      </c>
      <c r="M179" s="62" t="str">
        <f t="shared" si="8"/>
        <v/>
      </c>
      <c r="N179" s="54" t="str">
        <f>IF(K179="","",IF(K179&gt;=90,IFERROR(VLOOKUP(B179,'👥 بيانات الموظفين'!B:H,7,0),0)*0.15,IF(K179&gt;=75,IFERROR(VLOOKUP(B179,'👥 بيانات الموظفين'!B:H,7,0),0)*0.1,IF(K179&gt;=60,IFERROR(VLOOKUP(B179,'👥 بيانات الموظفين'!B:H,7,0),0)*0.05,0))))</f>
        <v/>
      </c>
      <c r="O179" s="98"/>
    </row>
    <row r="180" spans="1:15" ht="22.15" customHeight="1" x14ac:dyDescent="0.2">
      <c r="A180" s="57" t="str">
        <f>IF(B180&lt;&gt;"",176,"")</f>
        <v/>
      </c>
      <c r="B180" s="57"/>
      <c r="C180" s="57" t="str">
        <f>IFERROR(VLOOKUP(B180,'👥 بيانات الموظفين'!B:C,2,0),"")</f>
        <v/>
      </c>
      <c r="D180" s="57" t="str">
        <f>IFERROR(VLOOKUP(B180,'👥 بيانات الموظفين'!B:E,4,0),"")</f>
        <v/>
      </c>
      <c r="E180" s="69"/>
      <c r="F180" s="69"/>
      <c r="G180" s="69"/>
      <c r="H180" s="69"/>
      <c r="I180" s="69"/>
      <c r="J180" s="69"/>
      <c r="K180" s="69" t="str">
        <f t="shared" si="6"/>
        <v/>
      </c>
      <c r="L180" s="57" t="str">
        <f t="shared" si="7"/>
        <v/>
      </c>
      <c r="M180" s="63" t="str">
        <f t="shared" si="8"/>
        <v/>
      </c>
      <c r="N180" s="58" t="str">
        <f>IF(K180="","",IF(K180&gt;=90,IFERROR(VLOOKUP(B180,'👥 بيانات الموظفين'!B:H,7,0),0)*0.15,IF(K180&gt;=75,IFERROR(VLOOKUP(B180,'👥 بيانات الموظفين'!B:H,7,0),0)*0.1,IF(K180&gt;=60,IFERROR(VLOOKUP(B180,'👥 بيانات الموظفين'!B:H,7,0),0)*0.05,0))))</f>
        <v/>
      </c>
      <c r="O180" s="99"/>
    </row>
    <row r="181" spans="1:15" ht="22.15" customHeight="1" x14ac:dyDescent="0.2">
      <c r="A181" s="53" t="str">
        <f>IF(B181&lt;&gt;"",177,"")</f>
        <v/>
      </c>
      <c r="B181" s="53"/>
      <c r="C181" s="53" t="str">
        <f>IFERROR(VLOOKUP(B181,'👥 بيانات الموظفين'!B:C,2,0),"")</f>
        <v/>
      </c>
      <c r="D181" s="53" t="str">
        <f>IFERROR(VLOOKUP(B181,'👥 بيانات الموظفين'!B:E,4,0),"")</f>
        <v/>
      </c>
      <c r="E181" s="68"/>
      <c r="F181" s="68"/>
      <c r="G181" s="68"/>
      <c r="H181" s="68"/>
      <c r="I181" s="68"/>
      <c r="J181" s="68"/>
      <c r="K181" s="68" t="str">
        <f t="shared" si="6"/>
        <v/>
      </c>
      <c r="L181" s="53" t="str">
        <f t="shared" si="7"/>
        <v/>
      </c>
      <c r="M181" s="62" t="str">
        <f t="shared" si="8"/>
        <v/>
      </c>
      <c r="N181" s="54" t="str">
        <f>IF(K181="","",IF(K181&gt;=90,IFERROR(VLOOKUP(B181,'👥 بيانات الموظفين'!B:H,7,0),0)*0.15,IF(K181&gt;=75,IFERROR(VLOOKUP(B181,'👥 بيانات الموظفين'!B:H,7,0),0)*0.1,IF(K181&gt;=60,IFERROR(VLOOKUP(B181,'👥 بيانات الموظفين'!B:H,7,0),0)*0.05,0))))</f>
        <v/>
      </c>
      <c r="O181" s="98"/>
    </row>
    <row r="182" spans="1:15" ht="22.15" customHeight="1" x14ac:dyDescent="0.2">
      <c r="A182" s="57" t="str">
        <f>IF(B182&lt;&gt;"",178,"")</f>
        <v/>
      </c>
      <c r="B182" s="57"/>
      <c r="C182" s="57" t="str">
        <f>IFERROR(VLOOKUP(B182,'👥 بيانات الموظفين'!B:C,2,0),"")</f>
        <v/>
      </c>
      <c r="D182" s="57" t="str">
        <f>IFERROR(VLOOKUP(B182,'👥 بيانات الموظفين'!B:E,4,0),"")</f>
        <v/>
      </c>
      <c r="E182" s="69"/>
      <c r="F182" s="69"/>
      <c r="G182" s="69"/>
      <c r="H182" s="69"/>
      <c r="I182" s="69"/>
      <c r="J182" s="69"/>
      <c r="K182" s="69" t="str">
        <f t="shared" si="6"/>
        <v/>
      </c>
      <c r="L182" s="57" t="str">
        <f t="shared" si="7"/>
        <v/>
      </c>
      <c r="M182" s="63" t="str">
        <f t="shared" si="8"/>
        <v/>
      </c>
      <c r="N182" s="58" t="str">
        <f>IF(K182="","",IF(K182&gt;=90,IFERROR(VLOOKUP(B182,'👥 بيانات الموظفين'!B:H,7,0),0)*0.15,IF(K182&gt;=75,IFERROR(VLOOKUP(B182,'👥 بيانات الموظفين'!B:H,7,0),0)*0.1,IF(K182&gt;=60,IFERROR(VLOOKUP(B182,'👥 بيانات الموظفين'!B:H,7,0),0)*0.05,0))))</f>
        <v/>
      </c>
      <c r="O182" s="99"/>
    </row>
    <row r="183" spans="1:15" ht="22.15" customHeight="1" x14ac:dyDescent="0.2">
      <c r="A183" s="53" t="str">
        <f>IF(B183&lt;&gt;"",179,"")</f>
        <v/>
      </c>
      <c r="B183" s="53"/>
      <c r="C183" s="53" t="str">
        <f>IFERROR(VLOOKUP(B183,'👥 بيانات الموظفين'!B:C,2,0),"")</f>
        <v/>
      </c>
      <c r="D183" s="53" t="str">
        <f>IFERROR(VLOOKUP(B183,'👥 بيانات الموظفين'!B:E,4,0),"")</f>
        <v/>
      </c>
      <c r="E183" s="68"/>
      <c r="F183" s="68"/>
      <c r="G183" s="68"/>
      <c r="H183" s="68"/>
      <c r="I183" s="68"/>
      <c r="J183" s="68"/>
      <c r="K183" s="68" t="str">
        <f t="shared" si="6"/>
        <v/>
      </c>
      <c r="L183" s="53" t="str">
        <f t="shared" si="7"/>
        <v/>
      </c>
      <c r="M183" s="62" t="str">
        <f t="shared" si="8"/>
        <v/>
      </c>
      <c r="N183" s="54" t="str">
        <f>IF(K183="","",IF(K183&gt;=90,IFERROR(VLOOKUP(B183,'👥 بيانات الموظفين'!B:H,7,0),0)*0.15,IF(K183&gt;=75,IFERROR(VLOOKUP(B183,'👥 بيانات الموظفين'!B:H,7,0),0)*0.1,IF(K183&gt;=60,IFERROR(VLOOKUP(B183,'👥 بيانات الموظفين'!B:H,7,0),0)*0.05,0))))</f>
        <v/>
      </c>
      <c r="O183" s="98"/>
    </row>
    <row r="184" spans="1:15" ht="22.15" customHeight="1" x14ac:dyDescent="0.2">
      <c r="A184" s="57" t="str">
        <f>IF(B184&lt;&gt;"",180,"")</f>
        <v/>
      </c>
      <c r="B184" s="57"/>
      <c r="C184" s="57" t="str">
        <f>IFERROR(VLOOKUP(B184,'👥 بيانات الموظفين'!B:C,2,0),"")</f>
        <v/>
      </c>
      <c r="D184" s="57" t="str">
        <f>IFERROR(VLOOKUP(B184,'👥 بيانات الموظفين'!B:E,4,0),"")</f>
        <v/>
      </c>
      <c r="E184" s="69"/>
      <c r="F184" s="69"/>
      <c r="G184" s="69"/>
      <c r="H184" s="69"/>
      <c r="I184" s="69"/>
      <c r="J184" s="69"/>
      <c r="K184" s="69" t="str">
        <f t="shared" si="6"/>
        <v/>
      </c>
      <c r="L184" s="57" t="str">
        <f t="shared" si="7"/>
        <v/>
      </c>
      <c r="M184" s="63" t="str">
        <f t="shared" si="8"/>
        <v/>
      </c>
      <c r="N184" s="58" t="str">
        <f>IF(K184="","",IF(K184&gt;=90,IFERROR(VLOOKUP(B184,'👥 بيانات الموظفين'!B:H,7,0),0)*0.15,IF(K184&gt;=75,IFERROR(VLOOKUP(B184,'👥 بيانات الموظفين'!B:H,7,0),0)*0.1,IF(K184&gt;=60,IFERROR(VLOOKUP(B184,'👥 بيانات الموظفين'!B:H,7,0),0)*0.05,0))))</f>
        <v/>
      </c>
      <c r="O184" s="99"/>
    </row>
    <row r="185" spans="1:15" ht="22.15" customHeight="1" x14ac:dyDescent="0.2">
      <c r="A185" s="53" t="str">
        <f>IF(B185&lt;&gt;"",181,"")</f>
        <v/>
      </c>
      <c r="B185" s="53"/>
      <c r="C185" s="53" t="str">
        <f>IFERROR(VLOOKUP(B185,'👥 بيانات الموظفين'!B:C,2,0),"")</f>
        <v/>
      </c>
      <c r="D185" s="53" t="str">
        <f>IFERROR(VLOOKUP(B185,'👥 بيانات الموظفين'!B:E,4,0),"")</f>
        <v/>
      </c>
      <c r="E185" s="68"/>
      <c r="F185" s="68"/>
      <c r="G185" s="68"/>
      <c r="H185" s="68"/>
      <c r="I185" s="68"/>
      <c r="J185" s="68"/>
      <c r="K185" s="68" t="str">
        <f t="shared" si="6"/>
        <v/>
      </c>
      <c r="L185" s="53" t="str">
        <f t="shared" si="7"/>
        <v/>
      </c>
      <c r="M185" s="62" t="str">
        <f t="shared" si="8"/>
        <v/>
      </c>
      <c r="N185" s="54" t="str">
        <f>IF(K185="","",IF(K185&gt;=90,IFERROR(VLOOKUP(B185,'👥 بيانات الموظفين'!B:H,7,0),0)*0.15,IF(K185&gt;=75,IFERROR(VLOOKUP(B185,'👥 بيانات الموظفين'!B:H,7,0),0)*0.1,IF(K185&gt;=60,IFERROR(VLOOKUP(B185,'👥 بيانات الموظفين'!B:H,7,0),0)*0.05,0))))</f>
        <v/>
      </c>
      <c r="O185" s="98"/>
    </row>
    <row r="186" spans="1:15" ht="22.15" customHeight="1" x14ac:dyDescent="0.2">
      <c r="A186" s="57" t="str">
        <f>IF(B186&lt;&gt;"",182,"")</f>
        <v/>
      </c>
      <c r="B186" s="57"/>
      <c r="C186" s="57" t="str">
        <f>IFERROR(VLOOKUP(B186,'👥 بيانات الموظفين'!B:C,2,0),"")</f>
        <v/>
      </c>
      <c r="D186" s="57" t="str">
        <f>IFERROR(VLOOKUP(B186,'👥 بيانات الموظفين'!B:E,4,0),"")</f>
        <v/>
      </c>
      <c r="E186" s="69"/>
      <c r="F186" s="69"/>
      <c r="G186" s="69"/>
      <c r="H186" s="69"/>
      <c r="I186" s="69"/>
      <c r="J186" s="69"/>
      <c r="K186" s="69" t="str">
        <f t="shared" si="6"/>
        <v/>
      </c>
      <c r="L186" s="57" t="str">
        <f t="shared" si="7"/>
        <v/>
      </c>
      <c r="M186" s="63" t="str">
        <f t="shared" si="8"/>
        <v/>
      </c>
      <c r="N186" s="58" t="str">
        <f>IF(K186="","",IF(K186&gt;=90,IFERROR(VLOOKUP(B186,'👥 بيانات الموظفين'!B:H,7,0),0)*0.15,IF(K186&gt;=75,IFERROR(VLOOKUP(B186,'👥 بيانات الموظفين'!B:H,7,0),0)*0.1,IF(K186&gt;=60,IFERROR(VLOOKUP(B186,'👥 بيانات الموظفين'!B:H,7,0),0)*0.05,0))))</f>
        <v/>
      </c>
      <c r="O186" s="99"/>
    </row>
    <row r="187" spans="1:15" ht="22.15" customHeight="1" x14ac:dyDescent="0.2">
      <c r="A187" s="53" t="str">
        <f>IF(B187&lt;&gt;"",183,"")</f>
        <v/>
      </c>
      <c r="B187" s="53"/>
      <c r="C187" s="53" t="str">
        <f>IFERROR(VLOOKUP(B187,'👥 بيانات الموظفين'!B:C,2,0),"")</f>
        <v/>
      </c>
      <c r="D187" s="53" t="str">
        <f>IFERROR(VLOOKUP(B187,'👥 بيانات الموظفين'!B:E,4,0),"")</f>
        <v/>
      </c>
      <c r="E187" s="68"/>
      <c r="F187" s="68"/>
      <c r="G187" s="68"/>
      <c r="H187" s="68"/>
      <c r="I187" s="68"/>
      <c r="J187" s="68"/>
      <c r="K187" s="68" t="str">
        <f t="shared" si="6"/>
        <v/>
      </c>
      <c r="L187" s="53" t="str">
        <f t="shared" si="7"/>
        <v/>
      </c>
      <c r="M187" s="62" t="str">
        <f t="shared" si="8"/>
        <v/>
      </c>
      <c r="N187" s="54" t="str">
        <f>IF(K187="","",IF(K187&gt;=90,IFERROR(VLOOKUP(B187,'👥 بيانات الموظفين'!B:H,7,0),0)*0.15,IF(K187&gt;=75,IFERROR(VLOOKUP(B187,'👥 بيانات الموظفين'!B:H,7,0),0)*0.1,IF(K187&gt;=60,IFERROR(VLOOKUP(B187,'👥 بيانات الموظفين'!B:H,7,0),0)*0.05,0))))</f>
        <v/>
      </c>
      <c r="O187" s="98"/>
    </row>
    <row r="188" spans="1:15" ht="22.15" customHeight="1" x14ac:dyDescent="0.2">
      <c r="A188" s="57" t="str">
        <f>IF(B188&lt;&gt;"",184,"")</f>
        <v/>
      </c>
      <c r="B188" s="57"/>
      <c r="C188" s="57" t="str">
        <f>IFERROR(VLOOKUP(B188,'👥 بيانات الموظفين'!B:C,2,0),"")</f>
        <v/>
      </c>
      <c r="D188" s="57" t="str">
        <f>IFERROR(VLOOKUP(B188,'👥 بيانات الموظفين'!B:E,4,0),"")</f>
        <v/>
      </c>
      <c r="E188" s="69"/>
      <c r="F188" s="69"/>
      <c r="G188" s="69"/>
      <c r="H188" s="69"/>
      <c r="I188" s="69"/>
      <c r="J188" s="69"/>
      <c r="K188" s="69" t="str">
        <f t="shared" si="6"/>
        <v/>
      </c>
      <c r="L188" s="57" t="str">
        <f t="shared" si="7"/>
        <v/>
      </c>
      <c r="M188" s="63" t="str">
        <f t="shared" si="8"/>
        <v/>
      </c>
      <c r="N188" s="58" t="str">
        <f>IF(K188="","",IF(K188&gt;=90,IFERROR(VLOOKUP(B188,'👥 بيانات الموظفين'!B:H,7,0),0)*0.15,IF(K188&gt;=75,IFERROR(VLOOKUP(B188,'👥 بيانات الموظفين'!B:H,7,0),0)*0.1,IF(K188&gt;=60,IFERROR(VLOOKUP(B188,'👥 بيانات الموظفين'!B:H,7,0),0)*0.05,0))))</f>
        <v/>
      </c>
      <c r="O188" s="99"/>
    </row>
    <row r="189" spans="1:15" ht="22.15" customHeight="1" x14ac:dyDescent="0.2">
      <c r="A189" s="53" t="str">
        <f>IF(B189&lt;&gt;"",185,"")</f>
        <v/>
      </c>
      <c r="B189" s="53"/>
      <c r="C189" s="53" t="str">
        <f>IFERROR(VLOOKUP(B189,'👥 بيانات الموظفين'!B:C,2,0),"")</f>
        <v/>
      </c>
      <c r="D189" s="53" t="str">
        <f>IFERROR(VLOOKUP(B189,'👥 بيانات الموظفين'!B:E,4,0),"")</f>
        <v/>
      </c>
      <c r="E189" s="68"/>
      <c r="F189" s="68"/>
      <c r="G189" s="68"/>
      <c r="H189" s="68"/>
      <c r="I189" s="68"/>
      <c r="J189" s="68"/>
      <c r="K189" s="68" t="str">
        <f t="shared" si="6"/>
        <v/>
      </c>
      <c r="L189" s="53" t="str">
        <f t="shared" si="7"/>
        <v/>
      </c>
      <c r="M189" s="62" t="str">
        <f t="shared" si="8"/>
        <v/>
      </c>
      <c r="N189" s="54" t="str">
        <f>IF(K189="","",IF(K189&gt;=90,IFERROR(VLOOKUP(B189,'👥 بيانات الموظفين'!B:H,7,0),0)*0.15,IF(K189&gt;=75,IFERROR(VLOOKUP(B189,'👥 بيانات الموظفين'!B:H,7,0),0)*0.1,IF(K189&gt;=60,IFERROR(VLOOKUP(B189,'👥 بيانات الموظفين'!B:H,7,0),0)*0.05,0))))</f>
        <v/>
      </c>
      <c r="O189" s="98"/>
    </row>
    <row r="190" spans="1:15" ht="22.15" customHeight="1" x14ac:dyDescent="0.2">
      <c r="A190" s="57" t="str">
        <f>IF(B190&lt;&gt;"",186,"")</f>
        <v/>
      </c>
      <c r="B190" s="57"/>
      <c r="C190" s="57" t="str">
        <f>IFERROR(VLOOKUP(B190,'👥 بيانات الموظفين'!B:C,2,0),"")</f>
        <v/>
      </c>
      <c r="D190" s="57" t="str">
        <f>IFERROR(VLOOKUP(B190,'👥 بيانات الموظفين'!B:E,4,0),"")</f>
        <v/>
      </c>
      <c r="E190" s="69"/>
      <c r="F190" s="69"/>
      <c r="G190" s="69"/>
      <c r="H190" s="69"/>
      <c r="I190" s="69"/>
      <c r="J190" s="69"/>
      <c r="K190" s="69" t="str">
        <f t="shared" si="6"/>
        <v/>
      </c>
      <c r="L190" s="57" t="str">
        <f t="shared" si="7"/>
        <v/>
      </c>
      <c r="M190" s="63" t="str">
        <f t="shared" si="8"/>
        <v/>
      </c>
      <c r="N190" s="58" t="str">
        <f>IF(K190="","",IF(K190&gt;=90,IFERROR(VLOOKUP(B190,'👥 بيانات الموظفين'!B:H,7,0),0)*0.15,IF(K190&gt;=75,IFERROR(VLOOKUP(B190,'👥 بيانات الموظفين'!B:H,7,0),0)*0.1,IF(K190&gt;=60,IFERROR(VLOOKUP(B190,'👥 بيانات الموظفين'!B:H,7,0),0)*0.05,0))))</f>
        <v/>
      </c>
      <c r="O190" s="99"/>
    </row>
    <row r="191" spans="1:15" ht="22.15" customHeight="1" x14ac:dyDescent="0.2">
      <c r="A191" s="53" t="str">
        <f>IF(B191&lt;&gt;"",187,"")</f>
        <v/>
      </c>
      <c r="B191" s="53"/>
      <c r="C191" s="53" t="str">
        <f>IFERROR(VLOOKUP(B191,'👥 بيانات الموظفين'!B:C,2,0),"")</f>
        <v/>
      </c>
      <c r="D191" s="53" t="str">
        <f>IFERROR(VLOOKUP(B191,'👥 بيانات الموظفين'!B:E,4,0),"")</f>
        <v/>
      </c>
      <c r="E191" s="68"/>
      <c r="F191" s="68"/>
      <c r="G191" s="68"/>
      <c r="H191" s="68"/>
      <c r="I191" s="68"/>
      <c r="J191" s="68"/>
      <c r="K191" s="68" t="str">
        <f t="shared" si="6"/>
        <v/>
      </c>
      <c r="L191" s="53" t="str">
        <f t="shared" si="7"/>
        <v/>
      </c>
      <c r="M191" s="62" t="str">
        <f t="shared" si="8"/>
        <v/>
      </c>
      <c r="N191" s="54" t="str">
        <f>IF(K191="","",IF(K191&gt;=90,IFERROR(VLOOKUP(B191,'👥 بيانات الموظفين'!B:H,7,0),0)*0.15,IF(K191&gt;=75,IFERROR(VLOOKUP(B191,'👥 بيانات الموظفين'!B:H,7,0),0)*0.1,IF(K191&gt;=60,IFERROR(VLOOKUP(B191,'👥 بيانات الموظفين'!B:H,7,0),0)*0.05,0))))</f>
        <v/>
      </c>
      <c r="O191" s="98"/>
    </row>
    <row r="192" spans="1:15" ht="22.15" customHeight="1" x14ac:dyDescent="0.2">
      <c r="A192" s="57" t="str">
        <f>IF(B192&lt;&gt;"",188,"")</f>
        <v/>
      </c>
      <c r="B192" s="57"/>
      <c r="C192" s="57" t="str">
        <f>IFERROR(VLOOKUP(B192,'👥 بيانات الموظفين'!B:C,2,0),"")</f>
        <v/>
      </c>
      <c r="D192" s="57" t="str">
        <f>IFERROR(VLOOKUP(B192,'👥 بيانات الموظفين'!B:E,4,0),"")</f>
        <v/>
      </c>
      <c r="E192" s="69"/>
      <c r="F192" s="69"/>
      <c r="G192" s="69"/>
      <c r="H192" s="69"/>
      <c r="I192" s="69"/>
      <c r="J192" s="69"/>
      <c r="K192" s="69" t="str">
        <f t="shared" si="6"/>
        <v/>
      </c>
      <c r="L192" s="57" t="str">
        <f t="shared" si="7"/>
        <v/>
      </c>
      <c r="M192" s="63" t="str">
        <f t="shared" si="8"/>
        <v/>
      </c>
      <c r="N192" s="58" t="str">
        <f>IF(K192="","",IF(K192&gt;=90,IFERROR(VLOOKUP(B192,'👥 بيانات الموظفين'!B:H,7,0),0)*0.15,IF(K192&gt;=75,IFERROR(VLOOKUP(B192,'👥 بيانات الموظفين'!B:H,7,0),0)*0.1,IF(K192&gt;=60,IFERROR(VLOOKUP(B192,'👥 بيانات الموظفين'!B:H,7,0),0)*0.05,0))))</f>
        <v/>
      </c>
      <c r="O192" s="99"/>
    </row>
    <row r="193" spans="1:15" ht="22.15" customHeight="1" x14ac:dyDescent="0.2">
      <c r="A193" s="53" t="str">
        <f>IF(B193&lt;&gt;"",189,"")</f>
        <v/>
      </c>
      <c r="B193" s="53"/>
      <c r="C193" s="53" t="str">
        <f>IFERROR(VLOOKUP(B193,'👥 بيانات الموظفين'!B:C,2,0),"")</f>
        <v/>
      </c>
      <c r="D193" s="53" t="str">
        <f>IFERROR(VLOOKUP(B193,'👥 بيانات الموظفين'!B:E,4,0),"")</f>
        <v/>
      </c>
      <c r="E193" s="68"/>
      <c r="F193" s="68"/>
      <c r="G193" s="68"/>
      <c r="H193" s="68"/>
      <c r="I193" s="68"/>
      <c r="J193" s="68"/>
      <c r="K193" s="68" t="str">
        <f t="shared" si="6"/>
        <v/>
      </c>
      <c r="L193" s="53" t="str">
        <f t="shared" si="7"/>
        <v/>
      </c>
      <c r="M193" s="62" t="str">
        <f t="shared" si="8"/>
        <v/>
      </c>
      <c r="N193" s="54" t="str">
        <f>IF(K193="","",IF(K193&gt;=90,IFERROR(VLOOKUP(B193,'👥 بيانات الموظفين'!B:H,7,0),0)*0.15,IF(K193&gt;=75,IFERROR(VLOOKUP(B193,'👥 بيانات الموظفين'!B:H,7,0),0)*0.1,IF(K193&gt;=60,IFERROR(VLOOKUP(B193,'👥 بيانات الموظفين'!B:H,7,0),0)*0.05,0))))</f>
        <v/>
      </c>
      <c r="O193" s="98"/>
    </row>
    <row r="194" spans="1:15" ht="22.15" customHeight="1" x14ac:dyDescent="0.2">
      <c r="A194" s="57" t="str">
        <f>IF(B194&lt;&gt;"",190,"")</f>
        <v/>
      </c>
      <c r="B194" s="57"/>
      <c r="C194" s="57" t="str">
        <f>IFERROR(VLOOKUP(B194,'👥 بيانات الموظفين'!B:C,2,0),"")</f>
        <v/>
      </c>
      <c r="D194" s="57" t="str">
        <f>IFERROR(VLOOKUP(B194,'👥 بيانات الموظفين'!B:E,4,0),"")</f>
        <v/>
      </c>
      <c r="E194" s="69"/>
      <c r="F194" s="69"/>
      <c r="G194" s="69"/>
      <c r="H194" s="69"/>
      <c r="I194" s="69"/>
      <c r="J194" s="69"/>
      <c r="K194" s="69" t="str">
        <f t="shared" si="6"/>
        <v/>
      </c>
      <c r="L194" s="57" t="str">
        <f t="shared" si="7"/>
        <v/>
      </c>
      <c r="M194" s="63" t="str">
        <f t="shared" si="8"/>
        <v/>
      </c>
      <c r="N194" s="58" t="str">
        <f>IF(K194="","",IF(K194&gt;=90,IFERROR(VLOOKUP(B194,'👥 بيانات الموظفين'!B:H,7,0),0)*0.15,IF(K194&gt;=75,IFERROR(VLOOKUP(B194,'👥 بيانات الموظفين'!B:H,7,0),0)*0.1,IF(K194&gt;=60,IFERROR(VLOOKUP(B194,'👥 بيانات الموظفين'!B:H,7,0),0)*0.05,0))))</f>
        <v/>
      </c>
      <c r="O194" s="99"/>
    </row>
    <row r="195" spans="1:15" ht="22.15" customHeight="1" x14ac:dyDescent="0.2">
      <c r="A195" s="53" t="str">
        <f>IF(B195&lt;&gt;"",191,"")</f>
        <v/>
      </c>
      <c r="B195" s="53"/>
      <c r="C195" s="53" t="str">
        <f>IFERROR(VLOOKUP(B195,'👥 بيانات الموظفين'!B:C,2,0),"")</f>
        <v/>
      </c>
      <c r="D195" s="53" t="str">
        <f>IFERROR(VLOOKUP(B195,'👥 بيانات الموظفين'!B:E,4,0),"")</f>
        <v/>
      </c>
      <c r="E195" s="68"/>
      <c r="F195" s="68"/>
      <c r="G195" s="68"/>
      <c r="H195" s="68"/>
      <c r="I195" s="68"/>
      <c r="J195" s="68"/>
      <c r="K195" s="68" t="str">
        <f t="shared" si="6"/>
        <v/>
      </c>
      <c r="L195" s="53" t="str">
        <f t="shared" si="7"/>
        <v/>
      </c>
      <c r="M195" s="62" t="str">
        <f t="shared" si="8"/>
        <v/>
      </c>
      <c r="N195" s="54" t="str">
        <f>IF(K195="","",IF(K195&gt;=90,IFERROR(VLOOKUP(B195,'👥 بيانات الموظفين'!B:H,7,0),0)*0.15,IF(K195&gt;=75,IFERROR(VLOOKUP(B195,'👥 بيانات الموظفين'!B:H,7,0),0)*0.1,IF(K195&gt;=60,IFERROR(VLOOKUP(B195,'👥 بيانات الموظفين'!B:H,7,0),0)*0.05,0))))</f>
        <v/>
      </c>
      <c r="O195" s="98"/>
    </row>
    <row r="196" spans="1:15" ht="22.15" customHeight="1" x14ac:dyDescent="0.2">
      <c r="A196" s="57" t="str">
        <f>IF(B196&lt;&gt;"",192,"")</f>
        <v/>
      </c>
      <c r="B196" s="57"/>
      <c r="C196" s="57" t="str">
        <f>IFERROR(VLOOKUP(B196,'👥 بيانات الموظفين'!B:C,2,0),"")</f>
        <v/>
      </c>
      <c r="D196" s="57" t="str">
        <f>IFERROR(VLOOKUP(B196,'👥 بيانات الموظفين'!B:E,4,0),"")</f>
        <v/>
      </c>
      <c r="E196" s="69"/>
      <c r="F196" s="69"/>
      <c r="G196" s="69"/>
      <c r="H196" s="69"/>
      <c r="I196" s="69"/>
      <c r="J196" s="69"/>
      <c r="K196" s="69" t="str">
        <f t="shared" si="6"/>
        <v/>
      </c>
      <c r="L196" s="57" t="str">
        <f t="shared" si="7"/>
        <v/>
      </c>
      <c r="M196" s="63" t="str">
        <f t="shared" si="8"/>
        <v/>
      </c>
      <c r="N196" s="58" t="str">
        <f>IF(K196="","",IF(K196&gt;=90,IFERROR(VLOOKUP(B196,'👥 بيانات الموظفين'!B:H,7,0),0)*0.15,IF(K196&gt;=75,IFERROR(VLOOKUP(B196,'👥 بيانات الموظفين'!B:H,7,0),0)*0.1,IF(K196&gt;=60,IFERROR(VLOOKUP(B196,'👥 بيانات الموظفين'!B:H,7,0),0)*0.05,0))))</f>
        <v/>
      </c>
      <c r="O196" s="99"/>
    </row>
    <row r="197" spans="1:15" ht="22.15" customHeight="1" x14ac:dyDescent="0.2">
      <c r="A197" s="53" t="str">
        <f>IF(B197&lt;&gt;"",193,"")</f>
        <v/>
      </c>
      <c r="B197" s="53"/>
      <c r="C197" s="53" t="str">
        <f>IFERROR(VLOOKUP(B197,'👥 بيانات الموظفين'!B:C,2,0),"")</f>
        <v/>
      </c>
      <c r="D197" s="53" t="str">
        <f>IFERROR(VLOOKUP(B197,'👥 بيانات الموظفين'!B:E,4,0),"")</f>
        <v/>
      </c>
      <c r="E197" s="68"/>
      <c r="F197" s="68"/>
      <c r="G197" s="68"/>
      <c r="H197" s="68"/>
      <c r="I197" s="68"/>
      <c r="J197" s="68"/>
      <c r="K197" s="68" t="str">
        <f t="shared" ref="K197:K260" si="9">IF(B197&lt;&gt;"",IF(AND(F197&lt;&gt;"",G197&lt;&gt;"",H197&lt;&gt;"",I197&lt;&gt;"",J197&lt;&gt;""),SUM(F197:J197),""),"")</f>
        <v/>
      </c>
      <c r="L197" s="53" t="str">
        <f t="shared" ref="L197:L260" si="10">IF(K197="","",IF(K197&gt;=90,"ممتاز",IF(K197&gt;=75,"جيد جداً",IF(K197&gt;=60,"جيد",IF(K197&gt;=50,"مقبول","ضعيف")))))</f>
        <v/>
      </c>
      <c r="M197" s="62" t="str">
        <f t="shared" ref="M197:M260" si="11">IF(K197="","",IF(K197&gt;=90,"A",IF(K197&gt;=75,"B",IF(K197&gt;=60,"C",IF(K197&gt;=50,"D","F")))))</f>
        <v/>
      </c>
      <c r="N197" s="54" t="str">
        <f>IF(K197="","",IF(K197&gt;=90,IFERROR(VLOOKUP(B197,'👥 بيانات الموظفين'!B:H,7,0),0)*0.15,IF(K197&gt;=75,IFERROR(VLOOKUP(B197,'👥 بيانات الموظفين'!B:H,7,0),0)*0.1,IF(K197&gt;=60,IFERROR(VLOOKUP(B197,'👥 بيانات الموظفين'!B:H,7,0),0)*0.05,0))))</f>
        <v/>
      </c>
      <c r="O197" s="98"/>
    </row>
    <row r="198" spans="1:15" ht="22.15" customHeight="1" x14ac:dyDescent="0.2">
      <c r="A198" s="57" t="str">
        <f>IF(B198&lt;&gt;"",194,"")</f>
        <v/>
      </c>
      <c r="B198" s="57"/>
      <c r="C198" s="57" t="str">
        <f>IFERROR(VLOOKUP(B198,'👥 بيانات الموظفين'!B:C,2,0),"")</f>
        <v/>
      </c>
      <c r="D198" s="57" t="str">
        <f>IFERROR(VLOOKUP(B198,'👥 بيانات الموظفين'!B:E,4,0),"")</f>
        <v/>
      </c>
      <c r="E198" s="69"/>
      <c r="F198" s="69"/>
      <c r="G198" s="69"/>
      <c r="H198" s="69"/>
      <c r="I198" s="69"/>
      <c r="J198" s="69"/>
      <c r="K198" s="69" t="str">
        <f t="shared" si="9"/>
        <v/>
      </c>
      <c r="L198" s="57" t="str">
        <f t="shared" si="10"/>
        <v/>
      </c>
      <c r="M198" s="63" t="str">
        <f t="shared" si="11"/>
        <v/>
      </c>
      <c r="N198" s="58" t="str">
        <f>IF(K198="","",IF(K198&gt;=90,IFERROR(VLOOKUP(B198,'👥 بيانات الموظفين'!B:H,7,0),0)*0.15,IF(K198&gt;=75,IFERROR(VLOOKUP(B198,'👥 بيانات الموظفين'!B:H,7,0),0)*0.1,IF(K198&gt;=60,IFERROR(VLOOKUP(B198,'👥 بيانات الموظفين'!B:H,7,0),0)*0.05,0))))</f>
        <v/>
      </c>
      <c r="O198" s="99"/>
    </row>
    <row r="199" spans="1:15" ht="22.15" customHeight="1" x14ac:dyDescent="0.2">
      <c r="A199" s="53" t="str">
        <f>IF(B199&lt;&gt;"",195,"")</f>
        <v/>
      </c>
      <c r="B199" s="53"/>
      <c r="C199" s="53" t="str">
        <f>IFERROR(VLOOKUP(B199,'👥 بيانات الموظفين'!B:C,2,0),"")</f>
        <v/>
      </c>
      <c r="D199" s="53" t="str">
        <f>IFERROR(VLOOKUP(B199,'👥 بيانات الموظفين'!B:E,4,0),"")</f>
        <v/>
      </c>
      <c r="E199" s="68"/>
      <c r="F199" s="68"/>
      <c r="G199" s="68"/>
      <c r="H199" s="68"/>
      <c r="I199" s="68"/>
      <c r="J199" s="68"/>
      <c r="K199" s="68" t="str">
        <f t="shared" si="9"/>
        <v/>
      </c>
      <c r="L199" s="53" t="str">
        <f t="shared" si="10"/>
        <v/>
      </c>
      <c r="M199" s="62" t="str">
        <f t="shared" si="11"/>
        <v/>
      </c>
      <c r="N199" s="54" t="str">
        <f>IF(K199="","",IF(K199&gt;=90,IFERROR(VLOOKUP(B199,'👥 بيانات الموظفين'!B:H,7,0),0)*0.15,IF(K199&gt;=75,IFERROR(VLOOKUP(B199,'👥 بيانات الموظفين'!B:H,7,0),0)*0.1,IF(K199&gt;=60,IFERROR(VLOOKUP(B199,'👥 بيانات الموظفين'!B:H,7,0),0)*0.05,0))))</f>
        <v/>
      </c>
      <c r="O199" s="98"/>
    </row>
    <row r="200" spans="1:15" ht="22.15" customHeight="1" x14ac:dyDescent="0.2">
      <c r="A200" s="57" t="str">
        <f>IF(B200&lt;&gt;"",196,"")</f>
        <v/>
      </c>
      <c r="B200" s="57"/>
      <c r="C200" s="57" t="str">
        <f>IFERROR(VLOOKUP(B200,'👥 بيانات الموظفين'!B:C,2,0),"")</f>
        <v/>
      </c>
      <c r="D200" s="57" t="str">
        <f>IFERROR(VLOOKUP(B200,'👥 بيانات الموظفين'!B:E,4,0),"")</f>
        <v/>
      </c>
      <c r="E200" s="69"/>
      <c r="F200" s="69"/>
      <c r="G200" s="69"/>
      <c r="H200" s="69"/>
      <c r="I200" s="69"/>
      <c r="J200" s="69"/>
      <c r="K200" s="69" t="str">
        <f t="shared" si="9"/>
        <v/>
      </c>
      <c r="L200" s="57" t="str">
        <f t="shared" si="10"/>
        <v/>
      </c>
      <c r="M200" s="63" t="str">
        <f t="shared" si="11"/>
        <v/>
      </c>
      <c r="N200" s="58" t="str">
        <f>IF(K200="","",IF(K200&gt;=90,IFERROR(VLOOKUP(B200,'👥 بيانات الموظفين'!B:H,7,0),0)*0.15,IF(K200&gt;=75,IFERROR(VLOOKUP(B200,'👥 بيانات الموظفين'!B:H,7,0),0)*0.1,IF(K200&gt;=60,IFERROR(VLOOKUP(B200,'👥 بيانات الموظفين'!B:H,7,0),0)*0.05,0))))</f>
        <v/>
      </c>
      <c r="O200" s="99"/>
    </row>
    <row r="201" spans="1:15" ht="22.15" customHeight="1" x14ac:dyDescent="0.2">
      <c r="A201" s="53" t="str">
        <f>IF(B201&lt;&gt;"",197,"")</f>
        <v/>
      </c>
      <c r="B201" s="53"/>
      <c r="C201" s="53" t="str">
        <f>IFERROR(VLOOKUP(B201,'👥 بيانات الموظفين'!B:C,2,0),"")</f>
        <v/>
      </c>
      <c r="D201" s="53" t="str">
        <f>IFERROR(VLOOKUP(B201,'👥 بيانات الموظفين'!B:E,4,0),"")</f>
        <v/>
      </c>
      <c r="E201" s="68"/>
      <c r="F201" s="68"/>
      <c r="G201" s="68"/>
      <c r="H201" s="68"/>
      <c r="I201" s="68"/>
      <c r="J201" s="68"/>
      <c r="K201" s="68" t="str">
        <f t="shared" si="9"/>
        <v/>
      </c>
      <c r="L201" s="53" t="str">
        <f t="shared" si="10"/>
        <v/>
      </c>
      <c r="M201" s="62" t="str">
        <f t="shared" si="11"/>
        <v/>
      </c>
      <c r="N201" s="54" t="str">
        <f>IF(K201="","",IF(K201&gt;=90,IFERROR(VLOOKUP(B201,'👥 بيانات الموظفين'!B:H,7,0),0)*0.15,IF(K201&gt;=75,IFERROR(VLOOKUP(B201,'👥 بيانات الموظفين'!B:H,7,0),0)*0.1,IF(K201&gt;=60,IFERROR(VLOOKUP(B201,'👥 بيانات الموظفين'!B:H,7,0),0)*0.05,0))))</f>
        <v/>
      </c>
      <c r="O201" s="98"/>
    </row>
    <row r="202" spans="1:15" ht="22.15" customHeight="1" x14ac:dyDescent="0.2">
      <c r="A202" s="57" t="str">
        <f>IF(B202&lt;&gt;"",198,"")</f>
        <v/>
      </c>
      <c r="B202" s="57"/>
      <c r="C202" s="57" t="str">
        <f>IFERROR(VLOOKUP(B202,'👥 بيانات الموظفين'!B:C,2,0),"")</f>
        <v/>
      </c>
      <c r="D202" s="57" t="str">
        <f>IFERROR(VLOOKUP(B202,'👥 بيانات الموظفين'!B:E,4,0),"")</f>
        <v/>
      </c>
      <c r="E202" s="69"/>
      <c r="F202" s="69"/>
      <c r="G202" s="69"/>
      <c r="H202" s="69"/>
      <c r="I202" s="69"/>
      <c r="J202" s="69"/>
      <c r="K202" s="69" t="str">
        <f t="shared" si="9"/>
        <v/>
      </c>
      <c r="L202" s="57" t="str">
        <f t="shared" si="10"/>
        <v/>
      </c>
      <c r="M202" s="63" t="str">
        <f t="shared" si="11"/>
        <v/>
      </c>
      <c r="N202" s="58" t="str">
        <f>IF(K202="","",IF(K202&gt;=90,IFERROR(VLOOKUP(B202,'👥 بيانات الموظفين'!B:H,7,0),0)*0.15,IF(K202&gt;=75,IFERROR(VLOOKUP(B202,'👥 بيانات الموظفين'!B:H,7,0),0)*0.1,IF(K202&gt;=60,IFERROR(VLOOKUP(B202,'👥 بيانات الموظفين'!B:H,7,0),0)*0.05,0))))</f>
        <v/>
      </c>
      <c r="O202" s="99"/>
    </row>
    <row r="203" spans="1:15" ht="22.15" customHeight="1" x14ac:dyDescent="0.2">
      <c r="A203" s="53" t="str">
        <f>IF(B203&lt;&gt;"",199,"")</f>
        <v/>
      </c>
      <c r="B203" s="53"/>
      <c r="C203" s="53" t="str">
        <f>IFERROR(VLOOKUP(B203,'👥 بيانات الموظفين'!B:C,2,0),"")</f>
        <v/>
      </c>
      <c r="D203" s="53" t="str">
        <f>IFERROR(VLOOKUP(B203,'👥 بيانات الموظفين'!B:E,4,0),"")</f>
        <v/>
      </c>
      <c r="E203" s="68"/>
      <c r="F203" s="68"/>
      <c r="G203" s="68"/>
      <c r="H203" s="68"/>
      <c r="I203" s="68"/>
      <c r="J203" s="68"/>
      <c r="K203" s="68" t="str">
        <f t="shared" si="9"/>
        <v/>
      </c>
      <c r="L203" s="53" t="str">
        <f t="shared" si="10"/>
        <v/>
      </c>
      <c r="M203" s="62" t="str">
        <f t="shared" si="11"/>
        <v/>
      </c>
      <c r="N203" s="54" t="str">
        <f>IF(K203="","",IF(K203&gt;=90,IFERROR(VLOOKUP(B203,'👥 بيانات الموظفين'!B:H,7,0),0)*0.15,IF(K203&gt;=75,IFERROR(VLOOKUP(B203,'👥 بيانات الموظفين'!B:H,7,0),0)*0.1,IF(K203&gt;=60,IFERROR(VLOOKUP(B203,'👥 بيانات الموظفين'!B:H,7,0),0)*0.05,0))))</f>
        <v/>
      </c>
      <c r="O203" s="98"/>
    </row>
    <row r="204" spans="1:15" ht="22.15" customHeight="1" x14ac:dyDescent="0.2">
      <c r="A204" s="57" t="str">
        <f>IF(B204&lt;&gt;"",200,"")</f>
        <v/>
      </c>
      <c r="B204" s="57"/>
      <c r="C204" s="57" t="str">
        <f>IFERROR(VLOOKUP(B204,'👥 بيانات الموظفين'!B:C,2,0),"")</f>
        <v/>
      </c>
      <c r="D204" s="57" t="str">
        <f>IFERROR(VLOOKUP(B204,'👥 بيانات الموظفين'!B:E,4,0),"")</f>
        <v/>
      </c>
      <c r="E204" s="69"/>
      <c r="F204" s="69"/>
      <c r="G204" s="69"/>
      <c r="H204" s="69"/>
      <c r="I204" s="69"/>
      <c r="J204" s="69"/>
      <c r="K204" s="69" t="str">
        <f t="shared" si="9"/>
        <v/>
      </c>
      <c r="L204" s="57" t="str">
        <f t="shared" si="10"/>
        <v/>
      </c>
      <c r="M204" s="63" t="str">
        <f t="shared" si="11"/>
        <v/>
      </c>
      <c r="N204" s="58" t="str">
        <f>IF(K204="","",IF(K204&gt;=90,IFERROR(VLOOKUP(B204,'👥 بيانات الموظفين'!B:H,7,0),0)*0.15,IF(K204&gt;=75,IFERROR(VLOOKUP(B204,'👥 بيانات الموظفين'!B:H,7,0),0)*0.1,IF(K204&gt;=60,IFERROR(VLOOKUP(B204,'👥 بيانات الموظفين'!B:H,7,0),0)*0.05,0))))</f>
        <v/>
      </c>
      <c r="O204" s="99"/>
    </row>
    <row r="205" spans="1:15" ht="22.15" customHeight="1" x14ac:dyDescent="0.2">
      <c r="A205" s="53" t="str">
        <f>IF(B205&lt;&gt;"",201,"")</f>
        <v/>
      </c>
      <c r="B205" s="53"/>
      <c r="C205" s="53" t="str">
        <f>IFERROR(VLOOKUP(B205,'👥 بيانات الموظفين'!B:C,2,0),"")</f>
        <v/>
      </c>
      <c r="D205" s="53" t="str">
        <f>IFERROR(VLOOKUP(B205,'👥 بيانات الموظفين'!B:E,4,0),"")</f>
        <v/>
      </c>
      <c r="E205" s="68"/>
      <c r="F205" s="68"/>
      <c r="G205" s="68"/>
      <c r="H205" s="68"/>
      <c r="I205" s="68"/>
      <c r="J205" s="68"/>
      <c r="K205" s="68" t="str">
        <f t="shared" si="9"/>
        <v/>
      </c>
      <c r="L205" s="53" t="str">
        <f t="shared" si="10"/>
        <v/>
      </c>
      <c r="M205" s="62" t="str">
        <f t="shared" si="11"/>
        <v/>
      </c>
      <c r="N205" s="54" t="str">
        <f>IF(K205="","",IF(K205&gt;=90,IFERROR(VLOOKUP(B205,'👥 بيانات الموظفين'!B:H,7,0),0)*0.15,IF(K205&gt;=75,IFERROR(VLOOKUP(B205,'👥 بيانات الموظفين'!B:H,7,0),0)*0.1,IF(K205&gt;=60,IFERROR(VLOOKUP(B205,'👥 بيانات الموظفين'!B:H,7,0),0)*0.05,0))))</f>
        <v/>
      </c>
      <c r="O205" s="98"/>
    </row>
    <row r="206" spans="1:15" ht="22.15" customHeight="1" x14ac:dyDescent="0.2">
      <c r="A206" s="57" t="str">
        <f>IF(B206&lt;&gt;"",202,"")</f>
        <v/>
      </c>
      <c r="B206" s="57"/>
      <c r="C206" s="57" t="str">
        <f>IFERROR(VLOOKUP(B206,'👥 بيانات الموظفين'!B:C,2,0),"")</f>
        <v/>
      </c>
      <c r="D206" s="57" t="str">
        <f>IFERROR(VLOOKUP(B206,'👥 بيانات الموظفين'!B:E,4,0),"")</f>
        <v/>
      </c>
      <c r="E206" s="69"/>
      <c r="F206" s="69"/>
      <c r="G206" s="69"/>
      <c r="H206" s="69"/>
      <c r="I206" s="69"/>
      <c r="J206" s="69"/>
      <c r="K206" s="69" t="str">
        <f t="shared" si="9"/>
        <v/>
      </c>
      <c r="L206" s="57" t="str">
        <f t="shared" si="10"/>
        <v/>
      </c>
      <c r="M206" s="63" t="str">
        <f t="shared" si="11"/>
        <v/>
      </c>
      <c r="N206" s="58" t="str">
        <f>IF(K206="","",IF(K206&gt;=90,IFERROR(VLOOKUP(B206,'👥 بيانات الموظفين'!B:H,7,0),0)*0.15,IF(K206&gt;=75,IFERROR(VLOOKUP(B206,'👥 بيانات الموظفين'!B:H,7,0),0)*0.1,IF(K206&gt;=60,IFERROR(VLOOKUP(B206,'👥 بيانات الموظفين'!B:H,7,0),0)*0.05,0))))</f>
        <v/>
      </c>
      <c r="O206" s="99"/>
    </row>
    <row r="207" spans="1:15" ht="22.15" customHeight="1" x14ac:dyDescent="0.2">
      <c r="A207" s="53" t="str">
        <f>IF(B207&lt;&gt;"",203,"")</f>
        <v/>
      </c>
      <c r="B207" s="53"/>
      <c r="C207" s="53" t="str">
        <f>IFERROR(VLOOKUP(B207,'👥 بيانات الموظفين'!B:C,2,0),"")</f>
        <v/>
      </c>
      <c r="D207" s="53" t="str">
        <f>IFERROR(VLOOKUP(B207,'👥 بيانات الموظفين'!B:E,4,0),"")</f>
        <v/>
      </c>
      <c r="E207" s="68"/>
      <c r="F207" s="68"/>
      <c r="G207" s="68"/>
      <c r="H207" s="68"/>
      <c r="I207" s="68"/>
      <c r="J207" s="68"/>
      <c r="K207" s="68" t="str">
        <f t="shared" si="9"/>
        <v/>
      </c>
      <c r="L207" s="53" t="str">
        <f t="shared" si="10"/>
        <v/>
      </c>
      <c r="M207" s="62" t="str">
        <f t="shared" si="11"/>
        <v/>
      </c>
      <c r="N207" s="54" t="str">
        <f>IF(K207="","",IF(K207&gt;=90,IFERROR(VLOOKUP(B207,'👥 بيانات الموظفين'!B:H,7,0),0)*0.15,IF(K207&gt;=75,IFERROR(VLOOKUP(B207,'👥 بيانات الموظفين'!B:H,7,0),0)*0.1,IF(K207&gt;=60,IFERROR(VLOOKUP(B207,'👥 بيانات الموظفين'!B:H,7,0),0)*0.05,0))))</f>
        <v/>
      </c>
      <c r="O207" s="98"/>
    </row>
    <row r="208" spans="1:15" ht="22.15" customHeight="1" x14ac:dyDescent="0.2">
      <c r="A208" s="57" t="str">
        <f>IF(B208&lt;&gt;"",204,"")</f>
        <v/>
      </c>
      <c r="B208" s="57"/>
      <c r="C208" s="57" t="str">
        <f>IFERROR(VLOOKUP(B208,'👥 بيانات الموظفين'!B:C,2,0),"")</f>
        <v/>
      </c>
      <c r="D208" s="57" t="str">
        <f>IFERROR(VLOOKUP(B208,'👥 بيانات الموظفين'!B:E,4,0),"")</f>
        <v/>
      </c>
      <c r="E208" s="69"/>
      <c r="F208" s="69"/>
      <c r="G208" s="69"/>
      <c r="H208" s="69"/>
      <c r="I208" s="69"/>
      <c r="J208" s="69"/>
      <c r="K208" s="69" t="str">
        <f t="shared" si="9"/>
        <v/>
      </c>
      <c r="L208" s="57" t="str">
        <f t="shared" si="10"/>
        <v/>
      </c>
      <c r="M208" s="63" t="str">
        <f t="shared" si="11"/>
        <v/>
      </c>
      <c r="N208" s="58" t="str">
        <f>IF(K208="","",IF(K208&gt;=90,IFERROR(VLOOKUP(B208,'👥 بيانات الموظفين'!B:H,7,0),0)*0.15,IF(K208&gt;=75,IFERROR(VLOOKUP(B208,'👥 بيانات الموظفين'!B:H,7,0),0)*0.1,IF(K208&gt;=60,IFERROR(VLOOKUP(B208,'👥 بيانات الموظفين'!B:H,7,0),0)*0.05,0))))</f>
        <v/>
      </c>
      <c r="O208" s="99"/>
    </row>
    <row r="209" spans="1:15" ht="22.15" customHeight="1" x14ac:dyDescent="0.2">
      <c r="A209" s="53" t="str">
        <f>IF(B209&lt;&gt;"",205,"")</f>
        <v/>
      </c>
      <c r="B209" s="53"/>
      <c r="C209" s="53" t="str">
        <f>IFERROR(VLOOKUP(B209,'👥 بيانات الموظفين'!B:C,2,0),"")</f>
        <v/>
      </c>
      <c r="D209" s="53" t="str">
        <f>IFERROR(VLOOKUP(B209,'👥 بيانات الموظفين'!B:E,4,0),"")</f>
        <v/>
      </c>
      <c r="E209" s="68"/>
      <c r="F209" s="68"/>
      <c r="G209" s="68"/>
      <c r="H209" s="68"/>
      <c r="I209" s="68"/>
      <c r="J209" s="68"/>
      <c r="K209" s="68" t="str">
        <f t="shared" si="9"/>
        <v/>
      </c>
      <c r="L209" s="53" t="str">
        <f t="shared" si="10"/>
        <v/>
      </c>
      <c r="M209" s="62" t="str">
        <f t="shared" si="11"/>
        <v/>
      </c>
      <c r="N209" s="54" t="str">
        <f>IF(K209="","",IF(K209&gt;=90,IFERROR(VLOOKUP(B209,'👥 بيانات الموظفين'!B:H,7,0),0)*0.15,IF(K209&gt;=75,IFERROR(VLOOKUP(B209,'👥 بيانات الموظفين'!B:H,7,0),0)*0.1,IF(K209&gt;=60,IFERROR(VLOOKUP(B209,'👥 بيانات الموظفين'!B:H,7,0),0)*0.05,0))))</f>
        <v/>
      </c>
      <c r="O209" s="98"/>
    </row>
    <row r="210" spans="1:15" ht="22.15" customHeight="1" x14ac:dyDescent="0.2">
      <c r="A210" s="57" t="str">
        <f>IF(B210&lt;&gt;"",206,"")</f>
        <v/>
      </c>
      <c r="B210" s="57"/>
      <c r="C210" s="57" t="str">
        <f>IFERROR(VLOOKUP(B210,'👥 بيانات الموظفين'!B:C,2,0),"")</f>
        <v/>
      </c>
      <c r="D210" s="57" t="str">
        <f>IFERROR(VLOOKUP(B210,'👥 بيانات الموظفين'!B:E,4,0),"")</f>
        <v/>
      </c>
      <c r="E210" s="69"/>
      <c r="F210" s="69"/>
      <c r="G210" s="69"/>
      <c r="H210" s="69"/>
      <c r="I210" s="69"/>
      <c r="J210" s="69"/>
      <c r="K210" s="69" t="str">
        <f t="shared" si="9"/>
        <v/>
      </c>
      <c r="L210" s="57" t="str">
        <f t="shared" si="10"/>
        <v/>
      </c>
      <c r="M210" s="63" t="str">
        <f t="shared" si="11"/>
        <v/>
      </c>
      <c r="N210" s="58" t="str">
        <f>IF(K210="","",IF(K210&gt;=90,IFERROR(VLOOKUP(B210,'👥 بيانات الموظفين'!B:H,7,0),0)*0.15,IF(K210&gt;=75,IFERROR(VLOOKUP(B210,'👥 بيانات الموظفين'!B:H,7,0),0)*0.1,IF(K210&gt;=60,IFERROR(VLOOKUP(B210,'👥 بيانات الموظفين'!B:H,7,0),0)*0.05,0))))</f>
        <v/>
      </c>
      <c r="O210" s="99"/>
    </row>
    <row r="211" spans="1:15" ht="22.15" customHeight="1" x14ac:dyDescent="0.2">
      <c r="A211" s="53" t="str">
        <f>IF(B211&lt;&gt;"",207,"")</f>
        <v/>
      </c>
      <c r="B211" s="53"/>
      <c r="C211" s="53" t="str">
        <f>IFERROR(VLOOKUP(B211,'👥 بيانات الموظفين'!B:C,2,0),"")</f>
        <v/>
      </c>
      <c r="D211" s="53" t="str">
        <f>IFERROR(VLOOKUP(B211,'👥 بيانات الموظفين'!B:E,4,0),"")</f>
        <v/>
      </c>
      <c r="E211" s="68"/>
      <c r="F211" s="68"/>
      <c r="G211" s="68"/>
      <c r="H211" s="68"/>
      <c r="I211" s="68"/>
      <c r="J211" s="68"/>
      <c r="K211" s="68" t="str">
        <f t="shared" si="9"/>
        <v/>
      </c>
      <c r="L211" s="53" t="str">
        <f t="shared" si="10"/>
        <v/>
      </c>
      <c r="M211" s="62" t="str">
        <f t="shared" si="11"/>
        <v/>
      </c>
      <c r="N211" s="54" t="str">
        <f>IF(K211="","",IF(K211&gt;=90,IFERROR(VLOOKUP(B211,'👥 بيانات الموظفين'!B:H,7,0),0)*0.15,IF(K211&gt;=75,IFERROR(VLOOKUP(B211,'👥 بيانات الموظفين'!B:H,7,0),0)*0.1,IF(K211&gt;=60,IFERROR(VLOOKUP(B211,'👥 بيانات الموظفين'!B:H,7,0),0)*0.05,0))))</f>
        <v/>
      </c>
      <c r="O211" s="98"/>
    </row>
    <row r="212" spans="1:15" ht="22.15" customHeight="1" x14ac:dyDescent="0.2">
      <c r="A212" s="57" t="str">
        <f>IF(B212&lt;&gt;"",208,"")</f>
        <v/>
      </c>
      <c r="B212" s="57"/>
      <c r="C212" s="57" t="str">
        <f>IFERROR(VLOOKUP(B212,'👥 بيانات الموظفين'!B:C,2,0),"")</f>
        <v/>
      </c>
      <c r="D212" s="57" t="str">
        <f>IFERROR(VLOOKUP(B212,'👥 بيانات الموظفين'!B:E,4,0),"")</f>
        <v/>
      </c>
      <c r="E212" s="69"/>
      <c r="F212" s="69"/>
      <c r="G212" s="69"/>
      <c r="H212" s="69"/>
      <c r="I212" s="69"/>
      <c r="J212" s="69"/>
      <c r="K212" s="69" t="str">
        <f t="shared" si="9"/>
        <v/>
      </c>
      <c r="L212" s="57" t="str">
        <f t="shared" si="10"/>
        <v/>
      </c>
      <c r="M212" s="63" t="str">
        <f t="shared" si="11"/>
        <v/>
      </c>
      <c r="N212" s="58" t="str">
        <f>IF(K212="","",IF(K212&gt;=90,IFERROR(VLOOKUP(B212,'👥 بيانات الموظفين'!B:H,7,0),0)*0.15,IF(K212&gt;=75,IFERROR(VLOOKUP(B212,'👥 بيانات الموظفين'!B:H,7,0),0)*0.1,IF(K212&gt;=60,IFERROR(VLOOKUP(B212,'👥 بيانات الموظفين'!B:H,7,0),0)*0.05,0))))</f>
        <v/>
      </c>
      <c r="O212" s="99"/>
    </row>
    <row r="213" spans="1:15" ht="22.15" customHeight="1" x14ac:dyDescent="0.2">
      <c r="A213" s="53" t="str">
        <f>IF(B213&lt;&gt;"",209,"")</f>
        <v/>
      </c>
      <c r="B213" s="53"/>
      <c r="C213" s="53" t="str">
        <f>IFERROR(VLOOKUP(B213,'👥 بيانات الموظفين'!B:C,2,0),"")</f>
        <v/>
      </c>
      <c r="D213" s="53" t="str">
        <f>IFERROR(VLOOKUP(B213,'👥 بيانات الموظفين'!B:E,4,0),"")</f>
        <v/>
      </c>
      <c r="E213" s="68"/>
      <c r="F213" s="68"/>
      <c r="G213" s="68"/>
      <c r="H213" s="68"/>
      <c r="I213" s="68"/>
      <c r="J213" s="68"/>
      <c r="K213" s="68" t="str">
        <f t="shared" si="9"/>
        <v/>
      </c>
      <c r="L213" s="53" t="str">
        <f t="shared" si="10"/>
        <v/>
      </c>
      <c r="M213" s="62" t="str">
        <f t="shared" si="11"/>
        <v/>
      </c>
      <c r="N213" s="54" t="str">
        <f>IF(K213="","",IF(K213&gt;=90,IFERROR(VLOOKUP(B213,'👥 بيانات الموظفين'!B:H,7,0),0)*0.15,IF(K213&gt;=75,IFERROR(VLOOKUP(B213,'👥 بيانات الموظفين'!B:H,7,0),0)*0.1,IF(K213&gt;=60,IFERROR(VLOOKUP(B213,'👥 بيانات الموظفين'!B:H,7,0),0)*0.05,0))))</f>
        <v/>
      </c>
      <c r="O213" s="98"/>
    </row>
    <row r="214" spans="1:15" ht="22.15" customHeight="1" x14ac:dyDescent="0.2">
      <c r="A214" s="57" t="str">
        <f>IF(B214&lt;&gt;"",210,"")</f>
        <v/>
      </c>
      <c r="B214" s="57"/>
      <c r="C214" s="57" t="str">
        <f>IFERROR(VLOOKUP(B214,'👥 بيانات الموظفين'!B:C,2,0),"")</f>
        <v/>
      </c>
      <c r="D214" s="57" t="str">
        <f>IFERROR(VLOOKUP(B214,'👥 بيانات الموظفين'!B:E,4,0),"")</f>
        <v/>
      </c>
      <c r="E214" s="69"/>
      <c r="F214" s="69"/>
      <c r="G214" s="69"/>
      <c r="H214" s="69"/>
      <c r="I214" s="69"/>
      <c r="J214" s="69"/>
      <c r="K214" s="69" t="str">
        <f t="shared" si="9"/>
        <v/>
      </c>
      <c r="L214" s="57" t="str">
        <f t="shared" si="10"/>
        <v/>
      </c>
      <c r="M214" s="63" t="str">
        <f t="shared" si="11"/>
        <v/>
      </c>
      <c r="N214" s="58" t="str">
        <f>IF(K214="","",IF(K214&gt;=90,IFERROR(VLOOKUP(B214,'👥 بيانات الموظفين'!B:H,7,0),0)*0.15,IF(K214&gt;=75,IFERROR(VLOOKUP(B214,'👥 بيانات الموظفين'!B:H,7,0),0)*0.1,IF(K214&gt;=60,IFERROR(VLOOKUP(B214,'👥 بيانات الموظفين'!B:H,7,0),0)*0.05,0))))</f>
        <v/>
      </c>
      <c r="O214" s="99"/>
    </row>
    <row r="215" spans="1:15" ht="22.15" customHeight="1" x14ac:dyDescent="0.2">
      <c r="A215" s="53" t="str">
        <f>IF(B215&lt;&gt;"",211,"")</f>
        <v/>
      </c>
      <c r="B215" s="53"/>
      <c r="C215" s="53" t="str">
        <f>IFERROR(VLOOKUP(B215,'👥 بيانات الموظفين'!B:C,2,0),"")</f>
        <v/>
      </c>
      <c r="D215" s="53" t="str">
        <f>IFERROR(VLOOKUP(B215,'👥 بيانات الموظفين'!B:E,4,0),"")</f>
        <v/>
      </c>
      <c r="E215" s="68"/>
      <c r="F215" s="68"/>
      <c r="G215" s="68"/>
      <c r="H215" s="68"/>
      <c r="I215" s="68"/>
      <c r="J215" s="68"/>
      <c r="K215" s="68" t="str">
        <f t="shared" si="9"/>
        <v/>
      </c>
      <c r="L215" s="53" t="str">
        <f t="shared" si="10"/>
        <v/>
      </c>
      <c r="M215" s="62" t="str">
        <f t="shared" si="11"/>
        <v/>
      </c>
      <c r="N215" s="54" t="str">
        <f>IF(K215="","",IF(K215&gt;=90,IFERROR(VLOOKUP(B215,'👥 بيانات الموظفين'!B:H,7,0),0)*0.15,IF(K215&gt;=75,IFERROR(VLOOKUP(B215,'👥 بيانات الموظفين'!B:H,7,0),0)*0.1,IF(K215&gt;=60,IFERROR(VLOOKUP(B215,'👥 بيانات الموظفين'!B:H,7,0),0)*0.05,0))))</f>
        <v/>
      </c>
      <c r="O215" s="98"/>
    </row>
    <row r="216" spans="1:15" ht="22.15" customHeight="1" x14ac:dyDescent="0.2">
      <c r="A216" s="57" t="str">
        <f>IF(B216&lt;&gt;"",212,"")</f>
        <v/>
      </c>
      <c r="B216" s="57"/>
      <c r="C216" s="57" t="str">
        <f>IFERROR(VLOOKUP(B216,'👥 بيانات الموظفين'!B:C,2,0),"")</f>
        <v/>
      </c>
      <c r="D216" s="57" t="str">
        <f>IFERROR(VLOOKUP(B216,'👥 بيانات الموظفين'!B:E,4,0),"")</f>
        <v/>
      </c>
      <c r="E216" s="69"/>
      <c r="F216" s="69"/>
      <c r="G216" s="69"/>
      <c r="H216" s="69"/>
      <c r="I216" s="69"/>
      <c r="J216" s="69"/>
      <c r="K216" s="69" t="str">
        <f t="shared" si="9"/>
        <v/>
      </c>
      <c r="L216" s="57" t="str">
        <f t="shared" si="10"/>
        <v/>
      </c>
      <c r="M216" s="63" t="str">
        <f t="shared" si="11"/>
        <v/>
      </c>
      <c r="N216" s="58" t="str">
        <f>IF(K216="","",IF(K216&gt;=90,IFERROR(VLOOKUP(B216,'👥 بيانات الموظفين'!B:H,7,0),0)*0.15,IF(K216&gt;=75,IFERROR(VLOOKUP(B216,'👥 بيانات الموظفين'!B:H,7,0),0)*0.1,IF(K216&gt;=60,IFERROR(VLOOKUP(B216,'👥 بيانات الموظفين'!B:H,7,0),0)*0.05,0))))</f>
        <v/>
      </c>
      <c r="O216" s="99"/>
    </row>
    <row r="217" spans="1:15" ht="22.15" customHeight="1" x14ac:dyDescent="0.2">
      <c r="A217" s="53" t="str">
        <f>IF(B217&lt;&gt;"",213,"")</f>
        <v/>
      </c>
      <c r="B217" s="53"/>
      <c r="C217" s="53" t="str">
        <f>IFERROR(VLOOKUP(B217,'👥 بيانات الموظفين'!B:C,2,0),"")</f>
        <v/>
      </c>
      <c r="D217" s="53" t="str">
        <f>IFERROR(VLOOKUP(B217,'👥 بيانات الموظفين'!B:E,4,0),"")</f>
        <v/>
      </c>
      <c r="E217" s="68"/>
      <c r="F217" s="68"/>
      <c r="G217" s="68"/>
      <c r="H217" s="68"/>
      <c r="I217" s="68"/>
      <c r="J217" s="68"/>
      <c r="K217" s="68" t="str">
        <f t="shared" si="9"/>
        <v/>
      </c>
      <c r="L217" s="53" t="str">
        <f t="shared" si="10"/>
        <v/>
      </c>
      <c r="M217" s="62" t="str">
        <f t="shared" si="11"/>
        <v/>
      </c>
      <c r="N217" s="54" t="str">
        <f>IF(K217="","",IF(K217&gt;=90,IFERROR(VLOOKUP(B217,'👥 بيانات الموظفين'!B:H,7,0),0)*0.15,IF(K217&gt;=75,IFERROR(VLOOKUP(B217,'👥 بيانات الموظفين'!B:H,7,0),0)*0.1,IF(K217&gt;=60,IFERROR(VLOOKUP(B217,'👥 بيانات الموظفين'!B:H,7,0),0)*0.05,0))))</f>
        <v/>
      </c>
      <c r="O217" s="98"/>
    </row>
    <row r="218" spans="1:15" ht="22.15" customHeight="1" x14ac:dyDescent="0.2">
      <c r="A218" s="57" t="str">
        <f>IF(B218&lt;&gt;"",214,"")</f>
        <v/>
      </c>
      <c r="B218" s="57"/>
      <c r="C218" s="57" t="str">
        <f>IFERROR(VLOOKUP(B218,'👥 بيانات الموظفين'!B:C,2,0),"")</f>
        <v/>
      </c>
      <c r="D218" s="57" t="str">
        <f>IFERROR(VLOOKUP(B218,'👥 بيانات الموظفين'!B:E,4,0),"")</f>
        <v/>
      </c>
      <c r="E218" s="69"/>
      <c r="F218" s="69"/>
      <c r="G218" s="69"/>
      <c r="H218" s="69"/>
      <c r="I218" s="69"/>
      <c r="J218" s="69"/>
      <c r="K218" s="69" t="str">
        <f t="shared" si="9"/>
        <v/>
      </c>
      <c r="L218" s="57" t="str">
        <f t="shared" si="10"/>
        <v/>
      </c>
      <c r="M218" s="63" t="str">
        <f t="shared" si="11"/>
        <v/>
      </c>
      <c r="N218" s="58" t="str">
        <f>IF(K218="","",IF(K218&gt;=90,IFERROR(VLOOKUP(B218,'👥 بيانات الموظفين'!B:H,7,0),0)*0.15,IF(K218&gt;=75,IFERROR(VLOOKUP(B218,'👥 بيانات الموظفين'!B:H,7,0),0)*0.1,IF(K218&gt;=60,IFERROR(VLOOKUP(B218,'👥 بيانات الموظفين'!B:H,7,0),0)*0.05,0))))</f>
        <v/>
      </c>
      <c r="O218" s="99"/>
    </row>
    <row r="219" spans="1:15" ht="22.15" customHeight="1" x14ac:dyDescent="0.2">
      <c r="A219" s="53" t="str">
        <f>IF(B219&lt;&gt;"",215,"")</f>
        <v/>
      </c>
      <c r="B219" s="53"/>
      <c r="C219" s="53" t="str">
        <f>IFERROR(VLOOKUP(B219,'👥 بيانات الموظفين'!B:C,2,0),"")</f>
        <v/>
      </c>
      <c r="D219" s="53" t="str">
        <f>IFERROR(VLOOKUP(B219,'👥 بيانات الموظفين'!B:E,4,0),"")</f>
        <v/>
      </c>
      <c r="E219" s="68"/>
      <c r="F219" s="68"/>
      <c r="G219" s="68"/>
      <c r="H219" s="68"/>
      <c r="I219" s="68"/>
      <c r="J219" s="68"/>
      <c r="K219" s="68" t="str">
        <f t="shared" si="9"/>
        <v/>
      </c>
      <c r="L219" s="53" t="str">
        <f t="shared" si="10"/>
        <v/>
      </c>
      <c r="M219" s="62" t="str">
        <f t="shared" si="11"/>
        <v/>
      </c>
      <c r="N219" s="54" t="str">
        <f>IF(K219="","",IF(K219&gt;=90,IFERROR(VLOOKUP(B219,'👥 بيانات الموظفين'!B:H,7,0),0)*0.15,IF(K219&gt;=75,IFERROR(VLOOKUP(B219,'👥 بيانات الموظفين'!B:H,7,0),0)*0.1,IF(K219&gt;=60,IFERROR(VLOOKUP(B219,'👥 بيانات الموظفين'!B:H,7,0),0)*0.05,0))))</f>
        <v/>
      </c>
      <c r="O219" s="98"/>
    </row>
    <row r="220" spans="1:15" ht="22.15" customHeight="1" x14ac:dyDescent="0.2">
      <c r="A220" s="57" t="str">
        <f>IF(B220&lt;&gt;"",216,"")</f>
        <v/>
      </c>
      <c r="B220" s="57"/>
      <c r="C220" s="57" t="str">
        <f>IFERROR(VLOOKUP(B220,'👥 بيانات الموظفين'!B:C,2,0),"")</f>
        <v/>
      </c>
      <c r="D220" s="57" t="str">
        <f>IFERROR(VLOOKUP(B220,'👥 بيانات الموظفين'!B:E,4,0),"")</f>
        <v/>
      </c>
      <c r="E220" s="69"/>
      <c r="F220" s="69"/>
      <c r="G220" s="69"/>
      <c r="H220" s="69"/>
      <c r="I220" s="69"/>
      <c r="J220" s="69"/>
      <c r="K220" s="69" t="str">
        <f t="shared" si="9"/>
        <v/>
      </c>
      <c r="L220" s="57" t="str">
        <f t="shared" si="10"/>
        <v/>
      </c>
      <c r="M220" s="63" t="str">
        <f t="shared" si="11"/>
        <v/>
      </c>
      <c r="N220" s="58" t="str">
        <f>IF(K220="","",IF(K220&gt;=90,IFERROR(VLOOKUP(B220,'👥 بيانات الموظفين'!B:H,7,0),0)*0.15,IF(K220&gt;=75,IFERROR(VLOOKUP(B220,'👥 بيانات الموظفين'!B:H,7,0),0)*0.1,IF(K220&gt;=60,IFERROR(VLOOKUP(B220,'👥 بيانات الموظفين'!B:H,7,0),0)*0.05,0))))</f>
        <v/>
      </c>
      <c r="O220" s="99"/>
    </row>
    <row r="221" spans="1:15" ht="22.15" customHeight="1" x14ac:dyDescent="0.2">
      <c r="A221" s="53" t="str">
        <f>IF(B221&lt;&gt;"",217,"")</f>
        <v/>
      </c>
      <c r="B221" s="53"/>
      <c r="C221" s="53" t="str">
        <f>IFERROR(VLOOKUP(B221,'👥 بيانات الموظفين'!B:C,2,0),"")</f>
        <v/>
      </c>
      <c r="D221" s="53" t="str">
        <f>IFERROR(VLOOKUP(B221,'👥 بيانات الموظفين'!B:E,4,0),"")</f>
        <v/>
      </c>
      <c r="E221" s="68"/>
      <c r="F221" s="68"/>
      <c r="G221" s="68"/>
      <c r="H221" s="68"/>
      <c r="I221" s="68"/>
      <c r="J221" s="68"/>
      <c r="K221" s="68" t="str">
        <f t="shared" si="9"/>
        <v/>
      </c>
      <c r="L221" s="53" t="str">
        <f t="shared" si="10"/>
        <v/>
      </c>
      <c r="M221" s="62" t="str">
        <f t="shared" si="11"/>
        <v/>
      </c>
      <c r="N221" s="54" t="str">
        <f>IF(K221="","",IF(K221&gt;=90,IFERROR(VLOOKUP(B221,'👥 بيانات الموظفين'!B:H,7,0),0)*0.15,IF(K221&gt;=75,IFERROR(VLOOKUP(B221,'👥 بيانات الموظفين'!B:H,7,0),0)*0.1,IF(K221&gt;=60,IFERROR(VLOOKUP(B221,'👥 بيانات الموظفين'!B:H,7,0),0)*0.05,0))))</f>
        <v/>
      </c>
      <c r="O221" s="98"/>
    </row>
    <row r="222" spans="1:15" ht="22.15" customHeight="1" x14ac:dyDescent="0.2">
      <c r="A222" s="57" t="str">
        <f>IF(B222&lt;&gt;"",218,"")</f>
        <v/>
      </c>
      <c r="B222" s="57"/>
      <c r="C222" s="57" t="str">
        <f>IFERROR(VLOOKUP(B222,'👥 بيانات الموظفين'!B:C,2,0),"")</f>
        <v/>
      </c>
      <c r="D222" s="57" t="str">
        <f>IFERROR(VLOOKUP(B222,'👥 بيانات الموظفين'!B:E,4,0),"")</f>
        <v/>
      </c>
      <c r="E222" s="69"/>
      <c r="F222" s="69"/>
      <c r="G222" s="69"/>
      <c r="H222" s="69"/>
      <c r="I222" s="69"/>
      <c r="J222" s="69"/>
      <c r="K222" s="69" t="str">
        <f t="shared" si="9"/>
        <v/>
      </c>
      <c r="L222" s="57" t="str">
        <f t="shared" si="10"/>
        <v/>
      </c>
      <c r="M222" s="63" t="str">
        <f t="shared" si="11"/>
        <v/>
      </c>
      <c r="N222" s="58" t="str">
        <f>IF(K222="","",IF(K222&gt;=90,IFERROR(VLOOKUP(B222,'👥 بيانات الموظفين'!B:H,7,0),0)*0.15,IF(K222&gt;=75,IFERROR(VLOOKUP(B222,'👥 بيانات الموظفين'!B:H,7,0),0)*0.1,IF(K222&gt;=60,IFERROR(VLOOKUP(B222,'👥 بيانات الموظفين'!B:H,7,0),0)*0.05,0))))</f>
        <v/>
      </c>
      <c r="O222" s="99"/>
    </row>
    <row r="223" spans="1:15" ht="22.15" customHeight="1" x14ac:dyDescent="0.2">
      <c r="A223" s="53" t="str">
        <f>IF(B223&lt;&gt;"",219,"")</f>
        <v/>
      </c>
      <c r="B223" s="53"/>
      <c r="C223" s="53" t="str">
        <f>IFERROR(VLOOKUP(B223,'👥 بيانات الموظفين'!B:C,2,0),"")</f>
        <v/>
      </c>
      <c r="D223" s="53" t="str">
        <f>IFERROR(VLOOKUP(B223,'👥 بيانات الموظفين'!B:E,4,0),"")</f>
        <v/>
      </c>
      <c r="E223" s="68"/>
      <c r="F223" s="68"/>
      <c r="G223" s="68"/>
      <c r="H223" s="68"/>
      <c r="I223" s="68"/>
      <c r="J223" s="68"/>
      <c r="K223" s="68" t="str">
        <f t="shared" si="9"/>
        <v/>
      </c>
      <c r="L223" s="53" t="str">
        <f t="shared" si="10"/>
        <v/>
      </c>
      <c r="M223" s="62" t="str">
        <f t="shared" si="11"/>
        <v/>
      </c>
      <c r="N223" s="54" t="str">
        <f>IF(K223="","",IF(K223&gt;=90,IFERROR(VLOOKUP(B223,'👥 بيانات الموظفين'!B:H,7,0),0)*0.15,IF(K223&gt;=75,IFERROR(VLOOKUP(B223,'👥 بيانات الموظفين'!B:H,7,0),0)*0.1,IF(K223&gt;=60,IFERROR(VLOOKUP(B223,'👥 بيانات الموظفين'!B:H,7,0),0)*0.05,0))))</f>
        <v/>
      </c>
      <c r="O223" s="98"/>
    </row>
    <row r="224" spans="1:15" ht="22.15" customHeight="1" x14ac:dyDescent="0.2">
      <c r="A224" s="57" t="str">
        <f>IF(B224&lt;&gt;"",220,"")</f>
        <v/>
      </c>
      <c r="B224" s="57"/>
      <c r="C224" s="57" t="str">
        <f>IFERROR(VLOOKUP(B224,'👥 بيانات الموظفين'!B:C,2,0),"")</f>
        <v/>
      </c>
      <c r="D224" s="57" t="str">
        <f>IFERROR(VLOOKUP(B224,'👥 بيانات الموظفين'!B:E,4,0),"")</f>
        <v/>
      </c>
      <c r="E224" s="69"/>
      <c r="F224" s="69"/>
      <c r="G224" s="69"/>
      <c r="H224" s="69"/>
      <c r="I224" s="69"/>
      <c r="J224" s="69"/>
      <c r="K224" s="69" t="str">
        <f t="shared" si="9"/>
        <v/>
      </c>
      <c r="L224" s="57" t="str">
        <f t="shared" si="10"/>
        <v/>
      </c>
      <c r="M224" s="63" t="str">
        <f t="shared" si="11"/>
        <v/>
      </c>
      <c r="N224" s="58" t="str">
        <f>IF(K224="","",IF(K224&gt;=90,IFERROR(VLOOKUP(B224,'👥 بيانات الموظفين'!B:H,7,0),0)*0.15,IF(K224&gt;=75,IFERROR(VLOOKUP(B224,'👥 بيانات الموظفين'!B:H,7,0),0)*0.1,IF(K224&gt;=60,IFERROR(VLOOKUP(B224,'👥 بيانات الموظفين'!B:H,7,0),0)*0.05,0))))</f>
        <v/>
      </c>
      <c r="O224" s="99"/>
    </row>
    <row r="225" spans="1:15" ht="22.15" customHeight="1" x14ac:dyDescent="0.2">
      <c r="A225" s="53" t="str">
        <f>IF(B225&lt;&gt;"",221,"")</f>
        <v/>
      </c>
      <c r="B225" s="53"/>
      <c r="C225" s="53" t="str">
        <f>IFERROR(VLOOKUP(B225,'👥 بيانات الموظفين'!B:C,2,0),"")</f>
        <v/>
      </c>
      <c r="D225" s="53" t="str">
        <f>IFERROR(VLOOKUP(B225,'👥 بيانات الموظفين'!B:E,4,0),"")</f>
        <v/>
      </c>
      <c r="E225" s="68"/>
      <c r="F225" s="68"/>
      <c r="G225" s="68"/>
      <c r="H225" s="68"/>
      <c r="I225" s="68"/>
      <c r="J225" s="68"/>
      <c r="K225" s="68" t="str">
        <f t="shared" si="9"/>
        <v/>
      </c>
      <c r="L225" s="53" t="str">
        <f t="shared" si="10"/>
        <v/>
      </c>
      <c r="M225" s="62" t="str">
        <f t="shared" si="11"/>
        <v/>
      </c>
      <c r="N225" s="54" t="str">
        <f>IF(K225="","",IF(K225&gt;=90,IFERROR(VLOOKUP(B225,'👥 بيانات الموظفين'!B:H,7,0),0)*0.15,IF(K225&gt;=75,IFERROR(VLOOKUP(B225,'👥 بيانات الموظفين'!B:H,7,0),0)*0.1,IF(K225&gt;=60,IFERROR(VLOOKUP(B225,'👥 بيانات الموظفين'!B:H,7,0),0)*0.05,0))))</f>
        <v/>
      </c>
      <c r="O225" s="98"/>
    </row>
    <row r="226" spans="1:15" ht="22.15" customHeight="1" x14ac:dyDescent="0.2">
      <c r="A226" s="57" t="str">
        <f>IF(B226&lt;&gt;"",222,"")</f>
        <v/>
      </c>
      <c r="B226" s="57"/>
      <c r="C226" s="57" t="str">
        <f>IFERROR(VLOOKUP(B226,'👥 بيانات الموظفين'!B:C,2,0),"")</f>
        <v/>
      </c>
      <c r="D226" s="57" t="str">
        <f>IFERROR(VLOOKUP(B226,'👥 بيانات الموظفين'!B:E,4,0),"")</f>
        <v/>
      </c>
      <c r="E226" s="69"/>
      <c r="F226" s="69"/>
      <c r="G226" s="69"/>
      <c r="H226" s="69"/>
      <c r="I226" s="69"/>
      <c r="J226" s="69"/>
      <c r="K226" s="69" t="str">
        <f t="shared" si="9"/>
        <v/>
      </c>
      <c r="L226" s="57" t="str">
        <f t="shared" si="10"/>
        <v/>
      </c>
      <c r="M226" s="63" t="str">
        <f t="shared" si="11"/>
        <v/>
      </c>
      <c r="N226" s="58" t="str">
        <f>IF(K226="","",IF(K226&gt;=90,IFERROR(VLOOKUP(B226,'👥 بيانات الموظفين'!B:H,7,0),0)*0.15,IF(K226&gt;=75,IFERROR(VLOOKUP(B226,'👥 بيانات الموظفين'!B:H,7,0),0)*0.1,IF(K226&gt;=60,IFERROR(VLOOKUP(B226,'👥 بيانات الموظفين'!B:H,7,0),0)*0.05,0))))</f>
        <v/>
      </c>
      <c r="O226" s="99"/>
    </row>
    <row r="227" spans="1:15" ht="22.15" customHeight="1" x14ac:dyDescent="0.2">
      <c r="A227" s="53" t="str">
        <f>IF(B227&lt;&gt;"",223,"")</f>
        <v/>
      </c>
      <c r="B227" s="53"/>
      <c r="C227" s="53" t="str">
        <f>IFERROR(VLOOKUP(B227,'👥 بيانات الموظفين'!B:C,2,0),"")</f>
        <v/>
      </c>
      <c r="D227" s="53" t="str">
        <f>IFERROR(VLOOKUP(B227,'👥 بيانات الموظفين'!B:E,4,0),"")</f>
        <v/>
      </c>
      <c r="E227" s="68"/>
      <c r="F227" s="68"/>
      <c r="G227" s="68"/>
      <c r="H227" s="68"/>
      <c r="I227" s="68"/>
      <c r="J227" s="68"/>
      <c r="K227" s="68" t="str">
        <f t="shared" si="9"/>
        <v/>
      </c>
      <c r="L227" s="53" t="str">
        <f t="shared" si="10"/>
        <v/>
      </c>
      <c r="M227" s="62" t="str">
        <f t="shared" si="11"/>
        <v/>
      </c>
      <c r="N227" s="54" t="str">
        <f>IF(K227="","",IF(K227&gt;=90,IFERROR(VLOOKUP(B227,'👥 بيانات الموظفين'!B:H,7,0),0)*0.15,IF(K227&gt;=75,IFERROR(VLOOKUP(B227,'👥 بيانات الموظفين'!B:H,7,0),0)*0.1,IF(K227&gt;=60,IFERROR(VLOOKUP(B227,'👥 بيانات الموظفين'!B:H,7,0),0)*0.05,0))))</f>
        <v/>
      </c>
      <c r="O227" s="98"/>
    </row>
    <row r="228" spans="1:15" ht="22.15" customHeight="1" x14ac:dyDescent="0.2">
      <c r="A228" s="57" t="str">
        <f>IF(B228&lt;&gt;"",224,"")</f>
        <v/>
      </c>
      <c r="B228" s="57"/>
      <c r="C228" s="57" t="str">
        <f>IFERROR(VLOOKUP(B228,'👥 بيانات الموظفين'!B:C,2,0),"")</f>
        <v/>
      </c>
      <c r="D228" s="57" t="str">
        <f>IFERROR(VLOOKUP(B228,'👥 بيانات الموظفين'!B:E,4,0),"")</f>
        <v/>
      </c>
      <c r="E228" s="69"/>
      <c r="F228" s="69"/>
      <c r="G228" s="69"/>
      <c r="H228" s="69"/>
      <c r="I228" s="69"/>
      <c r="J228" s="69"/>
      <c r="K228" s="69" t="str">
        <f t="shared" si="9"/>
        <v/>
      </c>
      <c r="L228" s="57" t="str">
        <f t="shared" si="10"/>
        <v/>
      </c>
      <c r="M228" s="63" t="str">
        <f t="shared" si="11"/>
        <v/>
      </c>
      <c r="N228" s="58" t="str">
        <f>IF(K228="","",IF(K228&gt;=90,IFERROR(VLOOKUP(B228,'👥 بيانات الموظفين'!B:H,7,0),0)*0.15,IF(K228&gt;=75,IFERROR(VLOOKUP(B228,'👥 بيانات الموظفين'!B:H,7,0),0)*0.1,IF(K228&gt;=60,IFERROR(VLOOKUP(B228,'👥 بيانات الموظفين'!B:H,7,0),0)*0.05,0))))</f>
        <v/>
      </c>
      <c r="O228" s="99"/>
    </row>
    <row r="229" spans="1:15" ht="22.15" customHeight="1" x14ac:dyDescent="0.2">
      <c r="A229" s="53" t="str">
        <f>IF(B229&lt;&gt;"",225,"")</f>
        <v/>
      </c>
      <c r="B229" s="53"/>
      <c r="C229" s="53" t="str">
        <f>IFERROR(VLOOKUP(B229,'👥 بيانات الموظفين'!B:C,2,0),"")</f>
        <v/>
      </c>
      <c r="D229" s="53" t="str">
        <f>IFERROR(VLOOKUP(B229,'👥 بيانات الموظفين'!B:E,4,0),"")</f>
        <v/>
      </c>
      <c r="E229" s="68"/>
      <c r="F229" s="68"/>
      <c r="G229" s="68"/>
      <c r="H229" s="68"/>
      <c r="I229" s="68"/>
      <c r="J229" s="68"/>
      <c r="K229" s="68" t="str">
        <f t="shared" si="9"/>
        <v/>
      </c>
      <c r="L229" s="53" t="str">
        <f t="shared" si="10"/>
        <v/>
      </c>
      <c r="M229" s="62" t="str">
        <f t="shared" si="11"/>
        <v/>
      </c>
      <c r="N229" s="54" t="str">
        <f>IF(K229="","",IF(K229&gt;=90,IFERROR(VLOOKUP(B229,'👥 بيانات الموظفين'!B:H,7,0),0)*0.15,IF(K229&gt;=75,IFERROR(VLOOKUP(B229,'👥 بيانات الموظفين'!B:H,7,0),0)*0.1,IF(K229&gt;=60,IFERROR(VLOOKUP(B229,'👥 بيانات الموظفين'!B:H,7,0),0)*0.05,0))))</f>
        <v/>
      </c>
      <c r="O229" s="98"/>
    </row>
    <row r="230" spans="1:15" ht="22.15" customHeight="1" x14ac:dyDescent="0.2">
      <c r="A230" s="57" t="str">
        <f>IF(B230&lt;&gt;"",226,"")</f>
        <v/>
      </c>
      <c r="B230" s="57"/>
      <c r="C230" s="57" t="str">
        <f>IFERROR(VLOOKUP(B230,'👥 بيانات الموظفين'!B:C,2,0),"")</f>
        <v/>
      </c>
      <c r="D230" s="57" t="str">
        <f>IFERROR(VLOOKUP(B230,'👥 بيانات الموظفين'!B:E,4,0),"")</f>
        <v/>
      </c>
      <c r="E230" s="69"/>
      <c r="F230" s="69"/>
      <c r="G230" s="69"/>
      <c r="H230" s="69"/>
      <c r="I230" s="69"/>
      <c r="J230" s="69"/>
      <c r="K230" s="69" t="str">
        <f t="shared" si="9"/>
        <v/>
      </c>
      <c r="L230" s="57" t="str">
        <f t="shared" si="10"/>
        <v/>
      </c>
      <c r="M230" s="63" t="str">
        <f t="shared" si="11"/>
        <v/>
      </c>
      <c r="N230" s="58" t="str">
        <f>IF(K230="","",IF(K230&gt;=90,IFERROR(VLOOKUP(B230,'👥 بيانات الموظفين'!B:H,7,0),0)*0.15,IF(K230&gt;=75,IFERROR(VLOOKUP(B230,'👥 بيانات الموظفين'!B:H,7,0),0)*0.1,IF(K230&gt;=60,IFERROR(VLOOKUP(B230,'👥 بيانات الموظفين'!B:H,7,0),0)*0.05,0))))</f>
        <v/>
      </c>
      <c r="O230" s="99"/>
    </row>
    <row r="231" spans="1:15" ht="22.15" customHeight="1" x14ac:dyDescent="0.2">
      <c r="A231" s="53" t="str">
        <f>IF(B231&lt;&gt;"",227,"")</f>
        <v/>
      </c>
      <c r="B231" s="53"/>
      <c r="C231" s="53" t="str">
        <f>IFERROR(VLOOKUP(B231,'👥 بيانات الموظفين'!B:C,2,0),"")</f>
        <v/>
      </c>
      <c r="D231" s="53" t="str">
        <f>IFERROR(VLOOKUP(B231,'👥 بيانات الموظفين'!B:E,4,0),"")</f>
        <v/>
      </c>
      <c r="E231" s="68"/>
      <c r="F231" s="68"/>
      <c r="G231" s="68"/>
      <c r="H231" s="68"/>
      <c r="I231" s="68"/>
      <c r="J231" s="68"/>
      <c r="K231" s="68" t="str">
        <f t="shared" si="9"/>
        <v/>
      </c>
      <c r="L231" s="53" t="str">
        <f t="shared" si="10"/>
        <v/>
      </c>
      <c r="M231" s="62" t="str">
        <f t="shared" si="11"/>
        <v/>
      </c>
      <c r="N231" s="54" t="str">
        <f>IF(K231="","",IF(K231&gt;=90,IFERROR(VLOOKUP(B231,'👥 بيانات الموظفين'!B:H,7,0),0)*0.15,IF(K231&gt;=75,IFERROR(VLOOKUP(B231,'👥 بيانات الموظفين'!B:H,7,0),0)*0.1,IF(K231&gt;=60,IFERROR(VLOOKUP(B231,'👥 بيانات الموظفين'!B:H,7,0),0)*0.05,0))))</f>
        <v/>
      </c>
      <c r="O231" s="98"/>
    </row>
    <row r="232" spans="1:15" ht="22.15" customHeight="1" x14ac:dyDescent="0.2">
      <c r="A232" s="57" t="str">
        <f>IF(B232&lt;&gt;"",228,"")</f>
        <v/>
      </c>
      <c r="B232" s="57"/>
      <c r="C232" s="57" t="str">
        <f>IFERROR(VLOOKUP(B232,'👥 بيانات الموظفين'!B:C,2,0),"")</f>
        <v/>
      </c>
      <c r="D232" s="57" t="str">
        <f>IFERROR(VLOOKUP(B232,'👥 بيانات الموظفين'!B:E,4,0),"")</f>
        <v/>
      </c>
      <c r="E232" s="69"/>
      <c r="F232" s="69"/>
      <c r="G232" s="69"/>
      <c r="H232" s="69"/>
      <c r="I232" s="69"/>
      <c r="J232" s="69"/>
      <c r="K232" s="69" t="str">
        <f t="shared" si="9"/>
        <v/>
      </c>
      <c r="L232" s="57" t="str">
        <f t="shared" si="10"/>
        <v/>
      </c>
      <c r="M232" s="63" t="str">
        <f t="shared" si="11"/>
        <v/>
      </c>
      <c r="N232" s="58" t="str">
        <f>IF(K232="","",IF(K232&gt;=90,IFERROR(VLOOKUP(B232,'👥 بيانات الموظفين'!B:H,7,0),0)*0.15,IF(K232&gt;=75,IFERROR(VLOOKUP(B232,'👥 بيانات الموظفين'!B:H,7,0),0)*0.1,IF(K232&gt;=60,IFERROR(VLOOKUP(B232,'👥 بيانات الموظفين'!B:H,7,0),0)*0.05,0))))</f>
        <v/>
      </c>
      <c r="O232" s="99"/>
    </row>
    <row r="233" spans="1:15" ht="22.15" customHeight="1" x14ac:dyDescent="0.2">
      <c r="A233" s="53" t="str">
        <f>IF(B233&lt;&gt;"",229,"")</f>
        <v/>
      </c>
      <c r="B233" s="53"/>
      <c r="C233" s="53" t="str">
        <f>IFERROR(VLOOKUP(B233,'👥 بيانات الموظفين'!B:C,2,0),"")</f>
        <v/>
      </c>
      <c r="D233" s="53" t="str">
        <f>IFERROR(VLOOKUP(B233,'👥 بيانات الموظفين'!B:E,4,0),"")</f>
        <v/>
      </c>
      <c r="E233" s="68"/>
      <c r="F233" s="68"/>
      <c r="G233" s="68"/>
      <c r="H233" s="68"/>
      <c r="I233" s="68"/>
      <c r="J233" s="68"/>
      <c r="K233" s="68" t="str">
        <f t="shared" si="9"/>
        <v/>
      </c>
      <c r="L233" s="53" t="str">
        <f t="shared" si="10"/>
        <v/>
      </c>
      <c r="M233" s="62" t="str">
        <f t="shared" si="11"/>
        <v/>
      </c>
      <c r="N233" s="54" t="str">
        <f>IF(K233="","",IF(K233&gt;=90,IFERROR(VLOOKUP(B233,'👥 بيانات الموظفين'!B:H,7,0),0)*0.15,IF(K233&gt;=75,IFERROR(VLOOKUP(B233,'👥 بيانات الموظفين'!B:H,7,0),0)*0.1,IF(K233&gt;=60,IFERROR(VLOOKUP(B233,'👥 بيانات الموظفين'!B:H,7,0),0)*0.05,0))))</f>
        <v/>
      </c>
      <c r="O233" s="98"/>
    </row>
    <row r="234" spans="1:15" ht="22.15" customHeight="1" x14ac:dyDescent="0.2">
      <c r="A234" s="57" t="str">
        <f>IF(B234&lt;&gt;"",230,"")</f>
        <v/>
      </c>
      <c r="B234" s="57"/>
      <c r="C234" s="57" t="str">
        <f>IFERROR(VLOOKUP(B234,'👥 بيانات الموظفين'!B:C,2,0),"")</f>
        <v/>
      </c>
      <c r="D234" s="57" t="str">
        <f>IFERROR(VLOOKUP(B234,'👥 بيانات الموظفين'!B:E,4,0),"")</f>
        <v/>
      </c>
      <c r="E234" s="69"/>
      <c r="F234" s="69"/>
      <c r="G234" s="69"/>
      <c r="H234" s="69"/>
      <c r="I234" s="69"/>
      <c r="J234" s="69"/>
      <c r="K234" s="69" t="str">
        <f t="shared" si="9"/>
        <v/>
      </c>
      <c r="L234" s="57" t="str">
        <f t="shared" si="10"/>
        <v/>
      </c>
      <c r="M234" s="63" t="str">
        <f t="shared" si="11"/>
        <v/>
      </c>
      <c r="N234" s="58" t="str">
        <f>IF(K234="","",IF(K234&gt;=90,IFERROR(VLOOKUP(B234,'👥 بيانات الموظفين'!B:H,7,0),0)*0.15,IF(K234&gt;=75,IFERROR(VLOOKUP(B234,'👥 بيانات الموظفين'!B:H,7,0),0)*0.1,IF(K234&gt;=60,IFERROR(VLOOKUP(B234,'👥 بيانات الموظفين'!B:H,7,0),0)*0.05,0))))</f>
        <v/>
      </c>
      <c r="O234" s="99"/>
    </row>
    <row r="235" spans="1:15" ht="22.15" customHeight="1" x14ac:dyDescent="0.2">
      <c r="A235" s="53" t="str">
        <f>IF(B235&lt;&gt;"",231,"")</f>
        <v/>
      </c>
      <c r="B235" s="53"/>
      <c r="C235" s="53" t="str">
        <f>IFERROR(VLOOKUP(B235,'👥 بيانات الموظفين'!B:C,2,0),"")</f>
        <v/>
      </c>
      <c r="D235" s="53" t="str">
        <f>IFERROR(VLOOKUP(B235,'👥 بيانات الموظفين'!B:E,4,0),"")</f>
        <v/>
      </c>
      <c r="E235" s="68"/>
      <c r="F235" s="68"/>
      <c r="G235" s="68"/>
      <c r="H235" s="68"/>
      <c r="I235" s="68"/>
      <c r="J235" s="68"/>
      <c r="K235" s="68" t="str">
        <f t="shared" si="9"/>
        <v/>
      </c>
      <c r="L235" s="53" t="str">
        <f t="shared" si="10"/>
        <v/>
      </c>
      <c r="M235" s="62" t="str">
        <f t="shared" si="11"/>
        <v/>
      </c>
      <c r="N235" s="54" t="str">
        <f>IF(K235="","",IF(K235&gt;=90,IFERROR(VLOOKUP(B235,'👥 بيانات الموظفين'!B:H,7,0),0)*0.15,IF(K235&gt;=75,IFERROR(VLOOKUP(B235,'👥 بيانات الموظفين'!B:H,7,0),0)*0.1,IF(K235&gt;=60,IFERROR(VLOOKUP(B235,'👥 بيانات الموظفين'!B:H,7,0),0)*0.05,0))))</f>
        <v/>
      </c>
      <c r="O235" s="98"/>
    </row>
    <row r="236" spans="1:15" ht="22.15" customHeight="1" x14ac:dyDescent="0.2">
      <c r="A236" s="57" t="str">
        <f>IF(B236&lt;&gt;"",232,"")</f>
        <v/>
      </c>
      <c r="B236" s="57"/>
      <c r="C236" s="57" t="str">
        <f>IFERROR(VLOOKUP(B236,'👥 بيانات الموظفين'!B:C,2,0),"")</f>
        <v/>
      </c>
      <c r="D236" s="57" t="str">
        <f>IFERROR(VLOOKUP(B236,'👥 بيانات الموظفين'!B:E,4,0),"")</f>
        <v/>
      </c>
      <c r="E236" s="69"/>
      <c r="F236" s="69"/>
      <c r="G236" s="69"/>
      <c r="H236" s="69"/>
      <c r="I236" s="69"/>
      <c r="J236" s="69"/>
      <c r="K236" s="69" t="str">
        <f t="shared" si="9"/>
        <v/>
      </c>
      <c r="L236" s="57" t="str">
        <f t="shared" si="10"/>
        <v/>
      </c>
      <c r="M236" s="63" t="str">
        <f t="shared" si="11"/>
        <v/>
      </c>
      <c r="N236" s="58" t="str">
        <f>IF(K236="","",IF(K236&gt;=90,IFERROR(VLOOKUP(B236,'👥 بيانات الموظفين'!B:H,7,0),0)*0.15,IF(K236&gt;=75,IFERROR(VLOOKUP(B236,'👥 بيانات الموظفين'!B:H,7,0),0)*0.1,IF(K236&gt;=60,IFERROR(VLOOKUP(B236,'👥 بيانات الموظفين'!B:H,7,0),0)*0.05,0))))</f>
        <v/>
      </c>
      <c r="O236" s="99"/>
    </row>
    <row r="237" spans="1:15" ht="22.15" customHeight="1" x14ac:dyDescent="0.2">
      <c r="A237" s="53" t="str">
        <f>IF(B237&lt;&gt;"",233,"")</f>
        <v/>
      </c>
      <c r="B237" s="53"/>
      <c r="C237" s="53" t="str">
        <f>IFERROR(VLOOKUP(B237,'👥 بيانات الموظفين'!B:C,2,0),"")</f>
        <v/>
      </c>
      <c r="D237" s="53" t="str">
        <f>IFERROR(VLOOKUP(B237,'👥 بيانات الموظفين'!B:E,4,0),"")</f>
        <v/>
      </c>
      <c r="E237" s="68"/>
      <c r="F237" s="68"/>
      <c r="G237" s="68"/>
      <c r="H237" s="68"/>
      <c r="I237" s="68"/>
      <c r="J237" s="68"/>
      <c r="K237" s="68" t="str">
        <f t="shared" si="9"/>
        <v/>
      </c>
      <c r="L237" s="53" t="str">
        <f t="shared" si="10"/>
        <v/>
      </c>
      <c r="M237" s="62" t="str">
        <f t="shared" si="11"/>
        <v/>
      </c>
      <c r="N237" s="54" t="str">
        <f>IF(K237="","",IF(K237&gt;=90,IFERROR(VLOOKUP(B237,'👥 بيانات الموظفين'!B:H,7,0),0)*0.15,IF(K237&gt;=75,IFERROR(VLOOKUP(B237,'👥 بيانات الموظفين'!B:H,7,0),0)*0.1,IF(K237&gt;=60,IFERROR(VLOOKUP(B237,'👥 بيانات الموظفين'!B:H,7,0),0)*0.05,0))))</f>
        <v/>
      </c>
      <c r="O237" s="98"/>
    </row>
    <row r="238" spans="1:15" ht="22.15" customHeight="1" x14ac:dyDescent="0.2">
      <c r="A238" s="57" t="str">
        <f>IF(B238&lt;&gt;"",234,"")</f>
        <v/>
      </c>
      <c r="B238" s="57"/>
      <c r="C238" s="57" t="str">
        <f>IFERROR(VLOOKUP(B238,'👥 بيانات الموظفين'!B:C,2,0),"")</f>
        <v/>
      </c>
      <c r="D238" s="57" t="str">
        <f>IFERROR(VLOOKUP(B238,'👥 بيانات الموظفين'!B:E,4,0),"")</f>
        <v/>
      </c>
      <c r="E238" s="69"/>
      <c r="F238" s="69"/>
      <c r="G238" s="69"/>
      <c r="H238" s="69"/>
      <c r="I238" s="69"/>
      <c r="J238" s="69"/>
      <c r="K238" s="69" t="str">
        <f t="shared" si="9"/>
        <v/>
      </c>
      <c r="L238" s="57" t="str">
        <f t="shared" si="10"/>
        <v/>
      </c>
      <c r="M238" s="63" t="str">
        <f t="shared" si="11"/>
        <v/>
      </c>
      <c r="N238" s="58" t="str">
        <f>IF(K238="","",IF(K238&gt;=90,IFERROR(VLOOKUP(B238,'👥 بيانات الموظفين'!B:H,7,0),0)*0.15,IF(K238&gt;=75,IFERROR(VLOOKUP(B238,'👥 بيانات الموظفين'!B:H,7,0),0)*0.1,IF(K238&gt;=60,IFERROR(VLOOKUP(B238,'👥 بيانات الموظفين'!B:H,7,0),0)*0.05,0))))</f>
        <v/>
      </c>
      <c r="O238" s="99"/>
    </row>
    <row r="239" spans="1:15" ht="22.15" customHeight="1" x14ac:dyDescent="0.2">
      <c r="A239" s="53" t="str">
        <f>IF(B239&lt;&gt;"",235,"")</f>
        <v/>
      </c>
      <c r="B239" s="53"/>
      <c r="C239" s="53" t="str">
        <f>IFERROR(VLOOKUP(B239,'👥 بيانات الموظفين'!B:C,2,0),"")</f>
        <v/>
      </c>
      <c r="D239" s="53" t="str">
        <f>IFERROR(VLOOKUP(B239,'👥 بيانات الموظفين'!B:E,4,0),"")</f>
        <v/>
      </c>
      <c r="E239" s="68"/>
      <c r="F239" s="68"/>
      <c r="G239" s="68"/>
      <c r="H239" s="68"/>
      <c r="I239" s="68"/>
      <c r="J239" s="68"/>
      <c r="K239" s="68" t="str">
        <f t="shared" si="9"/>
        <v/>
      </c>
      <c r="L239" s="53" t="str">
        <f t="shared" si="10"/>
        <v/>
      </c>
      <c r="M239" s="62" t="str">
        <f t="shared" si="11"/>
        <v/>
      </c>
      <c r="N239" s="54" t="str">
        <f>IF(K239="","",IF(K239&gt;=90,IFERROR(VLOOKUP(B239,'👥 بيانات الموظفين'!B:H,7,0),0)*0.15,IF(K239&gt;=75,IFERROR(VLOOKUP(B239,'👥 بيانات الموظفين'!B:H,7,0),0)*0.1,IF(K239&gt;=60,IFERROR(VLOOKUP(B239,'👥 بيانات الموظفين'!B:H,7,0),0)*0.05,0))))</f>
        <v/>
      </c>
      <c r="O239" s="98"/>
    </row>
    <row r="240" spans="1:15" ht="22.15" customHeight="1" x14ac:dyDescent="0.2">
      <c r="A240" s="57" t="str">
        <f>IF(B240&lt;&gt;"",236,"")</f>
        <v/>
      </c>
      <c r="B240" s="57"/>
      <c r="C240" s="57" t="str">
        <f>IFERROR(VLOOKUP(B240,'👥 بيانات الموظفين'!B:C,2,0),"")</f>
        <v/>
      </c>
      <c r="D240" s="57" t="str">
        <f>IFERROR(VLOOKUP(B240,'👥 بيانات الموظفين'!B:E,4,0),"")</f>
        <v/>
      </c>
      <c r="E240" s="69"/>
      <c r="F240" s="69"/>
      <c r="G240" s="69"/>
      <c r="H240" s="69"/>
      <c r="I240" s="69"/>
      <c r="J240" s="69"/>
      <c r="K240" s="69" t="str">
        <f t="shared" si="9"/>
        <v/>
      </c>
      <c r="L240" s="57" t="str">
        <f t="shared" si="10"/>
        <v/>
      </c>
      <c r="M240" s="63" t="str">
        <f t="shared" si="11"/>
        <v/>
      </c>
      <c r="N240" s="58" t="str">
        <f>IF(K240="","",IF(K240&gt;=90,IFERROR(VLOOKUP(B240,'👥 بيانات الموظفين'!B:H,7,0),0)*0.15,IF(K240&gt;=75,IFERROR(VLOOKUP(B240,'👥 بيانات الموظفين'!B:H,7,0),0)*0.1,IF(K240&gt;=60,IFERROR(VLOOKUP(B240,'👥 بيانات الموظفين'!B:H,7,0),0)*0.05,0))))</f>
        <v/>
      </c>
      <c r="O240" s="99"/>
    </row>
    <row r="241" spans="1:15" ht="22.15" customHeight="1" x14ac:dyDescent="0.2">
      <c r="A241" s="53" t="str">
        <f>IF(B241&lt;&gt;"",237,"")</f>
        <v/>
      </c>
      <c r="B241" s="53"/>
      <c r="C241" s="53" t="str">
        <f>IFERROR(VLOOKUP(B241,'👥 بيانات الموظفين'!B:C,2,0),"")</f>
        <v/>
      </c>
      <c r="D241" s="53" t="str">
        <f>IFERROR(VLOOKUP(B241,'👥 بيانات الموظفين'!B:E,4,0),"")</f>
        <v/>
      </c>
      <c r="E241" s="68"/>
      <c r="F241" s="68"/>
      <c r="G241" s="68"/>
      <c r="H241" s="68"/>
      <c r="I241" s="68"/>
      <c r="J241" s="68"/>
      <c r="K241" s="68" t="str">
        <f t="shared" si="9"/>
        <v/>
      </c>
      <c r="L241" s="53" t="str">
        <f t="shared" si="10"/>
        <v/>
      </c>
      <c r="M241" s="62" t="str">
        <f t="shared" si="11"/>
        <v/>
      </c>
      <c r="N241" s="54" t="str">
        <f>IF(K241="","",IF(K241&gt;=90,IFERROR(VLOOKUP(B241,'👥 بيانات الموظفين'!B:H,7,0),0)*0.15,IF(K241&gt;=75,IFERROR(VLOOKUP(B241,'👥 بيانات الموظفين'!B:H,7,0),0)*0.1,IF(K241&gt;=60,IFERROR(VLOOKUP(B241,'👥 بيانات الموظفين'!B:H,7,0),0)*0.05,0))))</f>
        <v/>
      </c>
      <c r="O241" s="98"/>
    </row>
    <row r="242" spans="1:15" ht="22.15" customHeight="1" x14ac:dyDescent="0.2">
      <c r="A242" s="57" t="str">
        <f>IF(B242&lt;&gt;"",238,"")</f>
        <v/>
      </c>
      <c r="B242" s="57"/>
      <c r="C242" s="57" t="str">
        <f>IFERROR(VLOOKUP(B242,'👥 بيانات الموظفين'!B:C,2,0),"")</f>
        <v/>
      </c>
      <c r="D242" s="57" t="str">
        <f>IFERROR(VLOOKUP(B242,'👥 بيانات الموظفين'!B:E,4,0),"")</f>
        <v/>
      </c>
      <c r="E242" s="69"/>
      <c r="F242" s="69"/>
      <c r="G242" s="69"/>
      <c r="H242" s="69"/>
      <c r="I242" s="69"/>
      <c r="J242" s="69"/>
      <c r="K242" s="69" t="str">
        <f t="shared" si="9"/>
        <v/>
      </c>
      <c r="L242" s="57" t="str">
        <f t="shared" si="10"/>
        <v/>
      </c>
      <c r="M242" s="63" t="str">
        <f t="shared" si="11"/>
        <v/>
      </c>
      <c r="N242" s="58" t="str">
        <f>IF(K242="","",IF(K242&gt;=90,IFERROR(VLOOKUP(B242,'👥 بيانات الموظفين'!B:H,7,0),0)*0.15,IF(K242&gt;=75,IFERROR(VLOOKUP(B242,'👥 بيانات الموظفين'!B:H,7,0),0)*0.1,IF(K242&gt;=60,IFERROR(VLOOKUP(B242,'👥 بيانات الموظفين'!B:H,7,0),0)*0.05,0))))</f>
        <v/>
      </c>
      <c r="O242" s="99"/>
    </row>
    <row r="243" spans="1:15" ht="22.15" customHeight="1" x14ac:dyDescent="0.2">
      <c r="A243" s="53" t="str">
        <f>IF(B243&lt;&gt;"",239,"")</f>
        <v/>
      </c>
      <c r="B243" s="53"/>
      <c r="C243" s="53" t="str">
        <f>IFERROR(VLOOKUP(B243,'👥 بيانات الموظفين'!B:C,2,0),"")</f>
        <v/>
      </c>
      <c r="D243" s="53" t="str">
        <f>IFERROR(VLOOKUP(B243,'👥 بيانات الموظفين'!B:E,4,0),"")</f>
        <v/>
      </c>
      <c r="E243" s="68"/>
      <c r="F243" s="68"/>
      <c r="G243" s="68"/>
      <c r="H243" s="68"/>
      <c r="I243" s="68"/>
      <c r="J243" s="68"/>
      <c r="K243" s="68" t="str">
        <f t="shared" si="9"/>
        <v/>
      </c>
      <c r="L243" s="53" t="str">
        <f t="shared" si="10"/>
        <v/>
      </c>
      <c r="M243" s="62" t="str">
        <f t="shared" si="11"/>
        <v/>
      </c>
      <c r="N243" s="54" t="str">
        <f>IF(K243="","",IF(K243&gt;=90,IFERROR(VLOOKUP(B243,'👥 بيانات الموظفين'!B:H,7,0),0)*0.15,IF(K243&gt;=75,IFERROR(VLOOKUP(B243,'👥 بيانات الموظفين'!B:H,7,0),0)*0.1,IF(K243&gt;=60,IFERROR(VLOOKUP(B243,'👥 بيانات الموظفين'!B:H,7,0),0)*0.05,0))))</f>
        <v/>
      </c>
      <c r="O243" s="98"/>
    </row>
    <row r="244" spans="1:15" ht="22.15" customHeight="1" x14ac:dyDescent="0.2">
      <c r="A244" s="57" t="str">
        <f>IF(B244&lt;&gt;"",240,"")</f>
        <v/>
      </c>
      <c r="B244" s="57"/>
      <c r="C244" s="57" t="str">
        <f>IFERROR(VLOOKUP(B244,'👥 بيانات الموظفين'!B:C,2,0),"")</f>
        <v/>
      </c>
      <c r="D244" s="57" t="str">
        <f>IFERROR(VLOOKUP(B244,'👥 بيانات الموظفين'!B:E,4,0),"")</f>
        <v/>
      </c>
      <c r="E244" s="69"/>
      <c r="F244" s="69"/>
      <c r="G244" s="69"/>
      <c r="H244" s="69"/>
      <c r="I244" s="69"/>
      <c r="J244" s="69"/>
      <c r="K244" s="69" t="str">
        <f t="shared" si="9"/>
        <v/>
      </c>
      <c r="L244" s="57" t="str">
        <f t="shared" si="10"/>
        <v/>
      </c>
      <c r="M244" s="63" t="str">
        <f t="shared" si="11"/>
        <v/>
      </c>
      <c r="N244" s="58" t="str">
        <f>IF(K244="","",IF(K244&gt;=90,IFERROR(VLOOKUP(B244,'👥 بيانات الموظفين'!B:H,7,0),0)*0.15,IF(K244&gt;=75,IFERROR(VLOOKUP(B244,'👥 بيانات الموظفين'!B:H,7,0),0)*0.1,IF(K244&gt;=60,IFERROR(VLOOKUP(B244,'👥 بيانات الموظفين'!B:H,7,0),0)*0.05,0))))</f>
        <v/>
      </c>
      <c r="O244" s="99"/>
    </row>
    <row r="245" spans="1:15" ht="22.15" customHeight="1" x14ac:dyDescent="0.2">
      <c r="A245" s="53" t="str">
        <f>IF(B245&lt;&gt;"",241,"")</f>
        <v/>
      </c>
      <c r="B245" s="53"/>
      <c r="C245" s="53" t="str">
        <f>IFERROR(VLOOKUP(B245,'👥 بيانات الموظفين'!B:C,2,0),"")</f>
        <v/>
      </c>
      <c r="D245" s="53" t="str">
        <f>IFERROR(VLOOKUP(B245,'👥 بيانات الموظفين'!B:E,4,0),"")</f>
        <v/>
      </c>
      <c r="E245" s="68"/>
      <c r="F245" s="68"/>
      <c r="G245" s="68"/>
      <c r="H245" s="68"/>
      <c r="I245" s="68"/>
      <c r="J245" s="68"/>
      <c r="K245" s="68" t="str">
        <f t="shared" si="9"/>
        <v/>
      </c>
      <c r="L245" s="53" t="str">
        <f t="shared" si="10"/>
        <v/>
      </c>
      <c r="M245" s="62" t="str">
        <f t="shared" si="11"/>
        <v/>
      </c>
      <c r="N245" s="54" t="str">
        <f>IF(K245="","",IF(K245&gt;=90,IFERROR(VLOOKUP(B245,'👥 بيانات الموظفين'!B:H,7,0),0)*0.15,IF(K245&gt;=75,IFERROR(VLOOKUP(B245,'👥 بيانات الموظفين'!B:H,7,0),0)*0.1,IF(K245&gt;=60,IFERROR(VLOOKUP(B245,'👥 بيانات الموظفين'!B:H,7,0),0)*0.05,0))))</f>
        <v/>
      </c>
      <c r="O245" s="98"/>
    </row>
    <row r="246" spans="1:15" ht="22.15" customHeight="1" x14ac:dyDescent="0.2">
      <c r="A246" s="57" t="str">
        <f>IF(B246&lt;&gt;"",242,"")</f>
        <v/>
      </c>
      <c r="B246" s="57"/>
      <c r="C246" s="57" t="str">
        <f>IFERROR(VLOOKUP(B246,'👥 بيانات الموظفين'!B:C,2,0),"")</f>
        <v/>
      </c>
      <c r="D246" s="57" t="str">
        <f>IFERROR(VLOOKUP(B246,'👥 بيانات الموظفين'!B:E,4,0),"")</f>
        <v/>
      </c>
      <c r="E246" s="69"/>
      <c r="F246" s="69"/>
      <c r="G246" s="69"/>
      <c r="H246" s="69"/>
      <c r="I246" s="69"/>
      <c r="J246" s="69"/>
      <c r="K246" s="69" t="str">
        <f t="shared" si="9"/>
        <v/>
      </c>
      <c r="L246" s="57" t="str">
        <f t="shared" si="10"/>
        <v/>
      </c>
      <c r="M246" s="63" t="str">
        <f t="shared" si="11"/>
        <v/>
      </c>
      <c r="N246" s="58" t="str">
        <f>IF(K246="","",IF(K246&gt;=90,IFERROR(VLOOKUP(B246,'👥 بيانات الموظفين'!B:H,7,0),0)*0.15,IF(K246&gt;=75,IFERROR(VLOOKUP(B246,'👥 بيانات الموظفين'!B:H,7,0),0)*0.1,IF(K246&gt;=60,IFERROR(VLOOKUP(B246,'👥 بيانات الموظفين'!B:H,7,0),0)*0.05,0))))</f>
        <v/>
      </c>
      <c r="O246" s="99"/>
    </row>
    <row r="247" spans="1:15" ht="22.15" customHeight="1" x14ac:dyDescent="0.2">
      <c r="A247" s="53" t="str">
        <f>IF(B247&lt;&gt;"",243,"")</f>
        <v/>
      </c>
      <c r="B247" s="53"/>
      <c r="C247" s="53" t="str">
        <f>IFERROR(VLOOKUP(B247,'👥 بيانات الموظفين'!B:C,2,0),"")</f>
        <v/>
      </c>
      <c r="D247" s="53" t="str">
        <f>IFERROR(VLOOKUP(B247,'👥 بيانات الموظفين'!B:E,4,0),"")</f>
        <v/>
      </c>
      <c r="E247" s="68"/>
      <c r="F247" s="68"/>
      <c r="G247" s="68"/>
      <c r="H247" s="68"/>
      <c r="I247" s="68"/>
      <c r="J247" s="68"/>
      <c r="K247" s="68" t="str">
        <f t="shared" si="9"/>
        <v/>
      </c>
      <c r="L247" s="53" t="str">
        <f t="shared" si="10"/>
        <v/>
      </c>
      <c r="M247" s="62" t="str">
        <f t="shared" si="11"/>
        <v/>
      </c>
      <c r="N247" s="54" t="str">
        <f>IF(K247="","",IF(K247&gt;=90,IFERROR(VLOOKUP(B247,'👥 بيانات الموظفين'!B:H,7,0),0)*0.15,IF(K247&gt;=75,IFERROR(VLOOKUP(B247,'👥 بيانات الموظفين'!B:H,7,0),0)*0.1,IF(K247&gt;=60,IFERROR(VLOOKUP(B247,'👥 بيانات الموظفين'!B:H,7,0),0)*0.05,0))))</f>
        <v/>
      </c>
      <c r="O247" s="98"/>
    </row>
    <row r="248" spans="1:15" ht="22.15" customHeight="1" x14ac:dyDescent="0.2">
      <c r="A248" s="57" t="str">
        <f>IF(B248&lt;&gt;"",244,"")</f>
        <v/>
      </c>
      <c r="B248" s="57"/>
      <c r="C248" s="57" t="str">
        <f>IFERROR(VLOOKUP(B248,'👥 بيانات الموظفين'!B:C,2,0),"")</f>
        <v/>
      </c>
      <c r="D248" s="57" t="str">
        <f>IFERROR(VLOOKUP(B248,'👥 بيانات الموظفين'!B:E,4,0),"")</f>
        <v/>
      </c>
      <c r="E248" s="69"/>
      <c r="F248" s="69"/>
      <c r="G248" s="69"/>
      <c r="H248" s="69"/>
      <c r="I248" s="69"/>
      <c r="J248" s="69"/>
      <c r="K248" s="69" t="str">
        <f t="shared" si="9"/>
        <v/>
      </c>
      <c r="L248" s="57" t="str">
        <f t="shared" si="10"/>
        <v/>
      </c>
      <c r="M248" s="63" t="str">
        <f t="shared" si="11"/>
        <v/>
      </c>
      <c r="N248" s="58" t="str">
        <f>IF(K248="","",IF(K248&gt;=90,IFERROR(VLOOKUP(B248,'👥 بيانات الموظفين'!B:H,7,0),0)*0.15,IF(K248&gt;=75,IFERROR(VLOOKUP(B248,'👥 بيانات الموظفين'!B:H,7,0),0)*0.1,IF(K248&gt;=60,IFERROR(VLOOKUP(B248,'👥 بيانات الموظفين'!B:H,7,0),0)*0.05,0))))</f>
        <v/>
      </c>
      <c r="O248" s="99"/>
    </row>
    <row r="249" spans="1:15" ht="22.15" customHeight="1" x14ac:dyDescent="0.2">
      <c r="A249" s="53" t="str">
        <f>IF(B249&lt;&gt;"",245,"")</f>
        <v/>
      </c>
      <c r="B249" s="53"/>
      <c r="C249" s="53" t="str">
        <f>IFERROR(VLOOKUP(B249,'👥 بيانات الموظفين'!B:C,2,0),"")</f>
        <v/>
      </c>
      <c r="D249" s="53" t="str">
        <f>IFERROR(VLOOKUP(B249,'👥 بيانات الموظفين'!B:E,4,0),"")</f>
        <v/>
      </c>
      <c r="E249" s="68"/>
      <c r="F249" s="68"/>
      <c r="G249" s="68"/>
      <c r="H249" s="68"/>
      <c r="I249" s="68"/>
      <c r="J249" s="68"/>
      <c r="K249" s="68" t="str">
        <f t="shared" si="9"/>
        <v/>
      </c>
      <c r="L249" s="53" t="str">
        <f t="shared" si="10"/>
        <v/>
      </c>
      <c r="M249" s="62" t="str">
        <f t="shared" si="11"/>
        <v/>
      </c>
      <c r="N249" s="54" t="str">
        <f>IF(K249="","",IF(K249&gt;=90,IFERROR(VLOOKUP(B249,'👥 بيانات الموظفين'!B:H,7,0),0)*0.15,IF(K249&gt;=75,IFERROR(VLOOKUP(B249,'👥 بيانات الموظفين'!B:H,7,0),0)*0.1,IF(K249&gt;=60,IFERROR(VLOOKUP(B249,'👥 بيانات الموظفين'!B:H,7,0),0)*0.05,0))))</f>
        <v/>
      </c>
      <c r="O249" s="98"/>
    </row>
    <row r="250" spans="1:15" ht="22.15" customHeight="1" x14ac:dyDescent="0.2">
      <c r="A250" s="57" t="str">
        <f>IF(B250&lt;&gt;"",246,"")</f>
        <v/>
      </c>
      <c r="B250" s="57"/>
      <c r="C250" s="57" t="str">
        <f>IFERROR(VLOOKUP(B250,'👥 بيانات الموظفين'!B:C,2,0),"")</f>
        <v/>
      </c>
      <c r="D250" s="57" t="str">
        <f>IFERROR(VLOOKUP(B250,'👥 بيانات الموظفين'!B:E,4,0),"")</f>
        <v/>
      </c>
      <c r="E250" s="69"/>
      <c r="F250" s="69"/>
      <c r="G250" s="69"/>
      <c r="H250" s="69"/>
      <c r="I250" s="69"/>
      <c r="J250" s="69"/>
      <c r="K250" s="69" t="str">
        <f t="shared" si="9"/>
        <v/>
      </c>
      <c r="L250" s="57" t="str">
        <f t="shared" si="10"/>
        <v/>
      </c>
      <c r="M250" s="63" t="str">
        <f t="shared" si="11"/>
        <v/>
      </c>
      <c r="N250" s="58" t="str">
        <f>IF(K250="","",IF(K250&gt;=90,IFERROR(VLOOKUP(B250,'👥 بيانات الموظفين'!B:H,7,0),0)*0.15,IF(K250&gt;=75,IFERROR(VLOOKUP(B250,'👥 بيانات الموظفين'!B:H,7,0),0)*0.1,IF(K250&gt;=60,IFERROR(VLOOKUP(B250,'👥 بيانات الموظفين'!B:H,7,0),0)*0.05,0))))</f>
        <v/>
      </c>
      <c r="O250" s="99"/>
    </row>
    <row r="251" spans="1:15" ht="22.15" customHeight="1" x14ac:dyDescent="0.2">
      <c r="A251" s="53" t="str">
        <f>IF(B251&lt;&gt;"",247,"")</f>
        <v/>
      </c>
      <c r="B251" s="53"/>
      <c r="C251" s="53" t="str">
        <f>IFERROR(VLOOKUP(B251,'👥 بيانات الموظفين'!B:C,2,0),"")</f>
        <v/>
      </c>
      <c r="D251" s="53" t="str">
        <f>IFERROR(VLOOKUP(B251,'👥 بيانات الموظفين'!B:E,4,0),"")</f>
        <v/>
      </c>
      <c r="E251" s="68"/>
      <c r="F251" s="68"/>
      <c r="G251" s="68"/>
      <c r="H251" s="68"/>
      <c r="I251" s="68"/>
      <c r="J251" s="68"/>
      <c r="K251" s="68" t="str">
        <f t="shared" si="9"/>
        <v/>
      </c>
      <c r="L251" s="53" t="str">
        <f t="shared" si="10"/>
        <v/>
      </c>
      <c r="M251" s="62" t="str">
        <f t="shared" si="11"/>
        <v/>
      </c>
      <c r="N251" s="54" t="str">
        <f>IF(K251="","",IF(K251&gt;=90,IFERROR(VLOOKUP(B251,'👥 بيانات الموظفين'!B:H,7,0),0)*0.15,IF(K251&gt;=75,IFERROR(VLOOKUP(B251,'👥 بيانات الموظفين'!B:H,7,0),0)*0.1,IF(K251&gt;=60,IFERROR(VLOOKUP(B251,'👥 بيانات الموظفين'!B:H,7,0),0)*0.05,0))))</f>
        <v/>
      </c>
      <c r="O251" s="98"/>
    </row>
    <row r="252" spans="1:15" ht="22.15" customHeight="1" x14ac:dyDescent="0.2">
      <c r="A252" s="57" t="str">
        <f>IF(B252&lt;&gt;"",248,"")</f>
        <v/>
      </c>
      <c r="B252" s="57"/>
      <c r="C252" s="57" t="str">
        <f>IFERROR(VLOOKUP(B252,'👥 بيانات الموظفين'!B:C,2,0),"")</f>
        <v/>
      </c>
      <c r="D252" s="57" t="str">
        <f>IFERROR(VLOOKUP(B252,'👥 بيانات الموظفين'!B:E,4,0),"")</f>
        <v/>
      </c>
      <c r="E252" s="69"/>
      <c r="F252" s="69"/>
      <c r="G252" s="69"/>
      <c r="H252" s="69"/>
      <c r="I252" s="69"/>
      <c r="J252" s="69"/>
      <c r="K252" s="69" t="str">
        <f t="shared" si="9"/>
        <v/>
      </c>
      <c r="L252" s="57" t="str">
        <f t="shared" si="10"/>
        <v/>
      </c>
      <c r="M252" s="63" t="str">
        <f t="shared" si="11"/>
        <v/>
      </c>
      <c r="N252" s="58" t="str">
        <f>IF(K252="","",IF(K252&gt;=90,IFERROR(VLOOKUP(B252,'👥 بيانات الموظفين'!B:H,7,0),0)*0.15,IF(K252&gt;=75,IFERROR(VLOOKUP(B252,'👥 بيانات الموظفين'!B:H,7,0),0)*0.1,IF(K252&gt;=60,IFERROR(VLOOKUP(B252,'👥 بيانات الموظفين'!B:H,7,0),0)*0.05,0))))</f>
        <v/>
      </c>
      <c r="O252" s="99"/>
    </row>
    <row r="253" spans="1:15" ht="22.15" customHeight="1" x14ac:dyDescent="0.2">
      <c r="A253" s="53" t="str">
        <f>IF(B253&lt;&gt;"",249,"")</f>
        <v/>
      </c>
      <c r="B253" s="53"/>
      <c r="C253" s="53" t="str">
        <f>IFERROR(VLOOKUP(B253,'👥 بيانات الموظفين'!B:C,2,0),"")</f>
        <v/>
      </c>
      <c r="D253" s="53" t="str">
        <f>IFERROR(VLOOKUP(B253,'👥 بيانات الموظفين'!B:E,4,0),"")</f>
        <v/>
      </c>
      <c r="E253" s="68"/>
      <c r="F253" s="68"/>
      <c r="G253" s="68"/>
      <c r="H253" s="68"/>
      <c r="I253" s="68"/>
      <c r="J253" s="68"/>
      <c r="K253" s="68" t="str">
        <f t="shared" si="9"/>
        <v/>
      </c>
      <c r="L253" s="53" t="str">
        <f t="shared" si="10"/>
        <v/>
      </c>
      <c r="M253" s="62" t="str">
        <f t="shared" si="11"/>
        <v/>
      </c>
      <c r="N253" s="54" t="str">
        <f>IF(K253="","",IF(K253&gt;=90,IFERROR(VLOOKUP(B253,'👥 بيانات الموظفين'!B:H,7,0),0)*0.15,IF(K253&gt;=75,IFERROR(VLOOKUP(B253,'👥 بيانات الموظفين'!B:H,7,0),0)*0.1,IF(K253&gt;=60,IFERROR(VLOOKUP(B253,'👥 بيانات الموظفين'!B:H,7,0),0)*0.05,0))))</f>
        <v/>
      </c>
      <c r="O253" s="98"/>
    </row>
    <row r="254" spans="1:15" ht="22.15" customHeight="1" x14ac:dyDescent="0.2">
      <c r="A254" s="57" t="str">
        <f>IF(B254&lt;&gt;"",250,"")</f>
        <v/>
      </c>
      <c r="B254" s="57"/>
      <c r="C254" s="57" t="str">
        <f>IFERROR(VLOOKUP(B254,'👥 بيانات الموظفين'!B:C,2,0),"")</f>
        <v/>
      </c>
      <c r="D254" s="57" t="str">
        <f>IFERROR(VLOOKUP(B254,'👥 بيانات الموظفين'!B:E,4,0),"")</f>
        <v/>
      </c>
      <c r="E254" s="69"/>
      <c r="F254" s="69"/>
      <c r="G254" s="69"/>
      <c r="H254" s="69"/>
      <c r="I254" s="69"/>
      <c r="J254" s="69"/>
      <c r="K254" s="69" t="str">
        <f t="shared" si="9"/>
        <v/>
      </c>
      <c r="L254" s="57" t="str">
        <f t="shared" si="10"/>
        <v/>
      </c>
      <c r="M254" s="63" t="str">
        <f t="shared" si="11"/>
        <v/>
      </c>
      <c r="N254" s="58" t="str">
        <f>IF(K254="","",IF(K254&gt;=90,IFERROR(VLOOKUP(B254,'👥 بيانات الموظفين'!B:H,7,0),0)*0.15,IF(K254&gt;=75,IFERROR(VLOOKUP(B254,'👥 بيانات الموظفين'!B:H,7,0),0)*0.1,IF(K254&gt;=60,IFERROR(VLOOKUP(B254,'👥 بيانات الموظفين'!B:H,7,0),0)*0.05,0))))</f>
        <v/>
      </c>
      <c r="O254" s="99"/>
    </row>
    <row r="255" spans="1:15" ht="22.15" customHeight="1" x14ac:dyDescent="0.2">
      <c r="A255" s="53" t="str">
        <f>IF(B255&lt;&gt;"",251,"")</f>
        <v/>
      </c>
      <c r="B255" s="53"/>
      <c r="C255" s="53" t="str">
        <f>IFERROR(VLOOKUP(B255,'👥 بيانات الموظفين'!B:C,2,0),"")</f>
        <v/>
      </c>
      <c r="D255" s="53" t="str">
        <f>IFERROR(VLOOKUP(B255,'👥 بيانات الموظفين'!B:E,4,0),"")</f>
        <v/>
      </c>
      <c r="E255" s="68"/>
      <c r="F255" s="68"/>
      <c r="G255" s="68"/>
      <c r="H255" s="68"/>
      <c r="I255" s="68"/>
      <c r="J255" s="68"/>
      <c r="K255" s="68" t="str">
        <f t="shared" si="9"/>
        <v/>
      </c>
      <c r="L255" s="53" t="str">
        <f t="shared" si="10"/>
        <v/>
      </c>
      <c r="M255" s="62" t="str">
        <f t="shared" si="11"/>
        <v/>
      </c>
      <c r="N255" s="54" t="str">
        <f>IF(K255="","",IF(K255&gt;=90,IFERROR(VLOOKUP(B255,'👥 بيانات الموظفين'!B:H,7,0),0)*0.15,IF(K255&gt;=75,IFERROR(VLOOKUP(B255,'👥 بيانات الموظفين'!B:H,7,0),0)*0.1,IF(K255&gt;=60,IFERROR(VLOOKUP(B255,'👥 بيانات الموظفين'!B:H,7,0),0)*0.05,0))))</f>
        <v/>
      </c>
      <c r="O255" s="98"/>
    </row>
    <row r="256" spans="1:15" ht="22.15" customHeight="1" x14ac:dyDescent="0.2">
      <c r="A256" s="57" t="str">
        <f>IF(B256&lt;&gt;"",252,"")</f>
        <v/>
      </c>
      <c r="B256" s="57"/>
      <c r="C256" s="57" t="str">
        <f>IFERROR(VLOOKUP(B256,'👥 بيانات الموظفين'!B:C,2,0),"")</f>
        <v/>
      </c>
      <c r="D256" s="57" t="str">
        <f>IFERROR(VLOOKUP(B256,'👥 بيانات الموظفين'!B:E,4,0),"")</f>
        <v/>
      </c>
      <c r="E256" s="69"/>
      <c r="F256" s="69"/>
      <c r="G256" s="69"/>
      <c r="H256" s="69"/>
      <c r="I256" s="69"/>
      <c r="J256" s="69"/>
      <c r="K256" s="69" t="str">
        <f t="shared" si="9"/>
        <v/>
      </c>
      <c r="L256" s="57" t="str">
        <f t="shared" si="10"/>
        <v/>
      </c>
      <c r="M256" s="63" t="str">
        <f t="shared" si="11"/>
        <v/>
      </c>
      <c r="N256" s="58" t="str">
        <f>IF(K256="","",IF(K256&gt;=90,IFERROR(VLOOKUP(B256,'👥 بيانات الموظفين'!B:H,7,0),0)*0.15,IF(K256&gt;=75,IFERROR(VLOOKUP(B256,'👥 بيانات الموظفين'!B:H,7,0),0)*0.1,IF(K256&gt;=60,IFERROR(VLOOKUP(B256,'👥 بيانات الموظفين'!B:H,7,0),0)*0.05,0))))</f>
        <v/>
      </c>
      <c r="O256" s="99"/>
    </row>
    <row r="257" spans="1:15" ht="22.15" customHeight="1" x14ac:dyDescent="0.2">
      <c r="A257" s="53" t="str">
        <f>IF(B257&lt;&gt;"",253,"")</f>
        <v/>
      </c>
      <c r="B257" s="53"/>
      <c r="C257" s="53" t="str">
        <f>IFERROR(VLOOKUP(B257,'👥 بيانات الموظفين'!B:C,2,0),"")</f>
        <v/>
      </c>
      <c r="D257" s="53" t="str">
        <f>IFERROR(VLOOKUP(B257,'👥 بيانات الموظفين'!B:E,4,0),"")</f>
        <v/>
      </c>
      <c r="E257" s="68"/>
      <c r="F257" s="68"/>
      <c r="G257" s="68"/>
      <c r="H257" s="68"/>
      <c r="I257" s="68"/>
      <c r="J257" s="68"/>
      <c r="K257" s="68" t="str">
        <f t="shared" si="9"/>
        <v/>
      </c>
      <c r="L257" s="53" t="str">
        <f t="shared" si="10"/>
        <v/>
      </c>
      <c r="M257" s="62" t="str">
        <f t="shared" si="11"/>
        <v/>
      </c>
      <c r="N257" s="54" t="str">
        <f>IF(K257="","",IF(K257&gt;=90,IFERROR(VLOOKUP(B257,'👥 بيانات الموظفين'!B:H,7,0),0)*0.15,IF(K257&gt;=75,IFERROR(VLOOKUP(B257,'👥 بيانات الموظفين'!B:H,7,0),0)*0.1,IF(K257&gt;=60,IFERROR(VLOOKUP(B257,'👥 بيانات الموظفين'!B:H,7,0),0)*0.05,0))))</f>
        <v/>
      </c>
      <c r="O257" s="98"/>
    </row>
    <row r="258" spans="1:15" ht="22.15" customHeight="1" x14ac:dyDescent="0.2">
      <c r="A258" s="57" t="str">
        <f>IF(B258&lt;&gt;"",254,"")</f>
        <v/>
      </c>
      <c r="B258" s="57"/>
      <c r="C258" s="57" t="str">
        <f>IFERROR(VLOOKUP(B258,'👥 بيانات الموظفين'!B:C,2,0),"")</f>
        <v/>
      </c>
      <c r="D258" s="57" t="str">
        <f>IFERROR(VLOOKUP(B258,'👥 بيانات الموظفين'!B:E,4,0),"")</f>
        <v/>
      </c>
      <c r="E258" s="69"/>
      <c r="F258" s="69"/>
      <c r="G258" s="69"/>
      <c r="H258" s="69"/>
      <c r="I258" s="69"/>
      <c r="J258" s="69"/>
      <c r="K258" s="69" t="str">
        <f t="shared" si="9"/>
        <v/>
      </c>
      <c r="L258" s="57" t="str">
        <f t="shared" si="10"/>
        <v/>
      </c>
      <c r="M258" s="63" t="str">
        <f t="shared" si="11"/>
        <v/>
      </c>
      <c r="N258" s="58" t="str">
        <f>IF(K258="","",IF(K258&gt;=90,IFERROR(VLOOKUP(B258,'👥 بيانات الموظفين'!B:H,7,0),0)*0.15,IF(K258&gt;=75,IFERROR(VLOOKUP(B258,'👥 بيانات الموظفين'!B:H,7,0),0)*0.1,IF(K258&gt;=60,IFERROR(VLOOKUP(B258,'👥 بيانات الموظفين'!B:H,7,0),0)*0.05,0))))</f>
        <v/>
      </c>
      <c r="O258" s="99"/>
    </row>
    <row r="259" spans="1:15" ht="22.15" customHeight="1" x14ac:dyDescent="0.2">
      <c r="A259" s="53" t="str">
        <f>IF(B259&lt;&gt;"",255,"")</f>
        <v/>
      </c>
      <c r="B259" s="53"/>
      <c r="C259" s="53" t="str">
        <f>IFERROR(VLOOKUP(B259,'👥 بيانات الموظفين'!B:C,2,0),"")</f>
        <v/>
      </c>
      <c r="D259" s="53" t="str">
        <f>IFERROR(VLOOKUP(B259,'👥 بيانات الموظفين'!B:E,4,0),"")</f>
        <v/>
      </c>
      <c r="E259" s="68"/>
      <c r="F259" s="68"/>
      <c r="G259" s="68"/>
      <c r="H259" s="68"/>
      <c r="I259" s="68"/>
      <c r="J259" s="68"/>
      <c r="K259" s="68" t="str">
        <f t="shared" si="9"/>
        <v/>
      </c>
      <c r="L259" s="53" t="str">
        <f t="shared" si="10"/>
        <v/>
      </c>
      <c r="M259" s="62" t="str">
        <f t="shared" si="11"/>
        <v/>
      </c>
      <c r="N259" s="54" t="str">
        <f>IF(K259="","",IF(K259&gt;=90,IFERROR(VLOOKUP(B259,'👥 بيانات الموظفين'!B:H,7,0),0)*0.15,IF(K259&gt;=75,IFERROR(VLOOKUP(B259,'👥 بيانات الموظفين'!B:H,7,0),0)*0.1,IF(K259&gt;=60,IFERROR(VLOOKUP(B259,'👥 بيانات الموظفين'!B:H,7,0),0)*0.05,0))))</f>
        <v/>
      </c>
      <c r="O259" s="98"/>
    </row>
    <row r="260" spans="1:15" ht="22.15" customHeight="1" x14ac:dyDescent="0.2">
      <c r="A260" s="57" t="str">
        <f>IF(B260&lt;&gt;"",256,"")</f>
        <v/>
      </c>
      <c r="B260" s="57"/>
      <c r="C260" s="57" t="str">
        <f>IFERROR(VLOOKUP(B260,'👥 بيانات الموظفين'!B:C,2,0),"")</f>
        <v/>
      </c>
      <c r="D260" s="57" t="str">
        <f>IFERROR(VLOOKUP(B260,'👥 بيانات الموظفين'!B:E,4,0),"")</f>
        <v/>
      </c>
      <c r="E260" s="69"/>
      <c r="F260" s="69"/>
      <c r="G260" s="69"/>
      <c r="H260" s="69"/>
      <c r="I260" s="69"/>
      <c r="J260" s="69"/>
      <c r="K260" s="69" t="str">
        <f t="shared" si="9"/>
        <v/>
      </c>
      <c r="L260" s="57" t="str">
        <f t="shared" si="10"/>
        <v/>
      </c>
      <c r="M260" s="63" t="str">
        <f t="shared" si="11"/>
        <v/>
      </c>
      <c r="N260" s="58" t="str">
        <f>IF(K260="","",IF(K260&gt;=90,IFERROR(VLOOKUP(B260,'👥 بيانات الموظفين'!B:H,7,0),0)*0.15,IF(K260&gt;=75,IFERROR(VLOOKUP(B260,'👥 بيانات الموظفين'!B:H,7,0),0)*0.1,IF(K260&gt;=60,IFERROR(VLOOKUP(B260,'👥 بيانات الموظفين'!B:H,7,0),0)*0.05,0))))</f>
        <v/>
      </c>
      <c r="O260" s="99"/>
    </row>
    <row r="261" spans="1:15" ht="22.15" customHeight="1" x14ac:dyDescent="0.2">
      <c r="A261" s="53" t="str">
        <f>IF(B261&lt;&gt;"",257,"")</f>
        <v/>
      </c>
      <c r="B261" s="53"/>
      <c r="C261" s="53" t="str">
        <f>IFERROR(VLOOKUP(B261,'👥 بيانات الموظفين'!B:C,2,0),"")</f>
        <v/>
      </c>
      <c r="D261" s="53" t="str">
        <f>IFERROR(VLOOKUP(B261,'👥 بيانات الموظفين'!B:E,4,0),"")</f>
        <v/>
      </c>
      <c r="E261" s="68"/>
      <c r="F261" s="68"/>
      <c r="G261" s="68"/>
      <c r="H261" s="68"/>
      <c r="I261" s="68"/>
      <c r="J261" s="68"/>
      <c r="K261" s="68" t="str">
        <f t="shared" ref="K261:K304" si="12">IF(B261&lt;&gt;"",IF(AND(F261&lt;&gt;"",G261&lt;&gt;"",H261&lt;&gt;"",I261&lt;&gt;"",J261&lt;&gt;""),SUM(F261:J261),""),"")</f>
        <v/>
      </c>
      <c r="L261" s="53" t="str">
        <f t="shared" ref="L261:L304" si="13">IF(K261="","",IF(K261&gt;=90,"ممتاز",IF(K261&gt;=75,"جيد جداً",IF(K261&gt;=60,"جيد",IF(K261&gt;=50,"مقبول","ضعيف")))))</f>
        <v/>
      </c>
      <c r="M261" s="62" t="str">
        <f t="shared" ref="M261:M304" si="14">IF(K261="","",IF(K261&gt;=90,"A",IF(K261&gt;=75,"B",IF(K261&gt;=60,"C",IF(K261&gt;=50,"D","F")))))</f>
        <v/>
      </c>
      <c r="N261" s="54" t="str">
        <f>IF(K261="","",IF(K261&gt;=90,IFERROR(VLOOKUP(B261,'👥 بيانات الموظفين'!B:H,7,0),0)*0.15,IF(K261&gt;=75,IFERROR(VLOOKUP(B261,'👥 بيانات الموظفين'!B:H,7,0),0)*0.1,IF(K261&gt;=60,IFERROR(VLOOKUP(B261,'👥 بيانات الموظفين'!B:H,7,0),0)*0.05,0))))</f>
        <v/>
      </c>
      <c r="O261" s="98"/>
    </row>
    <row r="262" spans="1:15" ht="22.15" customHeight="1" x14ac:dyDescent="0.2">
      <c r="A262" s="57" t="str">
        <f>IF(B262&lt;&gt;"",258,"")</f>
        <v/>
      </c>
      <c r="B262" s="57"/>
      <c r="C262" s="57" t="str">
        <f>IFERROR(VLOOKUP(B262,'👥 بيانات الموظفين'!B:C,2,0),"")</f>
        <v/>
      </c>
      <c r="D262" s="57" t="str">
        <f>IFERROR(VLOOKUP(B262,'👥 بيانات الموظفين'!B:E,4,0),"")</f>
        <v/>
      </c>
      <c r="E262" s="69"/>
      <c r="F262" s="69"/>
      <c r="G262" s="69"/>
      <c r="H262" s="69"/>
      <c r="I262" s="69"/>
      <c r="J262" s="69"/>
      <c r="K262" s="69" t="str">
        <f t="shared" si="12"/>
        <v/>
      </c>
      <c r="L262" s="57" t="str">
        <f t="shared" si="13"/>
        <v/>
      </c>
      <c r="M262" s="63" t="str">
        <f t="shared" si="14"/>
        <v/>
      </c>
      <c r="N262" s="58" t="str">
        <f>IF(K262="","",IF(K262&gt;=90,IFERROR(VLOOKUP(B262,'👥 بيانات الموظفين'!B:H,7,0),0)*0.15,IF(K262&gt;=75,IFERROR(VLOOKUP(B262,'👥 بيانات الموظفين'!B:H,7,0),0)*0.1,IF(K262&gt;=60,IFERROR(VLOOKUP(B262,'👥 بيانات الموظفين'!B:H,7,0),0)*0.05,0))))</f>
        <v/>
      </c>
      <c r="O262" s="99"/>
    </row>
    <row r="263" spans="1:15" ht="22.15" customHeight="1" x14ac:dyDescent="0.2">
      <c r="A263" s="53" t="str">
        <f>IF(B263&lt;&gt;"",259,"")</f>
        <v/>
      </c>
      <c r="B263" s="53"/>
      <c r="C263" s="53" t="str">
        <f>IFERROR(VLOOKUP(B263,'👥 بيانات الموظفين'!B:C,2,0),"")</f>
        <v/>
      </c>
      <c r="D263" s="53" t="str">
        <f>IFERROR(VLOOKUP(B263,'👥 بيانات الموظفين'!B:E,4,0),"")</f>
        <v/>
      </c>
      <c r="E263" s="68"/>
      <c r="F263" s="68"/>
      <c r="G263" s="68"/>
      <c r="H263" s="68"/>
      <c r="I263" s="68"/>
      <c r="J263" s="68"/>
      <c r="K263" s="68" t="str">
        <f t="shared" si="12"/>
        <v/>
      </c>
      <c r="L263" s="53" t="str">
        <f t="shared" si="13"/>
        <v/>
      </c>
      <c r="M263" s="62" t="str">
        <f t="shared" si="14"/>
        <v/>
      </c>
      <c r="N263" s="54" t="str">
        <f>IF(K263="","",IF(K263&gt;=90,IFERROR(VLOOKUP(B263,'👥 بيانات الموظفين'!B:H,7,0),0)*0.15,IF(K263&gt;=75,IFERROR(VLOOKUP(B263,'👥 بيانات الموظفين'!B:H,7,0),0)*0.1,IF(K263&gt;=60,IFERROR(VLOOKUP(B263,'👥 بيانات الموظفين'!B:H,7,0),0)*0.05,0))))</f>
        <v/>
      </c>
      <c r="O263" s="98"/>
    </row>
    <row r="264" spans="1:15" ht="22.15" customHeight="1" x14ac:dyDescent="0.2">
      <c r="A264" s="57" t="str">
        <f>IF(B264&lt;&gt;"",260,"")</f>
        <v/>
      </c>
      <c r="B264" s="57"/>
      <c r="C264" s="57" t="str">
        <f>IFERROR(VLOOKUP(B264,'👥 بيانات الموظفين'!B:C,2,0),"")</f>
        <v/>
      </c>
      <c r="D264" s="57" t="str">
        <f>IFERROR(VLOOKUP(B264,'👥 بيانات الموظفين'!B:E,4,0),"")</f>
        <v/>
      </c>
      <c r="E264" s="69"/>
      <c r="F264" s="69"/>
      <c r="G264" s="69"/>
      <c r="H264" s="69"/>
      <c r="I264" s="69"/>
      <c r="J264" s="69"/>
      <c r="K264" s="69" t="str">
        <f t="shared" si="12"/>
        <v/>
      </c>
      <c r="L264" s="57" t="str">
        <f t="shared" si="13"/>
        <v/>
      </c>
      <c r="M264" s="63" t="str">
        <f t="shared" si="14"/>
        <v/>
      </c>
      <c r="N264" s="58" t="str">
        <f>IF(K264="","",IF(K264&gt;=90,IFERROR(VLOOKUP(B264,'👥 بيانات الموظفين'!B:H,7,0),0)*0.15,IF(K264&gt;=75,IFERROR(VLOOKUP(B264,'👥 بيانات الموظفين'!B:H,7,0),0)*0.1,IF(K264&gt;=60,IFERROR(VLOOKUP(B264,'👥 بيانات الموظفين'!B:H,7,0),0)*0.05,0))))</f>
        <v/>
      </c>
      <c r="O264" s="99"/>
    </row>
    <row r="265" spans="1:15" ht="22.15" customHeight="1" x14ac:dyDescent="0.2">
      <c r="A265" s="53" t="str">
        <f>IF(B265&lt;&gt;"",261,"")</f>
        <v/>
      </c>
      <c r="B265" s="53"/>
      <c r="C265" s="53" t="str">
        <f>IFERROR(VLOOKUP(B265,'👥 بيانات الموظفين'!B:C,2,0),"")</f>
        <v/>
      </c>
      <c r="D265" s="53" t="str">
        <f>IFERROR(VLOOKUP(B265,'👥 بيانات الموظفين'!B:E,4,0),"")</f>
        <v/>
      </c>
      <c r="E265" s="68"/>
      <c r="F265" s="68"/>
      <c r="G265" s="68"/>
      <c r="H265" s="68"/>
      <c r="I265" s="68"/>
      <c r="J265" s="68"/>
      <c r="K265" s="68" t="str">
        <f t="shared" si="12"/>
        <v/>
      </c>
      <c r="L265" s="53" t="str">
        <f t="shared" si="13"/>
        <v/>
      </c>
      <c r="M265" s="62" t="str">
        <f t="shared" si="14"/>
        <v/>
      </c>
      <c r="N265" s="54" t="str">
        <f>IF(K265="","",IF(K265&gt;=90,IFERROR(VLOOKUP(B265,'👥 بيانات الموظفين'!B:H,7,0),0)*0.15,IF(K265&gt;=75,IFERROR(VLOOKUP(B265,'👥 بيانات الموظفين'!B:H,7,0),0)*0.1,IF(K265&gt;=60,IFERROR(VLOOKUP(B265,'👥 بيانات الموظفين'!B:H,7,0),0)*0.05,0))))</f>
        <v/>
      </c>
      <c r="O265" s="98"/>
    </row>
    <row r="266" spans="1:15" ht="22.15" customHeight="1" x14ac:dyDescent="0.2">
      <c r="A266" s="57" t="str">
        <f>IF(B266&lt;&gt;"",262,"")</f>
        <v/>
      </c>
      <c r="B266" s="57"/>
      <c r="C266" s="57" t="str">
        <f>IFERROR(VLOOKUP(B266,'👥 بيانات الموظفين'!B:C,2,0),"")</f>
        <v/>
      </c>
      <c r="D266" s="57" t="str">
        <f>IFERROR(VLOOKUP(B266,'👥 بيانات الموظفين'!B:E,4,0),"")</f>
        <v/>
      </c>
      <c r="E266" s="69"/>
      <c r="F266" s="69"/>
      <c r="G266" s="69"/>
      <c r="H266" s="69"/>
      <c r="I266" s="69"/>
      <c r="J266" s="69"/>
      <c r="K266" s="69" t="str">
        <f t="shared" si="12"/>
        <v/>
      </c>
      <c r="L266" s="57" t="str">
        <f t="shared" si="13"/>
        <v/>
      </c>
      <c r="M266" s="63" t="str">
        <f t="shared" si="14"/>
        <v/>
      </c>
      <c r="N266" s="58" t="str">
        <f>IF(K266="","",IF(K266&gt;=90,IFERROR(VLOOKUP(B266,'👥 بيانات الموظفين'!B:H,7,0),0)*0.15,IF(K266&gt;=75,IFERROR(VLOOKUP(B266,'👥 بيانات الموظفين'!B:H,7,0),0)*0.1,IF(K266&gt;=60,IFERROR(VLOOKUP(B266,'👥 بيانات الموظفين'!B:H,7,0),0)*0.05,0))))</f>
        <v/>
      </c>
      <c r="O266" s="99"/>
    </row>
    <row r="267" spans="1:15" ht="22.15" customHeight="1" x14ac:dyDescent="0.2">
      <c r="A267" s="53" t="str">
        <f>IF(B267&lt;&gt;"",263,"")</f>
        <v/>
      </c>
      <c r="B267" s="53"/>
      <c r="C267" s="53" t="str">
        <f>IFERROR(VLOOKUP(B267,'👥 بيانات الموظفين'!B:C,2,0),"")</f>
        <v/>
      </c>
      <c r="D267" s="53" t="str">
        <f>IFERROR(VLOOKUP(B267,'👥 بيانات الموظفين'!B:E,4,0),"")</f>
        <v/>
      </c>
      <c r="E267" s="68"/>
      <c r="F267" s="68"/>
      <c r="G267" s="68"/>
      <c r="H267" s="68"/>
      <c r="I267" s="68"/>
      <c r="J267" s="68"/>
      <c r="K267" s="68" t="str">
        <f t="shared" si="12"/>
        <v/>
      </c>
      <c r="L267" s="53" t="str">
        <f t="shared" si="13"/>
        <v/>
      </c>
      <c r="M267" s="62" t="str">
        <f t="shared" si="14"/>
        <v/>
      </c>
      <c r="N267" s="54" t="str">
        <f>IF(K267="","",IF(K267&gt;=90,IFERROR(VLOOKUP(B267,'👥 بيانات الموظفين'!B:H,7,0),0)*0.15,IF(K267&gt;=75,IFERROR(VLOOKUP(B267,'👥 بيانات الموظفين'!B:H,7,0),0)*0.1,IF(K267&gt;=60,IFERROR(VLOOKUP(B267,'👥 بيانات الموظفين'!B:H,7,0),0)*0.05,0))))</f>
        <v/>
      </c>
      <c r="O267" s="98"/>
    </row>
    <row r="268" spans="1:15" ht="22.15" customHeight="1" x14ac:dyDescent="0.2">
      <c r="A268" s="57" t="str">
        <f>IF(B268&lt;&gt;"",264,"")</f>
        <v/>
      </c>
      <c r="B268" s="57"/>
      <c r="C268" s="57" t="str">
        <f>IFERROR(VLOOKUP(B268,'👥 بيانات الموظفين'!B:C,2,0),"")</f>
        <v/>
      </c>
      <c r="D268" s="57" t="str">
        <f>IFERROR(VLOOKUP(B268,'👥 بيانات الموظفين'!B:E,4,0),"")</f>
        <v/>
      </c>
      <c r="E268" s="69"/>
      <c r="F268" s="69"/>
      <c r="G268" s="69"/>
      <c r="H268" s="69"/>
      <c r="I268" s="69"/>
      <c r="J268" s="69"/>
      <c r="K268" s="69" t="str">
        <f t="shared" si="12"/>
        <v/>
      </c>
      <c r="L268" s="57" t="str">
        <f t="shared" si="13"/>
        <v/>
      </c>
      <c r="M268" s="63" t="str">
        <f t="shared" si="14"/>
        <v/>
      </c>
      <c r="N268" s="58" t="str">
        <f>IF(K268="","",IF(K268&gt;=90,IFERROR(VLOOKUP(B268,'👥 بيانات الموظفين'!B:H,7,0),0)*0.15,IF(K268&gt;=75,IFERROR(VLOOKUP(B268,'👥 بيانات الموظفين'!B:H,7,0),0)*0.1,IF(K268&gt;=60,IFERROR(VLOOKUP(B268,'👥 بيانات الموظفين'!B:H,7,0),0)*0.05,0))))</f>
        <v/>
      </c>
      <c r="O268" s="99"/>
    </row>
    <row r="269" spans="1:15" ht="22.15" customHeight="1" x14ac:dyDescent="0.2">
      <c r="A269" s="53" t="str">
        <f>IF(B269&lt;&gt;"",265,"")</f>
        <v/>
      </c>
      <c r="B269" s="53"/>
      <c r="C269" s="53" t="str">
        <f>IFERROR(VLOOKUP(B269,'👥 بيانات الموظفين'!B:C,2,0),"")</f>
        <v/>
      </c>
      <c r="D269" s="53" t="str">
        <f>IFERROR(VLOOKUP(B269,'👥 بيانات الموظفين'!B:E,4,0),"")</f>
        <v/>
      </c>
      <c r="E269" s="68"/>
      <c r="F269" s="68"/>
      <c r="G269" s="68"/>
      <c r="H269" s="68"/>
      <c r="I269" s="68"/>
      <c r="J269" s="68"/>
      <c r="K269" s="68" t="str">
        <f t="shared" si="12"/>
        <v/>
      </c>
      <c r="L269" s="53" t="str">
        <f t="shared" si="13"/>
        <v/>
      </c>
      <c r="M269" s="62" t="str">
        <f t="shared" si="14"/>
        <v/>
      </c>
      <c r="N269" s="54" t="str">
        <f>IF(K269="","",IF(K269&gt;=90,IFERROR(VLOOKUP(B269,'👥 بيانات الموظفين'!B:H,7,0),0)*0.15,IF(K269&gt;=75,IFERROR(VLOOKUP(B269,'👥 بيانات الموظفين'!B:H,7,0),0)*0.1,IF(K269&gt;=60,IFERROR(VLOOKUP(B269,'👥 بيانات الموظفين'!B:H,7,0),0)*0.05,0))))</f>
        <v/>
      </c>
      <c r="O269" s="98"/>
    </row>
    <row r="270" spans="1:15" ht="22.15" customHeight="1" x14ac:dyDescent="0.2">
      <c r="A270" s="57" t="str">
        <f>IF(B270&lt;&gt;"",266,"")</f>
        <v/>
      </c>
      <c r="B270" s="57"/>
      <c r="C270" s="57" t="str">
        <f>IFERROR(VLOOKUP(B270,'👥 بيانات الموظفين'!B:C,2,0),"")</f>
        <v/>
      </c>
      <c r="D270" s="57" t="str">
        <f>IFERROR(VLOOKUP(B270,'👥 بيانات الموظفين'!B:E,4,0),"")</f>
        <v/>
      </c>
      <c r="E270" s="69"/>
      <c r="F270" s="69"/>
      <c r="G270" s="69"/>
      <c r="H270" s="69"/>
      <c r="I270" s="69"/>
      <c r="J270" s="69"/>
      <c r="K270" s="69" t="str">
        <f t="shared" si="12"/>
        <v/>
      </c>
      <c r="L270" s="57" t="str">
        <f t="shared" si="13"/>
        <v/>
      </c>
      <c r="M270" s="63" t="str">
        <f t="shared" si="14"/>
        <v/>
      </c>
      <c r="N270" s="58" t="str">
        <f>IF(K270="","",IF(K270&gt;=90,IFERROR(VLOOKUP(B270,'👥 بيانات الموظفين'!B:H,7,0),0)*0.15,IF(K270&gt;=75,IFERROR(VLOOKUP(B270,'👥 بيانات الموظفين'!B:H,7,0),0)*0.1,IF(K270&gt;=60,IFERROR(VLOOKUP(B270,'👥 بيانات الموظفين'!B:H,7,0),0)*0.05,0))))</f>
        <v/>
      </c>
      <c r="O270" s="99"/>
    </row>
    <row r="271" spans="1:15" ht="22.15" customHeight="1" x14ac:dyDescent="0.2">
      <c r="A271" s="53" t="str">
        <f>IF(B271&lt;&gt;"",267,"")</f>
        <v/>
      </c>
      <c r="B271" s="53"/>
      <c r="C271" s="53" t="str">
        <f>IFERROR(VLOOKUP(B271,'👥 بيانات الموظفين'!B:C,2,0),"")</f>
        <v/>
      </c>
      <c r="D271" s="53" t="str">
        <f>IFERROR(VLOOKUP(B271,'👥 بيانات الموظفين'!B:E,4,0),"")</f>
        <v/>
      </c>
      <c r="E271" s="68"/>
      <c r="F271" s="68"/>
      <c r="G271" s="68"/>
      <c r="H271" s="68"/>
      <c r="I271" s="68"/>
      <c r="J271" s="68"/>
      <c r="K271" s="68" t="str">
        <f t="shared" si="12"/>
        <v/>
      </c>
      <c r="L271" s="53" t="str">
        <f t="shared" si="13"/>
        <v/>
      </c>
      <c r="M271" s="62" t="str">
        <f t="shared" si="14"/>
        <v/>
      </c>
      <c r="N271" s="54" t="str">
        <f>IF(K271="","",IF(K271&gt;=90,IFERROR(VLOOKUP(B271,'👥 بيانات الموظفين'!B:H,7,0),0)*0.15,IF(K271&gt;=75,IFERROR(VLOOKUP(B271,'👥 بيانات الموظفين'!B:H,7,0),0)*0.1,IF(K271&gt;=60,IFERROR(VLOOKUP(B271,'👥 بيانات الموظفين'!B:H,7,0),0)*0.05,0))))</f>
        <v/>
      </c>
      <c r="O271" s="98"/>
    </row>
    <row r="272" spans="1:15" ht="22.15" customHeight="1" x14ac:dyDescent="0.2">
      <c r="A272" s="57" t="str">
        <f>IF(B272&lt;&gt;"",268,"")</f>
        <v/>
      </c>
      <c r="B272" s="57"/>
      <c r="C272" s="57" t="str">
        <f>IFERROR(VLOOKUP(B272,'👥 بيانات الموظفين'!B:C,2,0),"")</f>
        <v/>
      </c>
      <c r="D272" s="57" t="str">
        <f>IFERROR(VLOOKUP(B272,'👥 بيانات الموظفين'!B:E,4,0),"")</f>
        <v/>
      </c>
      <c r="E272" s="69"/>
      <c r="F272" s="69"/>
      <c r="G272" s="69"/>
      <c r="H272" s="69"/>
      <c r="I272" s="69"/>
      <c r="J272" s="69"/>
      <c r="K272" s="69" t="str">
        <f t="shared" si="12"/>
        <v/>
      </c>
      <c r="L272" s="57" t="str">
        <f t="shared" si="13"/>
        <v/>
      </c>
      <c r="M272" s="63" t="str">
        <f t="shared" si="14"/>
        <v/>
      </c>
      <c r="N272" s="58" t="str">
        <f>IF(K272="","",IF(K272&gt;=90,IFERROR(VLOOKUP(B272,'👥 بيانات الموظفين'!B:H,7,0),0)*0.15,IF(K272&gt;=75,IFERROR(VLOOKUP(B272,'👥 بيانات الموظفين'!B:H,7,0),0)*0.1,IF(K272&gt;=60,IFERROR(VLOOKUP(B272,'👥 بيانات الموظفين'!B:H,7,0),0)*0.05,0))))</f>
        <v/>
      </c>
      <c r="O272" s="99"/>
    </row>
    <row r="273" spans="1:15" ht="22.15" customHeight="1" x14ac:dyDescent="0.2">
      <c r="A273" s="53" t="str">
        <f>IF(B273&lt;&gt;"",269,"")</f>
        <v/>
      </c>
      <c r="B273" s="53"/>
      <c r="C273" s="53" t="str">
        <f>IFERROR(VLOOKUP(B273,'👥 بيانات الموظفين'!B:C,2,0),"")</f>
        <v/>
      </c>
      <c r="D273" s="53" t="str">
        <f>IFERROR(VLOOKUP(B273,'👥 بيانات الموظفين'!B:E,4,0),"")</f>
        <v/>
      </c>
      <c r="E273" s="68"/>
      <c r="F273" s="68"/>
      <c r="G273" s="68"/>
      <c r="H273" s="68"/>
      <c r="I273" s="68"/>
      <c r="J273" s="68"/>
      <c r="K273" s="68" t="str">
        <f t="shared" si="12"/>
        <v/>
      </c>
      <c r="L273" s="53" t="str">
        <f t="shared" si="13"/>
        <v/>
      </c>
      <c r="M273" s="62" t="str">
        <f t="shared" si="14"/>
        <v/>
      </c>
      <c r="N273" s="54" t="str">
        <f>IF(K273="","",IF(K273&gt;=90,IFERROR(VLOOKUP(B273,'👥 بيانات الموظفين'!B:H,7,0),0)*0.15,IF(K273&gt;=75,IFERROR(VLOOKUP(B273,'👥 بيانات الموظفين'!B:H,7,0),0)*0.1,IF(K273&gt;=60,IFERROR(VLOOKUP(B273,'👥 بيانات الموظفين'!B:H,7,0),0)*0.05,0))))</f>
        <v/>
      </c>
      <c r="O273" s="98"/>
    </row>
    <row r="274" spans="1:15" ht="22.15" customHeight="1" x14ac:dyDescent="0.2">
      <c r="A274" s="57" t="str">
        <f>IF(B274&lt;&gt;"",270,"")</f>
        <v/>
      </c>
      <c r="B274" s="57"/>
      <c r="C274" s="57" t="str">
        <f>IFERROR(VLOOKUP(B274,'👥 بيانات الموظفين'!B:C,2,0),"")</f>
        <v/>
      </c>
      <c r="D274" s="57" t="str">
        <f>IFERROR(VLOOKUP(B274,'👥 بيانات الموظفين'!B:E,4,0),"")</f>
        <v/>
      </c>
      <c r="E274" s="69"/>
      <c r="F274" s="69"/>
      <c r="G274" s="69"/>
      <c r="H274" s="69"/>
      <c r="I274" s="69"/>
      <c r="J274" s="69"/>
      <c r="K274" s="69" t="str">
        <f t="shared" si="12"/>
        <v/>
      </c>
      <c r="L274" s="57" t="str">
        <f t="shared" si="13"/>
        <v/>
      </c>
      <c r="M274" s="63" t="str">
        <f t="shared" si="14"/>
        <v/>
      </c>
      <c r="N274" s="58" t="str">
        <f>IF(K274="","",IF(K274&gt;=90,IFERROR(VLOOKUP(B274,'👥 بيانات الموظفين'!B:H,7,0),0)*0.15,IF(K274&gt;=75,IFERROR(VLOOKUP(B274,'👥 بيانات الموظفين'!B:H,7,0),0)*0.1,IF(K274&gt;=60,IFERROR(VLOOKUP(B274,'👥 بيانات الموظفين'!B:H,7,0),0)*0.05,0))))</f>
        <v/>
      </c>
      <c r="O274" s="99"/>
    </row>
    <row r="275" spans="1:15" ht="22.15" customHeight="1" x14ac:dyDescent="0.2">
      <c r="A275" s="53" t="str">
        <f>IF(B275&lt;&gt;"",271,"")</f>
        <v/>
      </c>
      <c r="B275" s="53"/>
      <c r="C275" s="53" t="str">
        <f>IFERROR(VLOOKUP(B275,'👥 بيانات الموظفين'!B:C,2,0),"")</f>
        <v/>
      </c>
      <c r="D275" s="53" t="str">
        <f>IFERROR(VLOOKUP(B275,'👥 بيانات الموظفين'!B:E,4,0),"")</f>
        <v/>
      </c>
      <c r="E275" s="68"/>
      <c r="F275" s="68"/>
      <c r="G275" s="68"/>
      <c r="H275" s="68"/>
      <c r="I275" s="68"/>
      <c r="J275" s="68"/>
      <c r="K275" s="68" t="str">
        <f t="shared" si="12"/>
        <v/>
      </c>
      <c r="L275" s="53" t="str">
        <f t="shared" si="13"/>
        <v/>
      </c>
      <c r="M275" s="62" t="str">
        <f t="shared" si="14"/>
        <v/>
      </c>
      <c r="N275" s="54" t="str">
        <f>IF(K275="","",IF(K275&gt;=90,IFERROR(VLOOKUP(B275,'👥 بيانات الموظفين'!B:H,7,0),0)*0.15,IF(K275&gt;=75,IFERROR(VLOOKUP(B275,'👥 بيانات الموظفين'!B:H,7,0),0)*0.1,IF(K275&gt;=60,IFERROR(VLOOKUP(B275,'👥 بيانات الموظفين'!B:H,7,0),0)*0.05,0))))</f>
        <v/>
      </c>
      <c r="O275" s="98"/>
    </row>
    <row r="276" spans="1:15" ht="22.15" customHeight="1" x14ac:dyDescent="0.2">
      <c r="A276" s="57" t="str">
        <f>IF(B276&lt;&gt;"",272,"")</f>
        <v/>
      </c>
      <c r="B276" s="57"/>
      <c r="C276" s="57" t="str">
        <f>IFERROR(VLOOKUP(B276,'👥 بيانات الموظفين'!B:C,2,0),"")</f>
        <v/>
      </c>
      <c r="D276" s="57" t="str">
        <f>IFERROR(VLOOKUP(B276,'👥 بيانات الموظفين'!B:E,4,0),"")</f>
        <v/>
      </c>
      <c r="E276" s="69"/>
      <c r="F276" s="69"/>
      <c r="G276" s="69"/>
      <c r="H276" s="69"/>
      <c r="I276" s="69"/>
      <c r="J276" s="69"/>
      <c r="K276" s="69" t="str">
        <f t="shared" si="12"/>
        <v/>
      </c>
      <c r="L276" s="57" t="str">
        <f t="shared" si="13"/>
        <v/>
      </c>
      <c r="M276" s="63" t="str">
        <f t="shared" si="14"/>
        <v/>
      </c>
      <c r="N276" s="58" t="str">
        <f>IF(K276="","",IF(K276&gt;=90,IFERROR(VLOOKUP(B276,'👥 بيانات الموظفين'!B:H,7,0),0)*0.15,IF(K276&gt;=75,IFERROR(VLOOKUP(B276,'👥 بيانات الموظفين'!B:H,7,0),0)*0.1,IF(K276&gt;=60,IFERROR(VLOOKUP(B276,'👥 بيانات الموظفين'!B:H,7,0),0)*0.05,0))))</f>
        <v/>
      </c>
      <c r="O276" s="99"/>
    </row>
    <row r="277" spans="1:15" ht="22.15" customHeight="1" x14ac:dyDescent="0.2">
      <c r="A277" s="53" t="str">
        <f>IF(B277&lt;&gt;"",273,"")</f>
        <v/>
      </c>
      <c r="B277" s="53"/>
      <c r="C277" s="53" t="str">
        <f>IFERROR(VLOOKUP(B277,'👥 بيانات الموظفين'!B:C,2,0),"")</f>
        <v/>
      </c>
      <c r="D277" s="53" t="str">
        <f>IFERROR(VLOOKUP(B277,'👥 بيانات الموظفين'!B:E,4,0),"")</f>
        <v/>
      </c>
      <c r="E277" s="68"/>
      <c r="F277" s="68"/>
      <c r="G277" s="68"/>
      <c r="H277" s="68"/>
      <c r="I277" s="68"/>
      <c r="J277" s="68"/>
      <c r="K277" s="68" t="str">
        <f t="shared" si="12"/>
        <v/>
      </c>
      <c r="L277" s="53" t="str">
        <f t="shared" si="13"/>
        <v/>
      </c>
      <c r="M277" s="62" t="str">
        <f t="shared" si="14"/>
        <v/>
      </c>
      <c r="N277" s="54" t="str">
        <f>IF(K277="","",IF(K277&gt;=90,IFERROR(VLOOKUP(B277,'👥 بيانات الموظفين'!B:H,7,0),0)*0.15,IF(K277&gt;=75,IFERROR(VLOOKUP(B277,'👥 بيانات الموظفين'!B:H,7,0),0)*0.1,IF(K277&gt;=60,IFERROR(VLOOKUP(B277,'👥 بيانات الموظفين'!B:H,7,0),0)*0.05,0))))</f>
        <v/>
      </c>
      <c r="O277" s="98"/>
    </row>
    <row r="278" spans="1:15" ht="22.15" customHeight="1" x14ac:dyDescent="0.2">
      <c r="A278" s="57" t="str">
        <f>IF(B278&lt;&gt;"",274,"")</f>
        <v/>
      </c>
      <c r="B278" s="57"/>
      <c r="C278" s="57" t="str">
        <f>IFERROR(VLOOKUP(B278,'👥 بيانات الموظفين'!B:C,2,0),"")</f>
        <v/>
      </c>
      <c r="D278" s="57" t="str">
        <f>IFERROR(VLOOKUP(B278,'👥 بيانات الموظفين'!B:E,4,0),"")</f>
        <v/>
      </c>
      <c r="E278" s="69"/>
      <c r="F278" s="69"/>
      <c r="G278" s="69"/>
      <c r="H278" s="69"/>
      <c r="I278" s="69"/>
      <c r="J278" s="69"/>
      <c r="K278" s="69" t="str">
        <f t="shared" si="12"/>
        <v/>
      </c>
      <c r="L278" s="57" t="str">
        <f t="shared" si="13"/>
        <v/>
      </c>
      <c r="M278" s="63" t="str">
        <f t="shared" si="14"/>
        <v/>
      </c>
      <c r="N278" s="58" t="str">
        <f>IF(K278="","",IF(K278&gt;=90,IFERROR(VLOOKUP(B278,'👥 بيانات الموظفين'!B:H,7,0),0)*0.15,IF(K278&gt;=75,IFERROR(VLOOKUP(B278,'👥 بيانات الموظفين'!B:H,7,0),0)*0.1,IF(K278&gt;=60,IFERROR(VLOOKUP(B278,'👥 بيانات الموظفين'!B:H,7,0),0)*0.05,0))))</f>
        <v/>
      </c>
      <c r="O278" s="99"/>
    </row>
    <row r="279" spans="1:15" ht="22.15" customHeight="1" x14ac:dyDescent="0.2">
      <c r="A279" s="53" t="str">
        <f>IF(B279&lt;&gt;"",275,"")</f>
        <v/>
      </c>
      <c r="B279" s="53"/>
      <c r="C279" s="53" t="str">
        <f>IFERROR(VLOOKUP(B279,'👥 بيانات الموظفين'!B:C,2,0),"")</f>
        <v/>
      </c>
      <c r="D279" s="53" t="str">
        <f>IFERROR(VLOOKUP(B279,'👥 بيانات الموظفين'!B:E,4,0),"")</f>
        <v/>
      </c>
      <c r="E279" s="68"/>
      <c r="F279" s="68"/>
      <c r="G279" s="68"/>
      <c r="H279" s="68"/>
      <c r="I279" s="68"/>
      <c r="J279" s="68"/>
      <c r="K279" s="68" t="str">
        <f t="shared" si="12"/>
        <v/>
      </c>
      <c r="L279" s="53" t="str">
        <f t="shared" si="13"/>
        <v/>
      </c>
      <c r="M279" s="62" t="str">
        <f t="shared" si="14"/>
        <v/>
      </c>
      <c r="N279" s="54" t="str">
        <f>IF(K279="","",IF(K279&gt;=90,IFERROR(VLOOKUP(B279,'👥 بيانات الموظفين'!B:H,7,0),0)*0.15,IF(K279&gt;=75,IFERROR(VLOOKUP(B279,'👥 بيانات الموظفين'!B:H,7,0),0)*0.1,IF(K279&gt;=60,IFERROR(VLOOKUP(B279,'👥 بيانات الموظفين'!B:H,7,0),0)*0.05,0))))</f>
        <v/>
      </c>
      <c r="O279" s="98"/>
    </row>
    <row r="280" spans="1:15" ht="22.15" customHeight="1" x14ac:dyDescent="0.2">
      <c r="A280" s="57" t="str">
        <f>IF(B280&lt;&gt;"",276,"")</f>
        <v/>
      </c>
      <c r="B280" s="57"/>
      <c r="C280" s="57" t="str">
        <f>IFERROR(VLOOKUP(B280,'👥 بيانات الموظفين'!B:C,2,0),"")</f>
        <v/>
      </c>
      <c r="D280" s="57" t="str">
        <f>IFERROR(VLOOKUP(B280,'👥 بيانات الموظفين'!B:E,4,0),"")</f>
        <v/>
      </c>
      <c r="E280" s="69"/>
      <c r="F280" s="69"/>
      <c r="G280" s="69"/>
      <c r="H280" s="69"/>
      <c r="I280" s="69"/>
      <c r="J280" s="69"/>
      <c r="K280" s="69" t="str">
        <f t="shared" si="12"/>
        <v/>
      </c>
      <c r="L280" s="57" t="str">
        <f t="shared" si="13"/>
        <v/>
      </c>
      <c r="M280" s="63" t="str">
        <f t="shared" si="14"/>
        <v/>
      </c>
      <c r="N280" s="58" t="str">
        <f>IF(K280="","",IF(K280&gt;=90,IFERROR(VLOOKUP(B280,'👥 بيانات الموظفين'!B:H,7,0),0)*0.15,IF(K280&gt;=75,IFERROR(VLOOKUP(B280,'👥 بيانات الموظفين'!B:H,7,0),0)*0.1,IF(K280&gt;=60,IFERROR(VLOOKUP(B280,'👥 بيانات الموظفين'!B:H,7,0),0)*0.05,0))))</f>
        <v/>
      </c>
      <c r="O280" s="99"/>
    </row>
    <row r="281" spans="1:15" ht="22.15" customHeight="1" x14ac:dyDescent="0.2">
      <c r="A281" s="53" t="str">
        <f>IF(B281&lt;&gt;"",277,"")</f>
        <v/>
      </c>
      <c r="B281" s="53"/>
      <c r="C281" s="53" t="str">
        <f>IFERROR(VLOOKUP(B281,'👥 بيانات الموظفين'!B:C,2,0),"")</f>
        <v/>
      </c>
      <c r="D281" s="53" t="str">
        <f>IFERROR(VLOOKUP(B281,'👥 بيانات الموظفين'!B:E,4,0),"")</f>
        <v/>
      </c>
      <c r="E281" s="68"/>
      <c r="F281" s="68"/>
      <c r="G281" s="68"/>
      <c r="H281" s="68"/>
      <c r="I281" s="68"/>
      <c r="J281" s="68"/>
      <c r="K281" s="68" t="str">
        <f t="shared" si="12"/>
        <v/>
      </c>
      <c r="L281" s="53" t="str">
        <f t="shared" si="13"/>
        <v/>
      </c>
      <c r="M281" s="62" t="str">
        <f t="shared" si="14"/>
        <v/>
      </c>
      <c r="N281" s="54" t="str">
        <f>IF(K281="","",IF(K281&gt;=90,IFERROR(VLOOKUP(B281,'👥 بيانات الموظفين'!B:H,7,0),0)*0.15,IF(K281&gt;=75,IFERROR(VLOOKUP(B281,'👥 بيانات الموظفين'!B:H,7,0),0)*0.1,IF(K281&gt;=60,IFERROR(VLOOKUP(B281,'👥 بيانات الموظفين'!B:H,7,0),0)*0.05,0))))</f>
        <v/>
      </c>
      <c r="O281" s="98"/>
    </row>
    <row r="282" spans="1:15" ht="22.15" customHeight="1" x14ac:dyDescent="0.2">
      <c r="A282" s="57" t="str">
        <f>IF(B282&lt;&gt;"",278,"")</f>
        <v/>
      </c>
      <c r="B282" s="57"/>
      <c r="C282" s="57" t="str">
        <f>IFERROR(VLOOKUP(B282,'👥 بيانات الموظفين'!B:C,2,0),"")</f>
        <v/>
      </c>
      <c r="D282" s="57" t="str">
        <f>IFERROR(VLOOKUP(B282,'👥 بيانات الموظفين'!B:E,4,0),"")</f>
        <v/>
      </c>
      <c r="E282" s="69"/>
      <c r="F282" s="69"/>
      <c r="G282" s="69"/>
      <c r="H282" s="69"/>
      <c r="I282" s="69"/>
      <c r="J282" s="69"/>
      <c r="K282" s="69" t="str">
        <f t="shared" si="12"/>
        <v/>
      </c>
      <c r="L282" s="57" t="str">
        <f t="shared" si="13"/>
        <v/>
      </c>
      <c r="M282" s="63" t="str">
        <f t="shared" si="14"/>
        <v/>
      </c>
      <c r="N282" s="58" t="str">
        <f>IF(K282="","",IF(K282&gt;=90,IFERROR(VLOOKUP(B282,'👥 بيانات الموظفين'!B:H,7,0),0)*0.15,IF(K282&gt;=75,IFERROR(VLOOKUP(B282,'👥 بيانات الموظفين'!B:H,7,0),0)*0.1,IF(K282&gt;=60,IFERROR(VLOOKUP(B282,'👥 بيانات الموظفين'!B:H,7,0),0)*0.05,0))))</f>
        <v/>
      </c>
      <c r="O282" s="99"/>
    </row>
    <row r="283" spans="1:15" ht="22.15" customHeight="1" x14ac:dyDescent="0.2">
      <c r="A283" s="53" t="str">
        <f>IF(B283&lt;&gt;"",279,"")</f>
        <v/>
      </c>
      <c r="B283" s="53"/>
      <c r="C283" s="53" t="str">
        <f>IFERROR(VLOOKUP(B283,'👥 بيانات الموظفين'!B:C,2,0),"")</f>
        <v/>
      </c>
      <c r="D283" s="53" t="str">
        <f>IFERROR(VLOOKUP(B283,'👥 بيانات الموظفين'!B:E,4,0),"")</f>
        <v/>
      </c>
      <c r="E283" s="68"/>
      <c r="F283" s="68"/>
      <c r="G283" s="68"/>
      <c r="H283" s="68"/>
      <c r="I283" s="68"/>
      <c r="J283" s="68"/>
      <c r="K283" s="68" t="str">
        <f t="shared" si="12"/>
        <v/>
      </c>
      <c r="L283" s="53" t="str">
        <f t="shared" si="13"/>
        <v/>
      </c>
      <c r="M283" s="62" t="str">
        <f t="shared" si="14"/>
        <v/>
      </c>
      <c r="N283" s="54" t="str">
        <f>IF(K283="","",IF(K283&gt;=90,IFERROR(VLOOKUP(B283,'👥 بيانات الموظفين'!B:H,7,0),0)*0.15,IF(K283&gt;=75,IFERROR(VLOOKUP(B283,'👥 بيانات الموظفين'!B:H,7,0),0)*0.1,IF(K283&gt;=60,IFERROR(VLOOKUP(B283,'👥 بيانات الموظفين'!B:H,7,0),0)*0.05,0))))</f>
        <v/>
      </c>
      <c r="O283" s="98"/>
    </row>
    <row r="284" spans="1:15" ht="22.15" customHeight="1" x14ac:dyDescent="0.2">
      <c r="A284" s="57" t="str">
        <f>IF(B284&lt;&gt;"",280,"")</f>
        <v/>
      </c>
      <c r="B284" s="57"/>
      <c r="C284" s="57" t="str">
        <f>IFERROR(VLOOKUP(B284,'👥 بيانات الموظفين'!B:C,2,0),"")</f>
        <v/>
      </c>
      <c r="D284" s="57" t="str">
        <f>IFERROR(VLOOKUP(B284,'👥 بيانات الموظفين'!B:E,4,0),"")</f>
        <v/>
      </c>
      <c r="E284" s="69"/>
      <c r="F284" s="69"/>
      <c r="G284" s="69"/>
      <c r="H284" s="69"/>
      <c r="I284" s="69"/>
      <c r="J284" s="69"/>
      <c r="K284" s="69" t="str">
        <f t="shared" si="12"/>
        <v/>
      </c>
      <c r="L284" s="57" t="str">
        <f t="shared" si="13"/>
        <v/>
      </c>
      <c r="M284" s="63" t="str">
        <f t="shared" si="14"/>
        <v/>
      </c>
      <c r="N284" s="58" t="str">
        <f>IF(K284="","",IF(K284&gt;=90,IFERROR(VLOOKUP(B284,'👥 بيانات الموظفين'!B:H,7,0),0)*0.15,IF(K284&gt;=75,IFERROR(VLOOKUP(B284,'👥 بيانات الموظفين'!B:H,7,0),0)*0.1,IF(K284&gt;=60,IFERROR(VLOOKUP(B284,'👥 بيانات الموظفين'!B:H,7,0),0)*0.05,0))))</f>
        <v/>
      </c>
      <c r="O284" s="99"/>
    </row>
    <row r="285" spans="1:15" ht="22.15" customHeight="1" x14ac:dyDescent="0.2">
      <c r="A285" s="53" t="str">
        <f>IF(B285&lt;&gt;"",281,"")</f>
        <v/>
      </c>
      <c r="B285" s="53"/>
      <c r="C285" s="53" t="str">
        <f>IFERROR(VLOOKUP(B285,'👥 بيانات الموظفين'!B:C,2,0),"")</f>
        <v/>
      </c>
      <c r="D285" s="53" t="str">
        <f>IFERROR(VLOOKUP(B285,'👥 بيانات الموظفين'!B:E,4,0),"")</f>
        <v/>
      </c>
      <c r="E285" s="68"/>
      <c r="F285" s="68"/>
      <c r="G285" s="68"/>
      <c r="H285" s="68"/>
      <c r="I285" s="68"/>
      <c r="J285" s="68"/>
      <c r="K285" s="68" t="str">
        <f t="shared" si="12"/>
        <v/>
      </c>
      <c r="L285" s="53" t="str">
        <f t="shared" si="13"/>
        <v/>
      </c>
      <c r="M285" s="62" t="str">
        <f t="shared" si="14"/>
        <v/>
      </c>
      <c r="N285" s="54" t="str">
        <f>IF(K285="","",IF(K285&gt;=90,IFERROR(VLOOKUP(B285,'👥 بيانات الموظفين'!B:H,7,0),0)*0.15,IF(K285&gt;=75,IFERROR(VLOOKUP(B285,'👥 بيانات الموظفين'!B:H,7,0),0)*0.1,IF(K285&gt;=60,IFERROR(VLOOKUP(B285,'👥 بيانات الموظفين'!B:H,7,0),0)*0.05,0))))</f>
        <v/>
      </c>
      <c r="O285" s="98"/>
    </row>
    <row r="286" spans="1:15" ht="22.15" customHeight="1" x14ac:dyDescent="0.2">
      <c r="A286" s="57" t="str">
        <f>IF(B286&lt;&gt;"",282,"")</f>
        <v/>
      </c>
      <c r="B286" s="57"/>
      <c r="C286" s="57" t="str">
        <f>IFERROR(VLOOKUP(B286,'👥 بيانات الموظفين'!B:C,2,0),"")</f>
        <v/>
      </c>
      <c r="D286" s="57" t="str">
        <f>IFERROR(VLOOKUP(B286,'👥 بيانات الموظفين'!B:E,4,0),"")</f>
        <v/>
      </c>
      <c r="E286" s="69"/>
      <c r="F286" s="69"/>
      <c r="G286" s="69"/>
      <c r="H286" s="69"/>
      <c r="I286" s="69"/>
      <c r="J286" s="69"/>
      <c r="K286" s="69" t="str">
        <f t="shared" si="12"/>
        <v/>
      </c>
      <c r="L286" s="57" t="str">
        <f t="shared" si="13"/>
        <v/>
      </c>
      <c r="M286" s="63" t="str">
        <f t="shared" si="14"/>
        <v/>
      </c>
      <c r="N286" s="58" t="str">
        <f>IF(K286="","",IF(K286&gt;=90,IFERROR(VLOOKUP(B286,'👥 بيانات الموظفين'!B:H,7,0),0)*0.15,IF(K286&gt;=75,IFERROR(VLOOKUP(B286,'👥 بيانات الموظفين'!B:H,7,0),0)*0.1,IF(K286&gt;=60,IFERROR(VLOOKUP(B286,'👥 بيانات الموظفين'!B:H,7,0),0)*0.05,0))))</f>
        <v/>
      </c>
      <c r="O286" s="99"/>
    </row>
    <row r="287" spans="1:15" ht="22.15" customHeight="1" x14ac:dyDescent="0.2">
      <c r="A287" s="53" t="str">
        <f>IF(B287&lt;&gt;"",283,"")</f>
        <v/>
      </c>
      <c r="B287" s="53"/>
      <c r="C287" s="53" t="str">
        <f>IFERROR(VLOOKUP(B287,'👥 بيانات الموظفين'!B:C,2,0),"")</f>
        <v/>
      </c>
      <c r="D287" s="53" t="str">
        <f>IFERROR(VLOOKUP(B287,'👥 بيانات الموظفين'!B:E,4,0),"")</f>
        <v/>
      </c>
      <c r="E287" s="68"/>
      <c r="F287" s="68"/>
      <c r="G287" s="68"/>
      <c r="H287" s="68"/>
      <c r="I287" s="68"/>
      <c r="J287" s="68"/>
      <c r="K287" s="68" t="str">
        <f t="shared" si="12"/>
        <v/>
      </c>
      <c r="L287" s="53" t="str">
        <f t="shared" si="13"/>
        <v/>
      </c>
      <c r="M287" s="62" t="str">
        <f t="shared" si="14"/>
        <v/>
      </c>
      <c r="N287" s="54" t="str">
        <f>IF(K287="","",IF(K287&gt;=90,IFERROR(VLOOKUP(B287,'👥 بيانات الموظفين'!B:H,7,0),0)*0.15,IF(K287&gt;=75,IFERROR(VLOOKUP(B287,'👥 بيانات الموظفين'!B:H,7,0),0)*0.1,IF(K287&gt;=60,IFERROR(VLOOKUP(B287,'👥 بيانات الموظفين'!B:H,7,0),0)*0.05,0))))</f>
        <v/>
      </c>
      <c r="O287" s="98"/>
    </row>
    <row r="288" spans="1:15" ht="22.15" customHeight="1" x14ac:dyDescent="0.2">
      <c r="A288" s="57" t="str">
        <f>IF(B288&lt;&gt;"",284,"")</f>
        <v/>
      </c>
      <c r="B288" s="57"/>
      <c r="C288" s="57" t="str">
        <f>IFERROR(VLOOKUP(B288,'👥 بيانات الموظفين'!B:C,2,0),"")</f>
        <v/>
      </c>
      <c r="D288" s="57" t="str">
        <f>IFERROR(VLOOKUP(B288,'👥 بيانات الموظفين'!B:E,4,0),"")</f>
        <v/>
      </c>
      <c r="E288" s="69"/>
      <c r="F288" s="69"/>
      <c r="G288" s="69"/>
      <c r="H288" s="69"/>
      <c r="I288" s="69"/>
      <c r="J288" s="69"/>
      <c r="K288" s="69" t="str">
        <f t="shared" si="12"/>
        <v/>
      </c>
      <c r="L288" s="57" t="str">
        <f t="shared" si="13"/>
        <v/>
      </c>
      <c r="M288" s="63" t="str">
        <f t="shared" si="14"/>
        <v/>
      </c>
      <c r="N288" s="58" t="str">
        <f>IF(K288="","",IF(K288&gt;=90,IFERROR(VLOOKUP(B288,'👥 بيانات الموظفين'!B:H,7,0),0)*0.15,IF(K288&gt;=75,IFERROR(VLOOKUP(B288,'👥 بيانات الموظفين'!B:H,7,0),0)*0.1,IF(K288&gt;=60,IFERROR(VLOOKUP(B288,'👥 بيانات الموظفين'!B:H,7,0),0)*0.05,0))))</f>
        <v/>
      </c>
      <c r="O288" s="99"/>
    </row>
    <row r="289" spans="1:15" ht="22.15" customHeight="1" x14ac:dyDescent="0.2">
      <c r="A289" s="53" t="str">
        <f>IF(B289&lt;&gt;"",285,"")</f>
        <v/>
      </c>
      <c r="B289" s="53"/>
      <c r="C289" s="53" t="str">
        <f>IFERROR(VLOOKUP(B289,'👥 بيانات الموظفين'!B:C,2,0),"")</f>
        <v/>
      </c>
      <c r="D289" s="53" t="str">
        <f>IFERROR(VLOOKUP(B289,'👥 بيانات الموظفين'!B:E,4,0),"")</f>
        <v/>
      </c>
      <c r="E289" s="68"/>
      <c r="F289" s="68"/>
      <c r="G289" s="68"/>
      <c r="H289" s="68"/>
      <c r="I289" s="68"/>
      <c r="J289" s="68"/>
      <c r="K289" s="68" t="str">
        <f t="shared" si="12"/>
        <v/>
      </c>
      <c r="L289" s="53" t="str">
        <f t="shared" si="13"/>
        <v/>
      </c>
      <c r="M289" s="62" t="str">
        <f t="shared" si="14"/>
        <v/>
      </c>
      <c r="N289" s="54" t="str">
        <f>IF(K289="","",IF(K289&gt;=90,IFERROR(VLOOKUP(B289,'👥 بيانات الموظفين'!B:H,7,0),0)*0.15,IF(K289&gt;=75,IFERROR(VLOOKUP(B289,'👥 بيانات الموظفين'!B:H,7,0),0)*0.1,IF(K289&gt;=60,IFERROR(VLOOKUP(B289,'👥 بيانات الموظفين'!B:H,7,0),0)*0.05,0))))</f>
        <v/>
      </c>
      <c r="O289" s="98"/>
    </row>
    <row r="290" spans="1:15" ht="22.15" customHeight="1" x14ac:dyDescent="0.2">
      <c r="A290" s="57" t="str">
        <f>IF(B290&lt;&gt;"",286,"")</f>
        <v/>
      </c>
      <c r="B290" s="57"/>
      <c r="C290" s="57" t="str">
        <f>IFERROR(VLOOKUP(B290,'👥 بيانات الموظفين'!B:C,2,0),"")</f>
        <v/>
      </c>
      <c r="D290" s="57" t="str">
        <f>IFERROR(VLOOKUP(B290,'👥 بيانات الموظفين'!B:E,4,0),"")</f>
        <v/>
      </c>
      <c r="E290" s="69"/>
      <c r="F290" s="69"/>
      <c r="G290" s="69"/>
      <c r="H290" s="69"/>
      <c r="I290" s="69"/>
      <c r="J290" s="69"/>
      <c r="K290" s="69" t="str">
        <f t="shared" si="12"/>
        <v/>
      </c>
      <c r="L290" s="57" t="str">
        <f t="shared" si="13"/>
        <v/>
      </c>
      <c r="M290" s="63" t="str">
        <f t="shared" si="14"/>
        <v/>
      </c>
      <c r="N290" s="58" t="str">
        <f>IF(K290="","",IF(K290&gt;=90,IFERROR(VLOOKUP(B290,'👥 بيانات الموظفين'!B:H,7,0),0)*0.15,IF(K290&gt;=75,IFERROR(VLOOKUP(B290,'👥 بيانات الموظفين'!B:H,7,0),0)*0.1,IF(K290&gt;=60,IFERROR(VLOOKUP(B290,'👥 بيانات الموظفين'!B:H,7,0),0)*0.05,0))))</f>
        <v/>
      </c>
      <c r="O290" s="99"/>
    </row>
    <row r="291" spans="1:15" ht="22.15" customHeight="1" x14ac:dyDescent="0.2">
      <c r="A291" s="53" t="str">
        <f>IF(B291&lt;&gt;"",287,"")</f>
        <v/>
      </c>
      <c r="B291" s="53"/>
      <c r="C291" s="53" t="str">
        <f>IFERROR(VLOOKUP(B291,'👥 بيانات الموظفين'!B:C,2,0),"")</f>
        <v/>
      </c>
      <c r="D291" s="53" t="str">
        <f>IFERROR(VLOOKUP(B291,'👥 بيانات الموظفين'!B:E,4,0),"")</f>
        <v/>
      </c>
      <c r="E291" s="68"/>
      <c r="F291" s="68"/>
      <c r="G291" s="68"/>
      <c r="H291" s="68"/>
      <c r="I291" s="68"/>
      <c r="J291" s="68"/>
      <c r="K291" s="68" t="str">
        <f t="shared" si="12"/>
        <v/>
      </c>
      <c r="L291" s="53" t="str">
        <f t="shared" si="13"/>
        <v/>
      </c>
      <c r="M291" s="62" t="str">
        <f t="shared" si="14"/>
        <v/>
      </c>
      <c r="N291" s="54" t="str">
        <f>IF(K291="","",IF(K291&gt;=90,IFERROR(VLOOKUP(B291,'👥 بيانات الموظفين'!B:H,7,0),0)*0.15,IF(K291&gt;=75,IFERROR(VLOOKUP(B291,'👥 بيانات الموظفين'!B:H,7,0),0)*0.1,IF(K291&gt;=60,IFERROR(VLOOKUP(B291,'👥 بيانات الموظفين'!B:H,7,0),0)*0.05,0))))</f>
        <v/>
      </c>
      <c r="O291" s="98"/>
    </row>
    <row r="292" spans="1:15" ht="22.15" customHeight="1" x14ac:dyDescent="0.2">
      <c r="A292" s="57" t="str">
        <f>IF(B292&lt;&gt;"",288,"")</f>
        <v/>
      </c>
      <c r="B292" s="57"/>
      <c r="C292" s="57" t="str">
        <f>IFERROR(VLOOKUP(B292,'👥 بيانات الموظفين'!B:C,2,0),"")</f>
        <v/>
      </c>
      <c r="D292" s="57" t="str">
        <f>IFERROR(VLOOKUP(B292,'👥 بيانات الموظفين'!B:E,4,0),"")</f>
        <v/>
      </c>
      <c r="E292" s="69"/>
      <c r="F292" s="69"/>
      <c r="G292" s="69"/>
      <c r="H292" s="69"/>
      <c r="I292" s="69"/>
      <c r="J292" s="69"/>
      <c r="K292" s="69" t="str">
        <f t="shared" si="12"/>
        <v/>
      </c>
      <c r="L292" s="57" t="str">
        <f t="shared" si="13"/>
        <v/>
      </c>
      <c r="M292" s="63" t="str">
        <f t="shared" si="14"/>
        <v/>
      </c>
      <c r="N292" s="58" t="str">
        <f>IF(K292="","",IF(K292&gt;=90,IFERROR(VLOOKUP(B292,'👥 بيانات الموظفين'!B:H,7,0),0)*0.15,IF(K292&gt;=75,IFERROR(VLOOKUP(B292,'👥 بيانات الموظفين'!B:H,7,0),0)*0.1,IF(K292&gt;=60,IFERROR(VLOOKUP(B292,'👥 بيانات الموظفين'!B:H,7,0),0)*0.05,0))))</f>
        <v/>
      </c>
      <c r="O292" s="99"/>
    </row>
    <row r="293" spans="1:15" ht="22.15" customHeight="1" x14ac:dyDescent="0.2">
      <c r="A293" s="53" t="str">
        <f>IF(B293&lt;&gt;"",289,"")</f>
        <v/>
      </c>
      <c r="B293" s="53"/>
      <c r="C293" s="53" t="str">
        <f>IFERROR(VLOOKUP(B293,'👥 بيانات الموظفين'!B:C,2,0),"")</f>
        <v/>
      </c>
      <c r="D293" s="53" t="str">
        <f>IFERROR(VLOOKUP(B293,'👥 بيانات الموظفين'!B:E,4,0),"")</f>
        <v/>
      </c>
      <c r="E293" s="68"/>
      <c r="F293" s="68"/>
      <c r="G293" s="68"/>
      <c r="H293" s="68"/>
      <c r="I293" s="68"/>
      <c r="J293" s="68"/>
      <c r="K293" s="68" t="str">
        <f t="shared" si="12"/>
        <v/>
      </c>
      <c r="L293" s="53" t="str">
        <f t="shared" si="13"/>
        <v/>
      </c>
      <c r="M293" s="62" t="str">
        <f t="shared" si="14"/>
        <v/>
      </c>
      <c r="N293" s="54" t="str">
        <f>IF(K293="","",IF(K293&gt;=90,IFERROR(VLOOKUP(B293,'👥 بيانات الموظفين'!B:H,7,0),0)*0.15,IF(K293&gt;=75,IFERROR(VLOOKUP(B293,'👥 بيانات الموظفين'!B:H,7,0),0)*0.1,IF(K293&gt;=60,IFERROR(VLOOKUP(B293,'👥 بيانات الموظفين'!B:H,7,0),0)*0.05,0))))</f>
        <v/>
      </c>
      <c r="O293" s="98"/>
    </row>
    <row r="294" spans="1:15" ht="22.15" customHeight="1" x14ac:dyDescent="0.2">
      <c r="A294" s="57" t="str">
        <f>IF(B294&lt;&gt;"",290,"")</f>
        <v/>
      </c>
      <c r="B294" s="57"/>
      <c r="C294" s="57" t="str">
        <f>IFERROR(VLOOKUP(B294,'👥 بيانات الموظفين'!B:C,2,0),"")</f>
        <v/>
      </c>
      <c r="D294" s="57" t="str">
        <f>IFERROR(VLOOKUP(B294,'👥 بيانات الموظفين'!B:E,4,0),"")</f>
        <v/>
      </c>
      <c r="E294" s="69"/>
      <c r="F294" s="69"/>
      <c r="G294" s="69"/>
      <c r="H294" s="69"/>
      <c r="I294" s="69"/>
      <c r="J294" s="69"/>
      <c r="K294" s="69" t="str">
        <f t="shared" si="12"/>
        <v/>
      </c>
      <c r="L294" s="57" t="str">
        <f t="shared" si="13"/>
        <v/>
      </c>
      <c r="M294" s="63" t="str">
        <f t="shared" si="14"/>
        <v/>
      </c>
      <c r="N294" s="58" t="str">
        <f>IF(K294="","",IF(K294&gt;=90,IFERROR(VLOOKUP(B294,'👥 بيانات الموظفين'!B:H,7,0),0)*0.15,IF(K294&gt;=75,IFERROR(VLOOKUP(B294,'👥 بيانات الموظفين'!B:H,7,0),0)*0.1,IF(K294&gt;=60,IFERROR(VLOOKUP(B294,'👥 بيانات الموظفين'!B:H,7,0),0)*0.05,0))))</f>
        <v/>
      </c>
      <c r="O294" s="99"/>
    </row>
    <row r="295" spans="1:15" ht="22.15" customHeight="1" x14ac:dyDescent="0.2">
      <c r="A295" s="53" t="str">
        <f>IF(B295&lt;&gt;"",291,"")</f>
        <v/>
      </c>
      <c r="B295" s="53"/>
      <c r="C295" s="53" t="str">
        <f>IFERROR(VLOOKUP(B295,'👥 بيانات الموظفين'!B:C,2,0),"")</f>
        <v/>
      </c>
      <c r="D295" s="53" t="str">
        <f>IFERROR(VLOOKUP(B295,'👥 بيانات الموظفين'!B:E,4,0),"")</f>
        <v/>
      </c>
      <c r="E295" s="68"/>
      <c r="F295" s="68"/>
      <c r="G295" s="68"/>
      <c r="H295" s="68"/>
      <c r="I295" s="68"/>
      <c r="J295" s="68"/>
      <c r="K295" s="68" t="str">
        <f t="shared" si="12"/>
        <v/>
      </c>
      <c r="L295" s="53" t="str">
        <f t="shared" si="13"/>
        <v/>
      </c>
      <c r="M295" s="62" t="str">
        <f t="shared" si="14"/>
        <v/>
      </c>
      <c r="N295" s="54" t="str">
        <f>IF(K295="","",IF(K295&gt;=90,IFERROR(VLOOKUP(B295,'👥 بيانات الموظفين'!B:H,7,0),0)*0.15,IF(K295&gt;=75,IFERROR(VLOOKUP(B295,'👥 بيانات الموظفين'!B:H,7,0),0)*0.1,IF(K295&gt;=60,IFERROR(VLOOKUP(B295,'👥 بيانات الموظفين'!B:H,7,0),0)*0.05,0))))</f>
        <v/>
      </c>
      <c r="O295" s="98"/>
    </row>
    <row r="296" spans="1:15" ht="22.15" customHeight="1" x14ac:dyDescent="0.2">
      <c r="A296" s="57" t="str">
        <f>IF(B296&lt;&gt;"",292,"")</f>
        <v/>
      </c>
      <c r="B296" s="57"/>
      <c r="C296" s="57" t="str">
        <f>IFERROR(VLOOKUP(B296,'👥 بيانات الموظفين'!B:C,2,0),"")</f>
        <v/>
      </c>
      <c r="D296" s="57" t="str">
        <f>IFERROR(VLOOKUP(B296,'👥 بيانات الموظفين'!B:E,4,0),"")</f>
        <v/>
      </c>
      <c r="E296" s="69"/>
      <c r="F296" s="69"/>
      <c r="G296" s="69"/>
      <c r="H296" s="69"/>
      <c r="I296" s="69"/>
      <c r="J296" s="69"/>
      <c r="K296" s="69" t="str">
        <f t="shared" si="12"/>
        <v/>
      </c>
      <c r="L296" s="57" t="str">
        <f t="shared" si="13"/>
        <v/>
      </c>
      <c r="M296" s="63" t="str">
        <f t="shared" si="14"/>
        <v/>
      </c>
      <c r="N296" s="58" t="str">
        <f>IF(K296="","",IF(K296&gt;=90,IFERROR(VLOOKUP(B296,'👥 بيانات الموظفين'!B:H,7,0),0)*0.15,IF(K296&gt;=75,IFERROR(VLOOKUP(B296,'👥 بيانات الموظفين'!B:H,7,0),0)*0.1,IF(K296&gt;=60,IFERROR(VLOOKUP(B296,'👥 بيانات الموظفين'!B:H,7,0),0)*0.05,0))))</f>
        <v/>
      </c>
      <c r="O296" s="99"/>
    </row>
    <row r="297" spans="1:15" ht="22.15" customHeight="1" x14ac:dyDescent="0.2">
      <c r="A297" s="53" t="str">
        <f>IF(B297&lt;&gt;"",293,"")</f>
        <v/>
      </c>
      <c r="B297" s="53"/>
      <c r="C297" s="53" t="str">
        <f>IFERROR(VLOOKUP(B297,'👥 بيانات الموظفين'!B:C,2,0),"")</f>
        <v/>
      </c>
      <c r="D297" s="53" t="str">
        <f>IFERROR(VLOOKUP(B297,'👥 بيانات الموظفين'!B:E,4,0),"")</f>
        <v/>
      </c>
      <c r="E297" s="68"/>
      <c r="F297" s="68"/>
      <c r="G297" s="68"/>
      <c r="H297" s="68"/>
      <c r="I297" s="68"/>
      <c r="J297" s="68"/>
      <c r="K297" s="68" t="str">
        <f t="shared" si="12"/>
        <v/>
      </c>
      <c r="L297" s="53" t="str">
        <f t="shared" si="13"/>
        <v/>
      </c>
      <c r="M297" s="62" t="str">
        <f t="shared" si="14"/>
        <v/>
      </c>
      <c r="N297" s="54" t="str">
        <f>IF(K297="","",IF(K297&gt;=90,IFERROR(VLOOKUP(B297,'👥 بيانات الموظفين'!B:H,7,0),0)*0.15,IF(K297&gt;=75,IFERROR(VLOOKUP(B297,'👥 بيانات الموظفين'!B:H,7,0),0)*0.1,IF(K297&gt;=60,IFERROR(VLOOKUP(B297,'👥 بيانات الموظفين'!B:H,7,0),0)*0.05,0))))</f>
        <v/>
      </c>
      <c r="O297" s="98"/>
    </row>
    <row r="298" spans="1:15" ht="22.15" customHeight="1" x14ac:dyDescent="0.2">
      <c r="A298" s="57" t="str">
        <f>IF(B298&lt;&gt;"",294,"")</f>
        <v/>
      </c>
      <c r="B298" s="57"/>
      <c r="C298" s="57" t="str">
        <f>IFERROR(VLOOKUP(B298,'👥 بيانات الموظفين'!B:C,2,0),"")</f>
        <v/>
      </c>
      <c r="D298" s="57" t="str">
        <f>IFERROR(VLOOKUP(B298,'👥 بيانات الموظفين'!B:E,4,0),"")</f>
        <v/>
      </c>
      <c r="E298" s="69"/>
      <c r="F298" s="69"/>
      <c r="G298" s="69"/>
      <c r="H298" s="69"/>
      <c r="I298" s="69"/>
      <c r="J298" s="69"/>
      <c r="K298" s="69" t="str">
        <f t="shared" si="12"/>
        <v/>
      </c>
      <c r="L298" s="57" t="str">
        <f t="shared" si="13"/>
        <v/>
      </c>
      <c r="M298" s="63" t="str">
        <f t="shared" si="14"/>
        <v/>
      </c>
      <c r="N298" s="58" t="str">
        <f>IF(K298="","",IF(K298&gt;=90,IFERROR(VLOOKUP(B298,'👥 بيانات الموظفين'!B:H,7,0),0)*0.15,IF(K298&gt;=75,IFERROR(VLOOKUP(B298,'👥 بيانات الموظفين'!B:H,7,0),0)*0.1,IF(K298&gt;=60,IFERROR(VLOOKUP(B298,'👥 بيانات الموظفين'!B:H,7,0),0)*0.05,0))))</f>
        <v/>
      </c>
      <c r="O298" s="99"/>
    </row>
    <row r="299" spans="1:15" ht="22.15" customHeight="1" x14ac:dyDescent="0.2">
      <c r="A299" s="53" t="str">
        <f>IF(B299&lt;&gt;"",295,"")</f>
        <v/>
      </c>
      <c r="B299" s="53"/>
      <c r="C299" s="53" t="str">
        <f>IFERROR(VLOOKUP(B299,'👥 بيانات الموظفين'!B:C,2,0),"")</f>
        <v/>
      </c>
      <c r="D299" s="53" t="str">
        <f>IFERROR(VLOOKUP(B299,'👥 بيانات الموظفين'!B:E,4,0),"")</f>
        <v/>
      </c>
      <c r="E299" s="68"/>
      <c r="F299" s="68"/>
      <c r="G299" s="68"/>
      <c r="H299" s="68"/>
      <c r="I299" s="68"/>
      <c r="J299" s="68"/>
      <c r="K299" s="68" t="str">
        <f t="shared" si="12"/>
        <v/>
      </c>
      <c r="L299" s="53" t="str">
        <f t="shared" si="13"/>
        <v/>
      </c>
      <c r="M299" s="62" t="str">
        <f t="shared" si="14"/>
        <v/>
      </c>
      <c r="N299" s="54" t="str">
        <f>IF(K299="","",IF(K299&gt;=90,IFERROR(VLOOKUP(B299,'👥 بيانات الموظفين'!B:H,7,0),0)*0.15,IF(K299&gt;=75,IFERROR(VLOOKUP(B299,'👥 بيانات الموظفين'!B:H,7,0),0)*0.1,IF(K299&gt;=60,IFERROR(VLOOKUP(B299,'👥 بيانات الموظفين'!B:H,7,0),0)*0.05,0))))</f>
        <v/>
      </c>
      <c r="O299" s="98"/>
    </row>
    <row r="300" spans="1:15" ht="22.15" customHeight="1" x14ac:dyDescent="0.2">
      <c r="A300" s="57" t="str">
        <f>IF(B300&lt;&gt;"",296,"")</f>
        <v/>
      </c>
      <c r="B300" s="57"/>
      <c r="C300" s="57" t="str">
        <f>IFERROR(VLOOKUP(B300,'👥 بيانات الموظفين'!B:C,2,0),"")</f>
        <v/>
      </c>
      <c r="D300" s="57" t="str">
        <f>IFERROR(VLOOKUP(B300,'👥 بيانات الموظفين'!B:E,4,0),"")</f>
        <v/>
      </c>
      <c r="E300" s="69"/>
      <c r="F300" s="69"/>
      <c r="G300" s="69"/>
      <c r="H300" s="69"/>
      <c r="I300" s="69"/>
      <c r="J300" s="69"/>
      <c r="K300" s="69" t="str">
        <f t="shared" si="12"/>
        <v/>
      </c>
      <c r="L300" s="57" t="str">
        <f t="shared" si="13"/>
        <v/>
      </c>
      <c r="M300" s="63" t="str">
        <f t="shared" si="14"/>
        <v/>
      </c>
      <c r="N300" s="58" t="str">
        <f>IF(K300="","",IF(K300&gt;=90,IFERROR(VLOOKUP(B300,'👥 بيانات الموظفين'!B:H,7,0),0)*0.15,IF(K300&gt;=75,IFERROR(VLOOKUP(B300,'👥 بيانات الموظفين'!B:H,7,0),0)*0.1,IF(K300&gt;=60,IFERROR(VLOOKUP(B300,'👥 بيانات الموظفين'!B:H,7,0),0)*0.05,0))))</f>
        <v/>
      </c>
      <c r="O300" s="99"/>
    </row>
    <row r="301" spans="1:15" ht="22.15" customHeight="1" x14ac:dyDescent="0.2">
      <c r="A301" s="53" t="str">
        <f>IF(B301&lt;&gt;"",297,"")</f>
        <v/>
      </c>
      <c r="B301" s="53"/>
      <c r="C301" s="53" t="str">
        <f>IFERROR(VLOOKUP(B301,'👥 بيانات الموظفين'!B:C,2,0),"")</f>
        <v/>
      </c>
      <c r="D301" s="53" t="str">
        <f>IFERROR(VLOOKUP(B301,'👥 بيانات الموظفين'!B:E,4,0),"")</f>
        <v/>
      </c>
      <c r="E301" s="68"/>
      <c r="F301" s="68"/>
      <c r="G301" s="68"/>
      <c r="H301" s="68"/>
      <c r="I301" s="68"/>
      <c r="J301" s="68"/>
      <c r="K301" s="68" t="str">
        <f t="shared" si="12"/>
        <v/>
      </c>
      <c r="L301" s="53" t="str">
        <f t="shared" si="13"/>
        <v/>
      </c>
      <c r="M301" s="62" t="str">
        <f t="shared" si="14"/>
        <v/>
      </c>
      <c r="N301" s="54" t="str">
        <f>IF(K301="","",IF(K301&gt;=90,IFERROR(VLOOKUP(B301,'👥 بيانات الموظفين'!B:H,7,0),0)*0.15,IF(K301&gt;=75,IFERROR(VLOOKUP(B301,'👥 بيانات الموظفين'!B:H,7,0),0)*0.1,IF(K301&gt;=60,IFERROR(VLOOKUP(B301,'👥 بيانات الموظفين'!B:H,7,0),0)*0.05,0))))</f>
        <v/>
      </c>
      <c r="O301" s="98"/>
    </row>
    <row r="302" spans="1:15" ht="22.15" customHeight="1" x14ac:dyDescent="0.2">
      <c r="A302" s="57" t="str">
        <f>IF(B302&lt;&gt;"",298,"")</f>
        <v/>
      </c>
      <c r="B302" s="57"/>
      <c r="C302" s="57" t="str">
        <f>IFERROR(VLOOKUP(B302,'👥 بيانات الموظفين'!B:C,2,0),"")</f>
        <v/>
      </c>
      <c r="D302" s="57" t="str">
        <f>IFERROR(VLOOKUP(B302,'👥 بيانات الموظفين'!B:E,4,0),"")</f>
        <v/>
      </c>
      <c r="E302" s="69"/>
      <c r="F302" s="69"/>
      <c r="G302" s="69"/>
      <c r="H302" s="69"/>
      <c r="I302" s="69"/>
      <c r="J302" s="69"/>
      <c r="K302" s="69" t="str">
        <f t="shared" si="12"/>
        <v/>
      </c>
      <c r="L302" s="57" t="str">
        <f t="shared" si="13"/>
        <v/>
      </c>
      <c r="M302" s="63" t="str">
        <f t="shared" si="14"/>
        <v/>
      </c>
      <c r="N302" s="58" t="str">
        <f>IF(K302="","",IF(K302&gt;=90,IFERROR(VLOOKUP(B302,'👥 بيانات الموظفين'!B:H,7,0),0)*0.15,IF(K302&gt;=75,IFERROR(VLOOKUP(B302,'👥 بيانات الموظفين'!B:H,7,0),0)*0.1,IF(K302&gt;=60,IFERROR(VLOOKUP(B302,'👥 بيانات الموظفين'!B:H,7,0),0)*0.05,0))))</f>
        <v/>
      </c>
      <c r="O302" s="99"/>
    </row>
    <row r="303" spans="1:15" ht="22.15" customHeight="1" x14ac:dyDescent="0.2">
      <c r="A303" s="53" t="str">
        <f>IF(B303&lt;&gt;"",299,"")</f>
        <v/>
      </c>
      <c r="B303" s="53"/>
      <c r="C303" s="53" t="str">
        <f>IFERROR(VLOOKUP(B303,'👥 بيانات الموظفين'!B:C,2,0),"")</f>
        <v/>
      </c>
      <c r="D303" s="53" t="str">
        <f>IFERROR(VLOOKUP(B303,'👥 بيانات الموظفين'!B:E,4,0),"")</f>
        <v/>
      </c>
      <c r="E303" s="68"/>
      <c r="F303" s="68"/>
      <c r="G303" s="68"/>
      <c r="H303" s="68"/>
      <c r="I303" s="68"/>
      <c r="J303" s="68"/>
      <c r="K303" s="68" t="str">
        <f t="shared" si="12"/>
        <v/>
      </c>
      <c r="L303" s="53" t="str">
        <f t="shared" si="13"/>
        <v/>
      </c>
      <c r="M303" s="62" t="str">
        <f t="shared" si="14"/>
        <v/>
      </c>
      <c r="N303" s="54" t="str">
        <f>IF(K303="","",IF(K303&gt;=90,IFERROR(VLOOKUP(B303,'👥 بيانات الموظفين'!B:H,7,0),0)*0.15,IF(K303&gt;=75,IFERROR(VLOOKUP(B303,'👥 بيانات الموظفين'!B:H,7,0),0)*0.1,IF(K303&gt;=60,IFERROR(VLOOKUP(B303,'👥 بيانات الموظفين'!B:H,7,0),0)*0.05,0))))</f>
        <v/>
      </c>
      <c r="O303" s="98"/>
    </row>
    <row r="304" spans="1:15" ht="22.15" customHeight="1" x14ac:dyDescent="0.2">
      <c r="A304" s="57" t="str">
        <f>IF(B304&lt;&gt;"",300,"")</f>
        <v/>
      </c>
      <c r="B304" s="57"/>
      <c r="C304" s="57" t="str">
        <f>IFERROR(VLOOKUP(B304,'👥 بيانات الموظفين'!B:C,2,0),"")</f>
        <v/>
      </c>
      <c r="D304" s="57" t="str">
        <f>IFERROR(VLOOKUP(B304,'👥 بيانات الموظفين'!B:E,4,0),"")</f>
        <v/>
      </c>
      <c r="E304" s="69"/>
      <c r="F304" s="69"/>
      <c r="G304" s="69"/>
      <c r="H304" s="69"/>
      <c r="I304" s="69"/>
      <c r="J304" s="69"/>
      <c r="K304" s="69" t="str">
        <f t="shared" si="12"/>
        <v/>
      </c>
      <c r="L304" s="57" t="str">
        <f t="shared" si="13"/>
        <v/>
      </c>
      <c r="M304" s="63" t="str">
        <f t="shared" si="14"/>
        <v/>
      </c>
      <c r="N304" s="58" t="str">
        <f>IF(K304="","",IF(K304&gt;=90,IFERROR(VLOOKUP(B304,'👥 بيانات الموظفين'!B:H,7,0),0)*0.15,IF(K304&gt;=75,IFERROR(VLOOKUP(B304,'👥 بيانات الموظفين'!B:H,7,0),0)*0.1,IF(K304&gt;=60,IFERROR(VLOOKUP(B304,'👥 بيانات الموظفين'!B:H,7,0),0)*0.05,0))))</f>
        <v/>
      </c>
      <c r="O304" s="99"/>
    </row>
  </sheetData>
  <mergeCells count="2">
    <mergeCell ref="A1:Z1"/>
    <mergeCell ref="A2:Z2"/>
  </mergeCells>
  <conditionalFormatting sqref="K5:K304">
    <cfRule type="dataBar" priority="1">
      <dataBar>
        <cfvo type="min"/>
        <cfvo type="max"/>
        <color rgb="FF312E81"/>
      </dataBar>
      <extLst>
        <ext xmlns:x14="http://schemas.microsoft.com/office/spreadsheetml/2009/9/main" uri="{B025F937-C7B1-47D3-B67F-A62EFF666E3E}">
          <x14:id>{B54525D9-87BD-4BE3-9DCC-AEBEB78050DF}</x14:id>
        </ext>
      </extLst>
    </cfRule>
  </conditionalFormatting>
  <dataValidations count="1">
    <dataValidation type="list" allowBlank="1" sqref="E5:E300" xr:uid="{00000000-0002-0000-0600-000000000000}">
      <formula1>"Q1-2026,Q2-2026,Q3-2026,Q4-2026,Q1-2027"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4525D9-87BD-4BE3-9DCC-AEBEB78050DF}">
            <x14:dataBar minLength="0" maxLength="100" negativeBarColorSameAsPositive="1" axisPosition="none">
              <x14:cfvo type="min"/>
              <x14:cfvo type="max"/>
            </x14:dataBar>
          </x14:cfRule>
          <xm:sqref>K5:K304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293B"/>
  </sheetPr>
  <dimension ref="A1:Z304"/>
  <sheetViews>
    <sheetView showGridLines="0" rightToLeft="1" zoomScaleNormal="100"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sqref="A1:Z1"/>
    </sheetView>
  </sheetViews>
  <sheetFormatPr defaultRowHeight="14.25" x14ac:dyDescent="0.2"/>
  <cols>
    <col min="1" max="1" width="5.625" customWidth="1"/>
    <col min="2" max="3" width="14.625" customWidth="1"/>
    <col min="4" max="4" width="18.625" customWidth="1"/>
    <col min="5" max="5" width="22.625" customWidth="1"/>
    <col min="6" max="7" width="18.625" customWidth="1"/>
    <col min="8" max="8" width="14.625" customWidth="1"/>
    <col min="9" max="9" width="18.625" customWidth="1"/>
    <col min="10" max="13" width="14.625" customWidth="1"/>
    <col min="14" max="14" width="24.625" customWidth="1"/>
    <col min="15" max="15" width="25" customWidth="1"/>
  </cols>
  <sheetData>
    <row r="1" spans="1:26" ht="38.1" customHeight="1" x14ac:dyDescent="0.2">
      <c r="A1" s="191" t="s">
        <v>130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20.100000000000001" customHeight="1" x14ac:dyDescent="0.2">
      <c r="A2" s="192" t="s">
        <v>131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4" spans="1:26" ht="36" customHeight="1" x14ac:dyDescent="0.2">
      <c r="A4" s="35" t="s">
        <v>45</v>
      </c>
      <c r="B4" s="35" t="s">
        <v>132</v>
      </c>
      <c r="C4" s="35" t="s">
        <v>49</v>
      </c>
      <c r="D4" s="35" t="s">
        <v>10</v>
      </c>
      <c r="E4" s="35" t="s">
        <v>133</v>
      </c>
      <c r="F4" s="35" t="s">
        <v>134</v>
      </c>
      <c r="G4" s="35" t="s">
        <v>135</v>
      </c>
      <c r="H4" s="35" t="s">
        <v>136</v>
      </c>
      <c r="I4" s="35" t="s">
        <v>137</v>
      </c>
      <c r="J4" s="35" t="s">
        <v>138</v>
      </c>
      <c r="K4" s="35" t="s">
        <v>139</v>
      </c>
      <c r="L4" s="35" t="s">
        <v>140</v>
      </c>
      <c r="M4" s="35" t="s">
        <v>141</v>
      </c>
      <c r="N4" s="35" t="s">
        <v>50</v>
      </c>
      <c r="O4" s="101" t="s">
        <v>62</v>
      </c>
    </row>
    <row r="5" spans="1:26" ht="22.15" customHeight="1" x14ac:dyDescent="0.2">
      <c r="A5" s="53">
        <v>1</v>
      </c>
      <c r="B5" s="53" t="s">
        <v>486</v>
      </c>
      <c r="C5" s="55">
        <f>DATEVALUE("2026-02-10")</f>
        <v>46063</v>
      </c>
      <c r="D5" s="53" t="s">
        <v>487</v>
      </c>
      <c r="E5" s="53" t="s">
        <v>271</v>
      </c>
      <c r="F5" s="53" t="s">
        <v>488</v>
      </c>
      <c r="G5" s="55">
        <f>DATEVALUE("2026-01-25")</f>
        <v>46047</v>
      </c>
      <c r="H5" s="53" t="s">
        <v>489</v>
      </c>
      <c r="I5" s="53">
        <v>7000</v>
      </c>
      <c r="J5" s="62">
        <v>6500</v>
      </c>
      <c r="K5" s="62">
        <f>DATEVALUE("2026-02-01")</f>
        <v>46054</v>
      </c>
      <c r="L5" s="54" t="s">
        <v>20</v>
      </c>
      <c r="M5" s="55" t="s">
        <v>490</v>
      </c>
      <c r="N5" s="53" t="s">
        <v>491</v>
      </c>
      <c r="O5" s="98"/>
    </row>
    <row r="6" spans="1:26" ht="22.15" customHeight="1" x14ac:dyDescent="0.2">
      <c r="A6" s="57">
        <v>2</v>
      </c>
      <c r="B6" s="57" t="s">
        <v>492</v>
      </c>
      <c r="C6" s="59">
        <f>DATEVALUE("2025-12-15")</f>
        <v>46006</v>
      </c>
      <c r="D6" s="57" t="s">
        <v>487</v>
      </c>
      <c r="E6" s="57" t="s">
        <v>276</v>
      </c>
      <c r="F6" s="57" t="s">
        <v>493</v>
      </c>
      <c r="G6" s="59">
        <f>DATEVALUE("2026-01-10")</f>
        <v>46032</v>
      </c>
      <c r="H6" s="57" t="s">
        <v>489</v>
      </c>
      <c r="I6" s="57">
        <v>6500</v>
      </c>
      <c r="J6" s="63">
        <v>6000</v>
      </c>
      <c r="K6" s="63">
        <f>DATEVALUE("2026-01-15")</f>
        <v>46037</v>
      </c>
      <c r="L6" s="58" t="s">
        <v>18</v>
      </c>
      <c r="M6" s="59" t="s">
        <v>490</v>
      </c>
      <c r="N6" s="57" t="s">
        <v>494</v>
      </c>
      <c r="O6" s="99"/>
    </row>
    <row r="7" spans="1:26" ht="22.15" customHeight="1" x14ac:dyDescent="0.2">
      <c r="A7" s="53">
        <v>3</v>
      </c>
      <c r="B7" s="53" t="s">
        <v>495</v>
      </c>
      <c r="C7" s="55">
        <f>DATEVALUE("2026-03-01")</f>
        <v>46082</v>
      </c>
      <c r="D7" s="53" t="s">
        <v>496</v>
      </c>
      <c r="E7" s="53" t="s">
        <v>497</v>
      </c>
      <c r="F7" s="53" t="s">
        <v>488</v>
      </c>
      <c r="G7" s="55">
        <f>DATEVALUE("2026-04-15")</f>
        <v>46127</v>
      </c>
      <c r="H7" s="53" t="s">
        <v>498</v>
      </c>
      <c r="I7" s="53">
        <v>14000</v>
      </c>
      <c r="J7" s="62"/>
      <c r="K7" s="62"/>
      <c r="L7" s="54" t="s">
        <v>20</v>
      </c>
      <c r="M7" s="55" t="s">
        <v>65</v>
      </c>
      <c r="N7" s="53" t="s">
        <v>499</v>
      </c>
      <c r="O7" s="98"/>
    </row>
    <row r="8" spans="1:26" ht="22.15" customHeight="1" x14ac:dyDescent="0.2">
      <c r="A8" s="57">
        <v>4</v>
      </c>
      <c r="B8" s="57" t="s">
        <v>495</v>
      </c>
      <c r="C8" s="59">
        <f>DATEVALUE("2026-03-01")</f>
        <v>46082</v>
      </c>
      <c r="D8" s="57" t="s">
        <v>500</v>
      </c>
      <c r="E8" s="57" t="s">
        <v>501</v>
      </c>
      <c r="F8" s="57" t="s">
        <v>502</v>
      </c>
      <c r="G8" s="59"/>
      <c r="H8" s="57"/>
      <c r="I8" s="57">
        <v>12000</v>
      </c>
      <c r="J8" s="63"/>
      <c r="K8" s="63"/>
      <c r="L8" s="58" t="s">
        <v>20</v>
      </c>
      <c r="M8" s="59" t="s">
        <v>65</v>
      </c>
      <c r="N8" s="57" t="s">
        <v>503</v>
      </c>
      <c r="O8" s="99"/>
    </row>
    <row r="9" spans="1:26" ht="22.15" customHeight="1" x14ac:dyDescent="0.2">
      <c r="A9" s="53">
        <v>5</v>
      </c>
      <c r="B9" s="53" t="s">
        <v>504</v>
      </c>
      <c r="C9" s="55">
        <f>DATEVALUE("2026-03-15")</f>
        <v>46096</v>
      </c>
      <c r="D9" s="53" t="s">
        <v>505</v>
      </c>
      <c r="E9" s="53" t="s">
        <v>506</v>
      </c>
      <c r="F9" s="53" t="s">
        <v>507</v>
      </c>
      <c r="G9" s="55">
        <f>DATEVALUE("2026-04-05")</f>
        <v>46117</v>
      </c>
      <c r="H9" s="53" t="s">
        <v>489</v>
      </c>
      <c r="I9" s="53">
        <v>11000</v>
      </c>
      <c r="J9" s="62">
        <v>10000</v>
      </c>
      <c r="K9" s="62"/>
      <c r="L9" s="54" t="s">
        <v>17</v>
      </c>
      <c r="M9" s="55" t="s">
        <v>65</v>
      </c>
      <c r="N9" s="53" t="s">
        <v>508</v>
      </c>
      <c r="O9" s="98"/>
    </row>
    <row r="10" spans="1:26" ht="22.15" customHeight="1" x14ac:dyDescent="0.2">
      <c r="A10" s="57">
        <v>6</v>
      </c>
      <c r="B10" s="57" t="s">
        <v>509</v>
      </c>
      <c r="C10" s="59">
        <f>DATEVALUE("2026-04-01")</f>
        <v>46113</v>
      </c>
      <c r="D10" s="57" t="s">
        <v>510</v>
      </c>
      <c r="E10" s="57" t="s">
        <v>511</v>
      </c>
      <c r="F10" s="57" t="s">
        <v>488</v>
      </c>
      <c r="G10" s="59">
        <f>DATEVALUE("2026-04-20")</f>
        <v>46132</v>
      </c>
      <c r="H10" s="57"/>
      <c r="I10" s="57">
        <v>9000</v>
      </c>
      <c r="J10" s="63"/>
      <c r="K10" s="63"/>
      <c r="L10" s="58" t="s">
        <v>22</v>
      </c>
      <c r="M10" s="59" t="s">
        <v>65</v>
      </c>
      <c r="N10" s="57" t="s">
        <v>512</v>
      </c>
      <c r="O10" s="99"/>
    </row>
    <row r="11" spans="1:26" ht="22.15" customHeight="1" x14ac:dyDescent="0.2">
      <c r="A11" s="53">
        <v>7</v>
      </c>
      <c r="B11" s="53" t="s">
        <v>509</v>
      </c>
      <c r="C11" s="55">
        <f>DATEVALUE("2026-04-01")</f>
        <v>46113</v>
      </c>
      <c r="D11" s="53" t="s">
        <v>500</v>
      </c>
      <c r="E11" s="53" t="s">
        <v>513</v>
      </c>
      <c r="F11" s="53" t="s">
        <v>493</v>
      </c>
      <c r="G11" s="55"/>
      <c r="H11" s="53"/>
      <c r="I11" s="53">
        <v>8500</v>
      </c>
      <c r="J11" s="62"/>
      <c r="K11" s="62"/>
      <c r="L11" s="54" t="s">
        <v>22</v>
      </c>
      <c r="M11" s="55" t="s">
        <v>65</v>
      </c>
      <c r="N11" s="53"/>
      <c r="O11" s="98"/>
    </row>
    <row r="12" spans="1:26" ht="22.15" customHeight="1" x14ac:dyDescent="0.2">
      <c r="A12" s="57">
        <v>8</v>
      </c>
      <c r="B12" s="57" t="s">
        <v>509</v>
      </c>
      <c r="C12" s="59">
        <f>DATEVALUE("2026-04-01")</f>
        <v>46113</v>
      </c>
      <c r="D12" s="57" t="s">
        <v>496</v>
      </c>
      <c r="E12" s="57" t="s">
        <v>514</v>
      </c>
      <c r="F12" s="57" t="s">
        <v>488</v>
      </c>
      <c r="G12" s="59">
        <f>DATEVALUE("2026-04-22")</f>
        <v>46134</v>
      </c>
      <c r="H12" s="57" t="s">
        <v>498</v>
      </c>
      <c r="I12" s="57">
        <v>10000</v>
      </c>
      <c r="J12" s="63"/>
      <c r="K12" s="63"/>
      <c r="L12" s="58" t="s">
        <v>22</v>
      </c>
      <c r="M12" s="59" t="s">
        <v>65</v>
      </c>
      <c r="N12" s="57" t="s">
        <v>515</v>
      </c>
      <c r="O12" s="99"/>
    </row>
    <row r="13" spans="1:26" ht="22.15" customHeight="1" x14ac:dyDescent="0.2">
      <c r="A13" s="53">
        <v>9</v>
      </c>
      <c r="B13" s="53" t="s">
        <v>516</v>
      </c>
      <c r="C13" s="55">
        <f>DATEVALUE("2026-02-01")</f>
        <v>46054</v>
      </c>
      <c r="D13" s="53" t="s">
        <v>517</v>
      </c>
      <c r="E13" s="53" t="s">
        <v>518</v>
      </c>
      <c r="F13" s="53" t="s">
        <v>519</v>
      </c>
      <c r="G13" s="55">
        <f>DATEVALUE("2026-02-20")</f>
        <v>46073</v>
      </c>
      <c r="H13" s="53" t="s">
        <v>520</v>
      </c>
      <c r="I13" s="53">
        <v>15000</v>
      </c>
      <c r="J13" s="62"/>
      <c r="K13" s="62"/>
      <c r="L13" s="54" t="s">
        <v>20</v>
      </c>
      <c r="M13" s="55" t="s">
        <v>490</v>
      </c>
      <c r="N13" s="53" t="s">
        <v>521</v>
      </c>
      <c r="O13" s="98"/>
    </row>
    <row r="14" spans="1:26" ht="22.15" customHeight="1" x14ac:dyDescent="0.2">
      <c r="A14" s="57">
        <v>10</v>
      </c>
      <c r="B14" s="57" t="s">
        <v>522</v>
      </c>
      <c r="C14" s="59">
        <f>DATEVALUE("2026-03-10")</f>
        <v>46091</v>
      </c>
      <c r="D14" s="57" t="s">
        <v>523</v>
      </c>
      <c r="E14" s="57" t="s">
        <v>524</v>
      </c>
      <c r="F14" s="57" t="s">
        <v>488</v>
      </c>
      <c r="G14" s="59">
        <f>DATEVALUE("2026-03-25")</f>
        <v>46106</v>
      </c>
      <c r="H14" s="57" t="s">
        <v>489</v>
      </c>
      <c r="I14" s="57">
        <v>13000</v>
      </c>
      <c r="J14" s="63">
        <v>11500</v>
      </c>
      <c r="K14" s="63"/>
      <c r="L14" s="58" t="s">
        <v>20</v>
      </c>
      <c r="M14" s="59" t="s">
        <v>490</v>
      </c>
      <c r="N14" s="57" t="s">
        <v>525</v>
      </c>
      <c r="O14" s="99"/>
    </row>
    <row r="15" spans="1:26" ht="22.15" customHeight="1" x14ac:dyDescent="0.2">
      <c r="A15" s="53">
        <v>11</v>
      </c>
      <c r="B15" s="53" t="s">
        <v>526</v>
      </c>
      <c r="C15" s="55">
        <f>DATEVALUE("2026-04-05")</f>
        <v>46117</v>
      </c>
      <c r="D15" s="53" t="s">
        <v>500</v>
      </c>
      <c r="E15" s="53" t="s">
        <v>527</v>
      </c>
      <c r="F15" s="53" t="s">
        <v>493</v>
      </c>
      <c r="G15" s="55"/>
      <c r="H15" s="53"/>
      <c r="I15" s="53">
        <v>8000</v>
      </c>
      <c r="J15" s="62"/>
      <c r="K15" s="62"/>
      <c r="L15" s="54" t="s">
        <v>19</v>
      </c>
      <c r="M15" s="55" t="s">
        <v>65</v>
      </c>
      <c r="N15" s="53" t="s">
        <v>528</v>
      </c>
      <c r="O15" s="98"/>
    </row>
    <row r="16" spans="1:26" ht="22.15" customHeight="1" x14ac:dyDescent="0.2">
      <c r="A16" s="57">
        <v>12</v>
      </c>
      <c r="B16" s="57" t="s">
        <v>526</v>
      </c>
      <c r="C16" s="59">
        <f>DATEVALUE("2026-04-05")</f>
        <v>46117</v>
      </c>
      <c r="D16" s="57" t="s">
        <v>510</v>
      </c>
      <c r="E16" s="57" t="s">
        <v>529</v>
      </c>
      <c r="F16" s="57" t="s">
        <v>507</v>
      </c>
      <c r="G16" s="59">
        <f>DATEVALUE("2026-04-18")</f>
        <v>46130</v>
      </c>
      <c r="H16" s="57" t="s">
        <v>489</v>
      </c>
      <c r="I16" s="57">
        <v>7500</v>
      </c>
      <c r="J16" s="63">
        <v>7000</v>
      </c>
      <c r="K16" s="63"/>
      <c r="L16" s="58" t="s">
        <v>19</v>
      </c>
      <c r="M16" s="59" t="s">
        <v>65</v>
      </c>
      <c r="N16" s="57" t="s">
        <v>530</v>
      </c>
      <c r="O16" s="99"/>
    </row>
    <row r="17" spans="1:15" ht="22.15" customHeight="1" x14ac:dyDescent="0.2">
      <c r="A17" s="53" t="str">
        <f>IF(B17&lt;&gt;"",13,"")</f>
        <v/>
      </c>
      <c r="B17" s="53"/>
      <c r="C17" s="55"/>
      <c r="D17" s="53"/>
      <c r="E17" s="53"/>
      <c r="F17" s="53"/>
      <c r="G17" s="55"/>
      <c r="H17" s="53"/>
      <c r="I17" s="53"/>
      <c r="J17" s="62"/>
      <c r="K17" s="62"/>
      <c r="L17" s="54"/>
      <c r="M17" s="55"/>
      <c r="N17" s="53"/>
      <c r="O17" s="98"/>
    </row>
    <row r="18" spans="1:15" ht="22.15" customHeight="1" x14ac:dyDescent="0.2">
      <c r="A18" s="57" t="str">
        <f>IF(B18&lt;&gt;"",14,"")</f>
        <v/>
      </c>
      <c r="B18" s="57"/>
      <c r="C18" s="59"/>
      <c r="D18" s="57"/>
      <c r="E18" s="57"/>
      <c r="F18" s="57"/>
      <c r="G18" s="59"/>
      <c r="H18" s="57"/>
      <c r="I18" s="57"/>
      <c r="J18" s="63"/>
      <c r="K18" s="63"/>
      <c r="L18" s="58"/>
      <c r="M18" s="59"/>
      <c r="N18" s="57"/>
      <c r="O18" s="99"/>
    </row>
    <row r="19" spans="1:15" ht="22.15" customHeight="1" x14ac:dyDescent="0.2">
      <c r="A19" s="53" t="str">
        <f>IF(B19&lt;&gt;"",15,"")</f>
        <v/>
      </c>
      <c r="B19" s="53"/>
      <c r="C19" s="55"/>
      <c r="D19" s="53"/>
      <c r="E19" s="53"/>
      <c r="F19" s="53"/>
      <c r="G19" s="55"/>
      <c r="H19" s="53"/>
      <c r="I19" s="53"/>
      <c r="J19" s="62"/>
      <c r="K19" s="62"/>
      <c r="L19" s="54"/>
      <c r="M19" s="55"/>
      <c r="N19" s="53"/>
      <c r="O19" s="98"/>
    </row>
    <row r="20" spans="1:15" ht="22.15" customHeight="1" x14ac:dyDescent="0.2">
      <c r="A20" s="57" t="str">
        <f>IF(B20&lt;&gt;"",16,"")</f>
        <v/>
      </c>
      <c r="B20" s="57"/>
      <c r="C20" s="59"/>
      <c r="D20" s="57"/>
      <c r="E20" s="57"/>
      <c r="F20" s="57"/>
      <c r="G20" s="59"/>
      <c r="H20" s="57"/>
      <c r="I20" s="57"/>
      <c r="J20" s="63"/>
      <c r="K20" s="63"/>
      <c r="L20" s="58"/>
      <c r="M20" s="59"/>
      <c r="N20" s="57"/>
      <c r="O20" s="99"/>
    </row>
    <row r="21" spans="1:15" ht="22.15" customHeight="1" x14ac:dyDescent="0.2">
      <c r="A21" s="53" t="str">
        <f>IF(B21&lt;&gt;"",17,"")</f>
        <v/>
      </c>
      <c r="B21" s="53"/>
      <c r="C21" s="55"/>
      <c r="D21" s="53"/>
      <c r="E21" s="53"/>
      <c r="F21" s="53"/>
      <c r="G21" s="55"/>
      <c r="H21" s="53"/>
      <c r="I21" s="53"/>
      <c r="J21" s="62"/>
      <c r="K21" s="62"/>
      <c r="L21" s="54"/>
      <c r="M21" s="55"/>
      <c r="N21" s="53"/>
      <c r="O21" s="98"/>
    </row>
    <row r="22" spans="1:15" ht="22.15" customHeight="1" x14ac:dyDescent="0.2">
      <c r="A22" s="57" t="str">
        <f>IF(B22&lt;&gt;"",18,"")</f>
        <v/>
      </c>
      <c r="B22" s="57"/>
      <c r="C22" s="59"/>
      <c r="D22" s="57"/>
      <c r="E22" s="57"/>
      <c r="F22" s="57"/>
      <c r="G22" s="59"/>
      <c r="H22" s="57"/>
      <c r="I22" s="57"/>
      <c r="J22" s="63"/>
      <c r="K22" s="63"/>
      <c r="L22" s="58"/>
      <c r="M22" s="59"/>
      <c r="N22" s="57"/>
      <c r="O22" s="99"/>
    </row>
    <row r="23" spans="1:15" ht="22.15" customHeight="1" x14ac:dyDescent="0.2">
      <c r="A23" s="53" t="str">
        <f>IF(B23&lt;&gt;"",19,"")</f>
        <v/>
      </c>
      <c r="B23" s="53"/>
      <c r="C23" s="55"/>
      <c r="D23" s="53"/>
      <c r="E23" s="53"/>
      <c r="F23" s="53"/>
      <c r="G23" s="55"/>
      <c r="H23" s="53"/>
      <c r="I23" s="53"/>
      <c r="J23" s="62"/>
      <c r="K23" s="62"/>
      <c r="L23" s="54"/>
      <c r="M23" s="55"/>
      <c r="N23" s="53"/>
      <c r="O23" s="98"/>
    </row>
    <row r="24" spans="1:15" ht="22.15" customHeight="1" x14ac:dyDescent="0.2">
      <c r="A24" s="57" t="str">
        <f>IF(B24&lt;&gt;"",20,"")</f>
        <v/>
      </c>
      <c r="B24" s="57"/>
      <c r="C24" s="59"/>
      <c r="D24" s="57"/>
      <c r="E24" s="57"/>
      <c r="F24" s="57"/>
      <c r="G24" s="59"/>
      <c r="H24" s="57"/>
      <c r="I24" s="57"/>
      <c r="J24" s="63"/>
      <c r="K24" s="63"/>
      <c r="L24" s="58"/>
      <c r="M24" s="59"/>
      <c r="N24" s="57"/>
      <c r="O24" s="99"/>
    </row>
    <row r="25" spans="1:15" ht="22.15" customHeight="1" x14ac:dyDescent="0.2">
      <c r="A25" s="53" t="str">
        <f>IF(B25&lt;&gt;"",21,"")</f>
        <v/>
      </c>
      <c r="B25" s="53"/>
      <c r="C25" s="55"/>
      <c r="D25" s="53"/>
      <c r="E25" s="53"/>
      <c r="F25" s="53"/>
      <c r="G25" s="55"/>
      <c r="H25" s="53"/>
      <c r="I25" s="53"/>
      <c r="J25" s="62"/>
      <c r="K25" s="62"/>
      <c r="L25" s="54"/>
      <c r="M25" s="55"/>
      <c r="N25" s="53"/>
      <c r="O25" s="98"/>
    </row>
    <row r="26" spans="1:15" ht="22.15" customHeight="1" x14ac:dyDescent="0.2">
      <c r="A26" s="57" t="str">
        <f>IF(B26&lt;&gt;"",22,"")</f>
        <v/>
      </c>
      <c r="B26" s="57"/>
      <c r="C26" s="59"/>
      <c r="D26" s="57"/>
      <c r="E26" s="57"/>
      <c r="F26" s="57"/>
      <c r="G26" s="59"/>
      <c r="H26" s="57"/>
      <c r="I26" s="57"/>
      <c r="J26" s="63"/>
      <c r="K26" s="63"/>
      <c r="L26" s="58"/>
      <c r="M26" s="59"/>
      <c r="N26" s="57"/>
      <c r="O26" s="99"/>
    </row>
    <row r="27" spans="1:15" ht="22.15" customHeight="1" x14ac:dyDescent="0.2">
      <c r="A27" s="53" t="str">
        <f>IF(B27&lt;&gt;"",23,"")</f>
        <v/>
      </c>
      <c r="B27" s="53"/>
      <c r="C27" s="55"/>
      <c r="D27" s="53"/>
      <c r="E27" s="53"/>
      <c r="F27" s="53"/>
      <c r="G27" s="55"/>
      <c r="H27" s="53"/>
      <c r="I27" s="53"/>
      <c r="J27" s="62"/>
      <c r="K27" s="62"/>
      <c r="L27" s="54"/>
      <c r="M27" s="55"/>
      <c r="N27" s="53"/>
      <c r="O27" s="98"/>
    </row>
    <row r="28" spans="1:15" ht="22.15" customHeight="1" x14ac:dyDescent="0.2">
      <c r="A28" s="57" t="str">
        <f>IF(B28&lt;&gt;"",24,"")</f>
        <v/>
      </c>
      <c r="B28" s="57"/>
      <c r="C28" s="59"/>
      <c r="D28" s="57"/>
      <c r="E28" s="57"/>
      <c r="F28" s="57"/>
      <c r="G28" s="59"/>
      <c r="H28" s="57"/>
      <c r="I28" s="57"/>
      <c r="J28" s="63"/>
      <c r="K28" s="63"/>
      <c r="L28" s="58"/>
      <c r="M28" s="59"/>
      <c r="N28" s="57"/>
      <c r="O28" s="99"/>
    </row>
    <row r="29" spans="1:15" ht="22.15" customHeight="1" x14ac:dyDescent="0.2">
      <c r="A29" s="53" t="str">
        <f>IF(B29&lt;&gt;"",25,"")</f>
        <v/>
      </c>
      <c r="B29" s="53"/>
      <c r="C29" s="55"/>
      <c r="D29" s="53"/>
      <c r="E29" s="53"/>
      <c r="F29" s="53"/>
      <c r="G29" s="55"/>
      <c r="H29" s="53"/>
      <c r="I29" s="53"/>
      <c r="J29" s="62"/>
      <c r="K29" s="62"/>
      <c r="L29" s="54"/>
      <c r="M29" s="55"/>
      <c r="N29" s="53"/>
      <c r="O29" s="98"/>
    </row>
    <row r="30" spans="1:15" ht="22.15" customHeight="1" x14ac:dyDescent="0.2">
      <c r="A30" s="57" t="str">
        <f>IF(B30&lt;&gt;"",26,"")</f>
        <v/>
      </c>
      <c r="B30" s="57"/>
      <c r="C30" s="59"/>
      <c r="D30" s="57"/>
      <c r="E30" s="57"/>
      <c r="F30" s="57"/>
      <c r="G30" s="59"/>
      <c r="H30" s="57"/>
      <c r="I30" s="57"/>
      <c r="J30" s="63"/>
      <c r="K30" s="63"/>
      <c r="L30" s="58"/>
      <c r="M30" s="59"/>
      <c r="N30" s="57"/>
      <c r="O30" s="99"/>
    </row>
    <row r="31" spans="1:15" ht="22.15" customHeight="1" x14ac:dyDescent="0.2">
      <c r="A31" s="53" t="str">
        <f>IF(B31&lt;&gt;"",27,"")</f>
        <v/>
      </c>
      <c r="B31" s="53"/>
      <c r="C31" s="55"/>
      <c r="D31" s="53"/>
      <c r="E31" s="53"/>
      <c r="F31" s="53"/>
      <c r="G31" s="55"/>
      <c r="H31" s="53"/>
      <c r="I31" s="53"/>
      <c r="J31" s="62"/>
      <c r="K31" s="62"/>
      <c r="L31" s="54"/>
      <c r="M31" s="55"/>
      <c r="N31" s="53"/>
      <c r="O31" s="98"/>
    </row>
    <row r="32" spans="1:15" ht="22.15" customHeight="1" x14ac:dyDescent="0.2">
      <c r="A32" s="57" t="str">
        <f>IF(B32&lt;&gt;"",28,"")</f>
        <v/>
      </c>
      <c r="B32" s="57"/>
      <c r="C32" s="59"/>
      <c r="D32" s="57"/>
      <c r="E32" s="57"/>
      <c r="F32" s="57"/>
      <c r="G32" s="59"/>
      <c r="H32" s="57"/>
      <c r="I32" s="57"/>
      <c r="J32" s="63"/>
      <c r="K32" s="63"/>
      <c r="L32" s="58"/>
      <c r="M32" s="59"/>
      <c r="N32" s="57"/>
      <c r="O32" s="99"/>
    </row>
    <row r="33" spans="1:15" ht="22.15" customHeight="1" x14ac:dyDescent="0.2">
      <c r="A33" s="53" t="str">
        <f>IF(B33&lt;&gt;"",29,"")</f>
        <v/>
      </c>
      <c r="B33" s="53"/>
      <c r="C33" s="55"/>
      <c r="D33" s="53"/>
      <c r="E33" s="53"/>
      <c r="F33" s="53"/>
      <c r="G33" s="55"/>
      <c r="H33" s="53"/>
      <c r="I33" s="53"/>
      <c r="J33" s="62"/>
      <c r="K33" s="62"/>
      <c r="L33" s="54"/>
      <c r="M33" s="55"/>
      <c r="N33" s="53"/>
      <c r="O33" s="98"/>
    </row>
    <row r="34" spans="1:15" ht="22.15" customHeight="1" x14ac:dyDescent="0.2">
      <c r="A34" s="57" t="str">
        <f>IF(B34&lt;&gt;"",30,"")</f>
        <v/>
      </c>
      <c r="B34" s="57"/>
      <c r="C34" s="59"/>
      <c r="D34" s="57"/>
      <c r="E34" s="57"/>
      <c r="F34" s="57"/>
      <c r="G34" s="59"/>
      <c r="H34" s="57"/>
      <c r="I34" s="57"/>
      <c r="J34" s="63"/>
      <c r="K34" s="63"/>
      <c r="L34" s="58"/>
      <c r="M34" s="59"/>
      <c r="N34" s="57"/>
      <c r="O34" s="99"/>
    </row>
    <row r="35" spans="1:15" ht="22.15" customHeight="1" x14ac:dyDescent="0.2">
      <c r="A35" s="53" t="str">
        <f>IF(B35&lt;&gt;"",31,"")</f>
        <v/>
      </c>
      <c r="B35" s="53"/>
      <c r="C35" s="55"/>
      <c r="D35" s="53"/>
      <c r="E35" s="53"/>
      <c r="F35" s="53"/>
      <c r="G35" s="55"/>
      <c r="H35" s="53"/>
      <c r="I35" s="53"/>
      <c r="J35" s="62"/>
      <c r="K35" s="62"/>
      <c r="L35" s="54"/>
      <c r="M35" s="55"/>
      <c r="N35" s="53"/>
      <c r="O35" s="98"/>
    </row>
    <row r="36" spans="1:15" ht="22.15" customHeight="1" x14ac:dyDescent="0.2">
      <c r="A36" s="57" t="str">
        <f>IF(B36&lt;&gt;"",32,"")</f>
        <v/>
      </c>
      <c r="B36" s="57"/>
      <c r="C36" s="59"/>
      <c r="D36" s="57"/>
      <c r="E36" s="57"/>
      <c r="F36" s="57"/>
      <c r="G36" s="59"/>
      <c r="H36" s="57"/>
      <c r="I36" s="57"/>
      <c r="J36" s="63"/>
      <c r="K36" s="63"/>
      <c r="L36" s="58"/>
      <c r="M36" s="59"/>
      <c r="N36" s="57"/>
      <c r="O36" s="99"/>
    </row>
    <row r="37" spans="1:15" ht="22.15" customHeight="1" x14ac:dyDescent="0.2">
      <c r="A37" s="53" t="str">
        <f>IF(B37&lt;&gt;"",33,"")</f>
        <v/>
      </c>
      <c r="B37" s="53"/>
      <c r="C37" s="55"/>
      <c r="D37" s="53"/>
      <c r="E37" s="53"/>
      <c r="F37" s="53"/>
      <c r="G37" s="55"/>
      <c r="H37" s="53"/>
      <c r="I37" s="53"/>
      <c r="J37" s="62"/>
      <c r="K37" s="62"/>
      <c r="L37" s="54"/>
      <c r="M37" s="55"/>
      <c r="N37" s="53"/>
      <c r="O37" s="98"/>
    </row>
    <row r="38" spans="1:15" ht="22.15" customHeight="1" x14ac:dyDescent="0.2">
      <c r="A38" s="57" t="str">
        <f>IF(B38&lt;&gt;"",34,"")</f>
        <v/>
      </c>
      <c r="B38" s="57"/>
      <c r="C38" s="59"/>
      <c r="D38" s="57"/>
      <c r="E38" s="57"/>
      <c r="F38" s="57"/>
      <c r="G38" s="59"/>
      <c r="H38" s="57"/>
      <c r="I38" s="57"/>
      <c r="J38" s="63"/>
      <c r="K38" s="63"/>
      <c r="L38" s="58"/>
      <c r="M38" s="59"/>
      <c r="N38" s="57"/>
      <c r="O38" s="99"/>
    </row>
    <row r="39" spans="1:15" ht="22.15" customHeight="1" x14ac:dyDescent="0.2">
      <c r="A39" s="53" t="str">
        <f>IF(B39&lt;&gt;"",35,"")</f>
        <v/>
      </c>
      <c r="B39" s="53"/>
      <c r="C39" s="55"/>
      <c r="D39" s="53"/>
      <c r="E39" s="53"/>
      <c r="F39" s="53"/>
      <c r="G39" s="55"/>
      <c r="H39" s="53"/>
      <c r="I39" s="53"/>
      <c r="J39" s="62"/>
      <c r="K39" s="62"/>
      <c r="L39" s="54"/>
      <c r="M39" s="55"/>
      <c r="N39" s="53"/>
      <c r="O39" s="98"/>
    </row>
    <row r="40" spans="1:15" ht="22.15" customHeight="1" x14ac:dyDescent="0.2">
      <c r="A40" s="57" t="str">
        <f>IF(B40&lt;&gt;"",36,"")</f>
        <v/>
      </c>
      <c r="B40" s="57"/>
      <c r="C40" s="59"/>
      <c r="D40" s="57"/>
      <c r="E40" s="57"/>
      <c r="F40" s="57"/>
      <c r="G40" s="59"/>
      <c r="H40" s="57"/>
      <c r="I40" s="57"/>
      <c r="J40" s="63"/>
      <c r="K40" s="63"/>
      <c r="L40" s="58"/>
      <c r="M40" s="59"/>
      <c r="N40" s="57"/>
      <c r="O40" s="99"/>
    </row>
    <row r="41" spans="1:15" ht="22.15" customHeight="1" x14ac:dyDescent="0.2">
      <c r="A41" s="53" t="str">
        <f>IF(B41&lt;&gt;"",37,"")</f>
        <v/>
      </c>
      <c r="B41" s="53"/>
      <c r="C41" s="55"/>
      <c r="D41" s="53"/>
      <c r="E41" s="53"/>
      <c r="F41" s="53"/>
      <c r="G41" s="55"/>
      <c r="H41" s="53"/>
      <c r="I41" s="53"/>
      <c r="J41" s="62"/>
      <c r="K41" s="62"/>
      <c r="L41" s="54"/>
      <c r="M41" s="55"/>
      <c r="N41" s="53"/>
      <c r="O41" s="98"/>
    </row>
    <row r="42" spans="1:15" ht="22.15" customHeight="1" x14ac:dyDescent="0.2">
      <c r="A42" s="57" t="str">
        <f>IF(B42&lt;&gt;"",38,"")</f>
        <v/>
      </c>
      <c r="B42" s="57"/>
      <c r="C42" s="59"/>
      <c r="D42" s="57"/>
      <c r="E42" s="57"/>
      <c r="F42" s="57"/>
      <c r="G42" s="59"/>
      <c r="H42" s="57"/>
      <c r="I42" s="57"/>
      <c r="J42" s="63"/>
      <c r="K42" s="63"/>
      <c r="L42" s="58"/>
      <c r="M42" s="59"/>
      <c r="N42" s="57"/>
      <c r="O42" s="99"/>
    </row>
    <row r="43" spans="1:15" ht="22.15" customHeight="1" x14ac:dyDescent="0.2">
      <c r="A43" s="53" t="str">
        <f>IF(B43&lt;&gt;"",39,"")</f>
        <v/>
      </c>
      <c r="B43" s="53"/>
      <c r="C43" s="55"/>
      <c r="D43" s="53"/>
      <c r="E43" s="53"/>
      <c r="F43" s="53"/>
      <c r="G43" s="55"/>
      <c r="H43" s="53"/>
      <c r="I43" s="53"/>
      <c r="J43" s="62"/>
      <c r="K43" s="62"/>
      <c r="L43" s="54"/>
      <c r="M43" s="55"/>
      <c r="N43" s="53"/>
      <c r="O43" s="98"/>
    </row>
    <row r="44" spans="1:15" ht="22.15" customHeight="1" x14ac:dyDescent="0.2">
      <c r="A44" s="57" t="str">
        <f>IF(B44&lt;&gt;"",40,"")</f>
        <v/>
      </c>
      <c r="B44" s="57"/>
      <c r="C44" s="59"/>
      <c r="D44" s="57"/>
      <c r="E44" s="57"/>
      <c r="F44" s="57"/>
      <c r="G44" s="59"/>
      <c r="H44" s="57"/>
      <c r="I44" s="57"/>
      <c r="J44" s="63"/>
      <c r="K44" s="63"/>
      <c r="L44" s="58"/>
      <c r="M44" s="59"/>
      <c r="N44" s="57"/>
      <c r="O44" s="99"/>
    </row>
    <row r="45" spans="1:15" ht="22.15" customHeight="1" x14ac:dyDescent="0.2">
      <c r="A45" s="53" t="str">
        <f>IF(B45&lt;&gt;"",41,"")</f>
        <v/>
      </c>
      <c r="B45" s="53"/>
      <c r="C45" s="55"/>
      <c r="D45" s="53"/>
      <c r="E45" s="53"/>
      <c r="F45" s="53"/>
      <c r="G45" s="55"/>
      <c r="H45" s="53"/>
      <c r="I45" s="53"/>
      <c r="J45" s="62"/>
      <c r="K45" s="62"/>
      <c r="L45" s="54"/>
      <c r="M45" s="55"/>
      <c r="N45" s="53"/>
      <c r="O45" s="98"/>
    </row>
    <row r="46" spans="1:15" ht="22.15" customHeight="1" x14ac:dyDescent="0.2">
      <c r="A46" s="57" t="str">
        <f>IF(B46&lt;&gt;"",42,"")</f>
        <v/>
      </c>
      <c r="B46" s="57"/>
      <c r="C46" s="59"/>
      <c r="D46" s="57"/>
      <c r="E46" s="57"/>
      <c r="F46" s="57"/>
      <c r="G46" s="59"/>
      <c r="H46" s="57"/>
      <c r="I46" s="57"/>
      <c r="J46" s="63"/>
      <c r="K46" s="63"/>
      <c r="L46" s="58"/>
      <c r="M46" s="59"/>
      <c r="N46" s="57"/>
      <c r="O46" s="99"/>
    </row>
    <row r="47" spans="1:15" ht="22.15" customHeight="1" x14ac:dyDescent="0.2">
      <c r="A47" s="53" t="str">
        <f>IF(B47&lt;&gt;"",43,"")</f>
        <v/>
      </c>
      <c r="B47" s="53"/>
      <c r="C47" s="55"/>
      <c r="D47" s="53"/>
      <c r="E47" s="53"/>
      <c r="F47" s="53"/>
      <c r="G47" s="55"/>
      <c r="H47" s="53"/>
      <c r="I47" s="53"/>
      <c r="J47" s="62"/>
      <c r="K47" s="62"/>
      <c r="L47" s="54"/>
      <c r="M47" s="55"/>
      <c r="N47" s="53"/>
      <c r="O47" s="98"/>
    </row>
    <row r="48" spans="1:15" ht="22.15" customHeight="1" x14ac:dyDescent="0.2">
      <c r="A48" s="57" t="str">
        <f>IF(B48&lt;&gt;"",44,"")</f>
        <v/>
      </c>
      <c r="B48" s="57"/>
      <c r="C48" s="59"/>
      <c r="D48" s="57"/>
      <c r="E48" s="57"/>
      <c r="F48" s="57"/>
      <c r="G48" s="59"/>
      <c r="H48" s="57"/>
      <c r="I48" s="57"/>
      <c r="J48" s="63"/>
      <c r="K48" s="63"/>
      <c r="L48" s="58"/>
      <c r="M48" s="59"/>
      <c r="N48" s="57"/>
      <c r="O48" s="99"/>
    </row>
    <row r="49" spans="1:15" ht="22.15" customHeight="1" x14ac:dyDescent="0.2">
      <c r="A49" s="53" t="str">
        <f>IF(B49&lt;&gt;"",45,"")</f>
        <v/>
      </c>
      <c r="B49" s="53"/>
      <c r="C49" s="55"/>
      <c r="D49" s="53"/>
      <c r="E49" s="53"/>
      <c r="F49" s="53"/>
      <c r="G49" s="55"/>
      <c r="H49" s="53"/>
      <c r="I49" s="53"/>
      <c r="J49" s="62"/>
      <c r="K49" s="62"/>
      <c r="L49" s="54"/>
      <c r="M49" s="55"/>
      <c r="N49" s="53"/>
      <c r="O49" s="98"/>
    </row>
    <row r="50" spans="1:15" ht="22.15" customHeight="1" x14ac:dyDescent="0.2">
      <c r="A50" s="57" t="str">
        <f>IF(B50&lt;&gt;"",46,"")</f>
        <v/>
      </c>
      <c r="B50" s="57"/>
      <c r="C50" s="59"/>
      <c r="D50" s="57"/>
      <c r="E50" s="57"/>
      <c r="F50" s="57"/>
      <c r="G50" s="59"/>
      <c r="H50" s="57"/>
      <c r="I50" s="57"/>
      <c r="J50" s="63"/>
      <c r="K50" s="63"/>
      <c r="L50" s="58"/>
      <c r="M50" s="59"/>
      <c r="N50" s="57"/>
      <c r="O50" s="99"/>
    </row>
    <row r="51" spans="1:15" ht="22.15" customHeight="1" x14ac:dyDescent="0.2">
      <c r="A51" s="53" t="str">
        <f>IF(B51&lt;&gt;"",47,"")</f>
        <v/>
      </c>
      <c r="B51" s="53"/>
      <c r="C51" s="55"/>
      <c r="D51" s="53"/>
      <c r="E51" s="53"/>
      <c r="F51" s="53"/>
      <c r="G51" s="55"/>
      <c r="H51" s="53"/>
      <c r="I51" s="53"/>
      <c r="J51" s="62"/>
      <c r="K51" s="62"/>
      <c r="L51" s="54"/>
      <c r="M51" s="55"/>
      <c r="N51" s="53"/>
      <c r="O51" s="98"/>
    </row>
    <row r="52" spans="1:15" ht="22.15" customHeight="1" x14ac:dyDescent="0.2">
      <c r="A52" s="57" t="str">
        <f>IF(B52&lt;&gt;"",48,"")</f>
        <v/>
      </c>
      <c r="B52" s="57"/>
      <c r="C52" s="59"/>
      <c r="D52" s="57"/>
      <c r="E52" s="57"/>
      <c r="F52" s="57"/>
      <c r="G52" s="59"/>
      <c r="H52" s="57"/>
      <c r="I52" s="57"/>
      <c r="J52" s="63"/>
      <c r="K52" s="63"/>
      <c r="L52" s="58"/>
      <c r="M52" s="59"/>
      <c r="N52" s="57"/>
      <c r="O52" s="99"/>
    </row>
    <row r="53" spans="1:15" ht="22.15" customHeight="1" x14ac:dyDescent="0.2">
      <c r="A53" s="53" t="str">
        <f>IF(B53&lt;&gt;"",49,"")</f>
        <v/>
      </c>
      <c r="B53" s="53"/>
      <c r="C53" s="55"/>
      <c r="D53" s="53"/>
      <c r="E53" s="53"/>
      <c r="F53" s="53"/>
      <c r="G53" s="55"/>
      <c r="H53" s="53"/>
      <c r="I53" s="53"/>
      <c r="J53" s="62"/>
      <c r="K53" s="62"/>
      <c r="L53" s="54"/>
      <c r="M53" s="55"/>
      <c r="N53" s="53"/>
      <c r="O53" s="98"/>
    </row>
    <row r="54" spans="1:15" ht="22.15" customHeight="1" x14ac:dyDescent="0.2">
      <c r="A54" s="57" t="str">
        <f>IF(B54&lt;&gt;"",50,"")</f>
        <v/>
      </c>
      <c r="B54" s="57"/>
      <c r="C54" s="59"/>
      <c r="D54" s="57"/>
      <c r="E54" s="57"/>
      <c r="F54" s="57"/>
      <c r="G54" s="59"/>
      <c r="H54" s="57"/>
      <c r="I54" s="57"/>
      <c r="J54" s="63"/>
      <c r="K54" s="63"/>
      <c r="L54" s="58"/>
      <c r="M54" s="59"/>
      <c r="N54" s="57"/>
      <c r="O54" s="99"/>
    </row>
    <row r="55" spans="1:15" ht="22.15" customHeight="1" x14ac:dyDescent="0.2">
      <c r="A55" s="53" t="str">
        <f>IF(B55&lt;&gt;"",51,"")</f>
        <v/>
      </c>
      <c r="B55" s="53"/>
      <c r="C55" s="55"/>
      <c r="D55" s="53"/>
      <c r="E55" s="53"/>
      <c r="F55" s="53"/>
      <c r="G55" s="55"/>
      <c r="H55" s="53"/>
      <c r="I55" s="53"/>
      <c r="J55" s="62"/>
      <c r="K55" s="62"/>
      <c r="L55" s="54"/>
      <c r="M55" s="55"/>
      <c r="N55" s="53"/>
      <c r="O55" s="98"/>
    </row>
    <row r="56" spans="1:15" ht="22.15" customHeight="1" x14ac:dyDescent="0.2">
      <c r="A56" s="57" t="str">
        <f>IF(B56&lt;&gt;"",52,"")</f>
        <v/>
      </c>
      <c r="B56" s="57"/>
      <c r="C56" s="59"/>
      <c r="D56" s="57"/>
      <c r="E56" s="57"/>
      <c r="F56" s="57"/>
      <c r="G56" s="59"/>
      <c r="H56" s="57"/>
      <c r="I56" s="57"/>
      <c r="J56" s="63"/>
      <c r="K56" s="63"/>
      <c r="L56" s="58"/>
      <c r="M56" s="59"/>
      <c r="N56" s="57"/>
      <c r="O56" s="99"/>
    </row>
    <row r="57" spans="1:15" ht="22.15" customHeight="1" x14ac:dyDescent="0.2">
      <c r="A57" s="53" t="str">
        <f>IF(B57&lt;&gt;"",53,"")</f>
        <v/>
      </c>
      <c r="B57" s="53"/>
      <c r="C57" s="55"/>
      <c r="D57" s="53"/>
      <c r="E57" s="53"/>
      <c r="F57" s="53"/>
      <c r="G57" s="55"/>
      <c r="H57" s="53"/>
      <c r="I57" s="53"/>
      <c r="J57" s="62"/>
      <c r="K57" s="62"/>
      <c r="L57" s="54"/>
      <c r="M57" s="55"/>
      <c r="N57" s="53"/>
      <c r="O57" s="98"/>
    </row>
    <row r="58" spans="1:15" ht="22.15" customHeight="1" x14ac:dyDescent="0.2">
      <c r="A58" s="57" t="str">
        <f>IF(B58&lt;&gt;"",54,"")</f>
        <v/>
      </c>
      <c r="B58" s="57"/>
      <c r="C58" s="59"/>
      <c r="D58" s="57"/>
      <c r="E58" s="57"/>
      <c r="F58" s="57"/>
      <c r="G58" s="59"/>
      <c r="H58" s="57"/>
      <c r="I58" s="57"/>
      <c r="J58" s="63"/>
      <c r="K58" s="63"/>
      <c r="L58" s="58"/>
      <c r="M58" s="59"/>
      <c r="N58" s="57"/>
      <c r="O58" s="99"/>
    </row>
    <row r="59" spans="1:15" ht="22.15" customHeight="1" x14ac:dyDescent="0.2">
      <c r="A59" s="53" t="str">
        <f>IF(B59&lt;&gt;"",55,"")</f>
        <v/>
      </c>
      <c r="B59" s="53"/>
      <c r="C59" s="55"/>
      <c r="D59" s="53"/>
      <c r="E59" s="53"/>
      <c r="F59" s="53"/>
      <c r="G59" s="55"/>
      <c r="H59" s="53"/>
      <c r="I59" s="53"/>
      <c r="J59" s="62"/>
      <c r="K59" s="62"/>
      <c r="L59" s="54"/>
      <c r="M59" s="55"/>
      <c r="N59" s="53"/>
      <c r="O59" s="98"/>
    </row>
    <row r="60" spans="1:15" ht="22.15" customHeight="1" x14ac:dyDescent="0.2">
      <c r="A60" s="57" t="str">
        <f>IF(B60&lt;&gt;"",56,"")</f>
        <v/>
      </c>
      <c r="B60" s="57"/>
      <c r="C60" s="59"/>
      <c r="D60" s="57"/>
      <c r="E60" s="57"/>
      <c r="F60" s="57"/>
      <c r="G60" s="59"/>
      <c r="H60" s="57"/>
      <c r="I60" s="57"/>
      <c r="J60" s="63"/>
      <c r="K60" s="63"/>
      <c r="L60" s="58"/>
      <c r="M60" s="59"/>
      <c r="N60" s="57"/>
      <c r="O60" s="99"/>
    </row>
    <row r="61" spans="1:15" ht="22.15" customHeight="1" x14ac:dyDescent="0.2">
      <c r="A61" s="53" t="str">
        <f>IF(B61&lt;&gt;"",57,"")</f>
        <v/>
      </c>
      <c r="B61" s="53"/>
      <c r="C61" s="55"/>
      <c r="D61" s="53"/>
      <c r="E61" s="53"/>
      <c r="F61" s="53"/>
      <c r="G61" s="55"/>
      <c r="H61" s="53"/>
      <c r="I61" s="53"/>
      <c r="J61" s="62"/>
      <c r="K61" s="62"/>
      <c r="L61" s="54"/>
      <c r="M61" s="55"/>
      <c r="N61" s="53"/>
      <c r="O61" s="98"/>
    </row>
    <row r="62" spans="1:15" ht="22.15" customHeight="1" x14ac:dyDescent="0.2">
      <c r="A62" s="57" t="str">
        <f>IF(B62&lt;&gt;"",58,"")</f>
        <v/>
      </c>
      <c r="B62" s="57"/>
      <c r="C62" s="59"/>
      <c r="D62" s="57"/>
      <c r="E62" s="57"/>
      <c r="F62" s="57"/>
      <c r="G62" s="59"/>
      <c r="H62" s="57"/>
      <c r="I62" s="57"/>
      <c r="J62" s="63"/>
      <c r="K62" s="63"/>
      <c r="L62" s="58"/>
      <c r="M62" s="59"/>
      <c r="N62" s="57"/>
      <c r="O62" s="99"/>
    </row>
    <row r="63" spans="1:15" ht="22.15" customHeight="1" x14ac:dyDescent="0.2">
      <c r="A63" s="53" t="str">
        <f>IF(B63&lt;&gt;"",59,"")</f>
        <v/>
      </c>
      <c r="B63" s="53"/>
      <c r="C63" s="55"/>
      <c r="D63" s="53"/>
      <c r="E63" s="53"/>
      <c r="F63" s="53"/>
      <c r="G63" s="55"/>
      <c r="H63" s="53"/>
      <c r="I63" s="53"/>
      <c r="J63" s="62"/>
      <c r="K63" s="62"/>
      <c r="L63" s="54"/>
      <c r="M63" s="55"/>
      <c r="N63" s="53"/>
      <c r="O63" s="98"/>
    </row>
    <row r="64" spans="1:15" ht="22.15" customHeight="1" x14ac:dyDescent="0.2">
      <c r="A64" s="57" t="str">
        <f>IF(B64&lt;&gt;"",60,"")</f>
        <v/>
      </c>
      <c r="B64" s="57"/>
      <c r="C64" s="59"/>
      <c r="D64" s="57"/>
      <c r="E64" s="57"/>
      <c r="F64" s="57"/>
      <c r="G64" s="59"/>
      <c r="H64" s="57"/>
      <c r="I64" s="57"/>
      <c r="J64" s="63"/>
      <c r="K64" s="63"/>
      <c r="L64" s="58"/>
      <c r="M64" s="59"/>
      <c r="N64" s="57"/>
      <c r="O64" s="99"/>
    </row>
    <row r="65" spans="1:15" ht="22.15" customHeight="1" x14ac:dyDescent="0.2">
      <c r="A65" s="53" t="str">
        <f>IF(B65&lt;&gt;"",61,"")</f>
        <v/>
      </c>
      <c r="B65" s="53"/>
      <c r="C65" s="55"/>
      <c r="D65" s="53"/>
      <c r="E65" s="53"/>
      <c r="F65" s="53"/>
      <c r="G65" s="55"/>
      <c r="H65" s="53"/>
      <c r="I65" s="53"/>
      <c r="J65" s="62"/>
      <c r="K65" s="62"/>
      <c r="L65" s="54"/>
      <c r="M65" s="55"/>
      <c r="N65" s="53"/>
      <c r="O65" s="98"/>
    </row>
    <row r="66" spans="1:15" ht="22.15" customHeight="1" x14ac:dyDescent="0.2">
      <c r="A66" s="57" t="str">
        <f>IF(B66&lt;&gt;"",62,"")</f>
        <v/>
      </c>
      <c r="B66" s="57"/>
      <c r="C66" s="59"/>
      <c r="D66" s="57"/>
      <c r="E66" s="57"/>
      <c r="F66" s="57"/>
      <c r="G66" s="59"/>
      <c r="H66" s="57"/>
      <c r="I66" s="57"/>
      <c r="J66" s="63"/>
      <c r="K66" s="63"/>
      <c r="L66" s="58"/>
      <c r="M66" s="59"/>
      <c r="N66" s="57"/>
      <c r="O66" s="99"/>
    </row>
    <row r="67" spans="1:15" ht="22.15" customHeight="1" x14ac:dyDescent="0.2">
      <c r="A67" s="53" t="str">
        <f>IF(B67&lt;&gt;"",63,"")</f>
        <v/>
      </c>
      <c r="B67" s="53"/>
      <c r="C67" s="55"/>
      <c r="D67" s="53"/>
      <c r="E67" s="53"/>
      <c r="F67" s="53"/>
      <c r="G67" s="55"/>
      <c r="H67" s="53"/>
      <c r="I67" s="53"/>
      <c r="J67" s="62"/>
      <c r="K67" s="62"/>
      <c r="L67" s="54"/>
      <c r="M67" s="55"/>
      <c r="N67" s="53"/>
      <c r="O67" s="98"/>
    </row>
    <row r="68" spans="1:15" ht="22.15" customHeight="1" x14ac:dyDescent="0.2">
      <c r="A68" s="57" t="str">
        <f>IF(B68&lt;&gt;"",64,"")</f>
        <v/>
      </c>
      <c r="B68" s="57"/>
      <c r="C68" s="59"/>
      <c r="D68" s="57"/>
      <c r="E68" s="57"/>
      <c r="F68" s="57"/>
      <c r="G68" s="59"/>
      <c r="H68" s="57"/>
      <c r="I68" s="57"/>
      <c r="J68" s="63"/>
      <c r="K68" s="63"/>
      <c r="L68" s="58"/>
      <c r="M68" s="59"/>
      <c r="N68" s="57"/>
      <c r="O68" s="99"/>
    </row>
    <row r="69" spans="1:15" ht="22.15" customHeight="1" x14ac:dyDescent="0.2">
      <c r="A69" s="53" t="str">
        <f>IF(B69&lt;&gt;"",65,"")</f>
        <v/>
      </c>
      <c r="B69" s="53"/>
      <c r="C69" s="55"/>
      <c r="D69" s="53"/>
      <c r="E69" s="53"/>
      <c r="F69" s="53"/>
      <c r="G69" s="55"/>
      <c r="H69" s="53"/>
      <c r="I69" s="53"/>
      <c r="J69" s="62"/>
      <c r="K69" s="62"/>
      <c r="L69" s="54"/>
      <c r="M69" s="55"/>
      <c r="N69" s="53"/>
      <c r="O69" s="98"/>
    </row>
    <row r="70" spans="1:15" ht="22.15" customHeight="1" x14ac:dyDescent="0.2">
      <c r="A70" s="57" t="str">
        <f>IF(B70&lt;&gt;"",66,"")</f>
        <v/>
      </c>
      <c r="B70" s="57"/>
      <c r="C70" s="59"/>
      <c r="D70" s="57"/>
      <c r="E70" s="57"/>
      <c r="F70" s="57"/>
      <c r="G70" s="59"/>
      <c r="H70" s="57"/>
      <c r="I70" s="57"/>
      <c r="J70" s="63"/>
      <c r="K70" s="63"/>
      <c r="L70" s="58"/>
      <c r="M70" s="59"/>
      <c r="N70" s="57"/>
      <c r="O70" s="99"/>
    </row>
    <row r="71" spans="1:15" ht="22.15" customHeight="1" x14ac:dyDescent="0.2">
      <c r="A71" s="53" t="str">
        <f>IF(B71&lt;&gt;"",67,"")</f>
        <v/>
      </c>
      <c r="B71" s="53"/>
      <c r="C71" s="55"/>
      <c r="D71" s="53"/>
      <c r="E71" s="53"/>
      <c r="F71" s="53"/>
      <c r="G71" s="55"/>
      <c r="H71" s="53"/>
      <c r="I71" s="53"/>
      <c r="J71" s="62"/>
      <c r="K71" s="62"/>
      <c r="L71" s="54"/>
      <c r="M71" s="55"/>
      <c r="N71" s="53"/>
      <c r="O71" s="98"/>
    </row>
    <row r="72" spans="1:15" ht="22.15" customHeight="1" x14ac:dyDescent="0.2">
      <c r="A72" s="57" t="str">
        <f>IF(B72&lt;&gt;"",68,"")</f>
        <v/>
      </c>
      <c r="B72" s="57"/>
      <c r="C72" s="59"/>
      <c r="D72" s="57"/>
      <c r="E72" s="57"/>
      <c r="F72" s="57"/>
      <c r="G72" s="59"/>
      <c r="H72" s="57"/>
      <c r="I72" s="57"/>
      <c r="J72" s="63"/>
      <c r="K72" s="63"/>
      <c r="L72" s="58"/>
      <c r="M72" s="59"/>
      <c r="N72" s="57"/>
      <c r="O72" s="99"/>
    </row>
    <row r="73" spans="1:15" ht="22.15" customHeight="1" x14ac:dyDescent="0.2">
      <c r="A73" s="53" t="str">
        <f>IF(B73&lt;&gt;"",69,"")</f>
        <v/>
      </c>
      <c r="B73" s="53"/>
      <c r="C73" s="55"/>
      <c r="D73" s="53"/>
      <c r="E73" s="53"/>
      <c r="F73" s="53"/>
      <c r="G73" s="55"/>
      <c r="H73" s="53"/>
      <c r="I73" s="53"/>
      <c r="J73" s="62"/>
      <c r="K73" s="62"/>
      <c r="L73" s="54"/>
      <c r="M73" s="55"/>
      <c r="N73" s="53"/>
      <c r="O73" s="98"/>
    </row>
    <row r="74" spans="1:15" ht="22.15" customHeight="1" x14ac:dyDescent="0.2">
      <c r="A74" s="57" t="str">
        <f>IF(B74&lt;&gt;"",70,"")</f>
        <v/>
      </c>
      <c r="B74" s="57"/>
      <c r="C74" s="59"/>
      <c r="D74" s="57"/>
      <c r="E74" s="57"/>
      <c r="F74" s="57"/>
      <c r="G74" s="59"/>
      <c r="H74" s="57"/>
      <c r="I74" s="57"/>
      <c r="J74" s="63"/>
      <c r="K74" s="63"/>
      <c r="L74" s="58"/>
      <c r="M74" s="59"/>
      <c r="N74" s="57"/>
      <c r="O74" s="99"/>
    </row>
    <row r="75" spans="1:15" ht="22.15" customHeight="1" x14ac:dyDescent="0.2">
      <c r="A75" s="53" t="str">
        <f>IF(B75&lt;&gt;"",71,"")</f>
        <v/>
      </c>
      <c r="B75" s="53"/>
      <c r="C75" s="55"/>
      <c r="D75" s="53"/>
      <c r="E75" s="53"/>
      <c r="F75" s="53"/>
      <c r="G75" s="55"/>
      <c r="H75" s="53"/>
      <c r="I75" s="53"/>
      <c r="J75" s="62"/>
      <c r="K75" s="62"/>
      <c r="L75" s="54"/>
      <c r="M75" s="55"/>
      <c r="N75" s="53"/>
      <c r="O75" s="98"/>
    </row>
    <row r="76" spans="1:15" ht="22.15" customHeight="1" x14ac:dyDescent="0.2">
      <c r="A76" s="57" t="str">
        <f>IF(B76&lt;&gt;"",72,"")</f>
        <v/>
      </c>
      <c r="B76" s="57"/>
      <c r="C76" s="59"/>
      <c r="D76" s="57"/>
      <c r="E76" s="57"/>
      <c r="F76" s="57"/>
      <c r="G76" s="59"/>
      <c r="H76" s="57"/>
      <c r="I76" s="57"/>
      <c r="J76" s="63"/>
      <c r="K76" s="63"/>
      <c r="L76" s="58"/>
      <c r="M76" s="59"/>
      <c r="N76" s="57"/>
      <c r="O76" s="99"/>
    </row>
    <row r="77" spans="1:15" ht="22.15" customHeight="1" x14ac:dyDescent="0.2">
      <c r="A77" s="53" t="str">
        <f>IF(B77&lt;&gt;"",73,"")</f>
        <v/>
      </c>
      <c r="B77" s="53"/>
      <c r="C77" s="55"/>
      <c r="D77" s="53"/>
      <c r="E77" s="53"/>
      <c r="F77" s="53"/>
      <c r="G77" s="55"/>
      <c r="H77" s="53"/>
      <c r="I77" s="53"/>
      <c r="J77" s="62"/>
      <c r="K77" s="62"/>
      <c r="L77" s="54"/>
      <c r="M77" s="55"/>
      <c r="N77" s="53"/>
      <c r="O77" s="98"/>
    </row>
    <row r="78" spans="1:15" ht="22.15" customHeight="1" x14ac:dyDescent="0.2">
      <c r="A78" s="57" t="str">
        <f>IF(B78&lt;&gt;"",74,"")</f>
        <v/>
      </c>
      <c r="B78" s="57"/>
      <c r="C78" s="59"/>
      <c r="D78" s="57"/>
      <c r="E78" s="57"/>
      <c r="F78" s="57"/>
      <c r="G78" s="59"/>
      <c r="H78" s="57"/>
      <c r="I78" s="57"/>
      <c r="J78" s="63"/>
      <c r="K78" s="63"/>
      <c r="L78" s="58"/>
      <c r="M78" s="59"/>
      <c r="N78" s="57"/>
      <c r="O78" s="99"/>
    </row>
    <row r="79" spans="1:15" ht="22.15" customHeight="1" x14ac:dyDescent="0.2">
      <c r="A79" s="53" t="str">
        <f>IF(B79&lt;&gt;"",75,"")</f>
        <v/>
      </c>
      <c r="B79" s="53"/>
      <c r="C79" s="55"/>
      <c r="D79" s="53"/>
      <c r="E79" s="53"/>
      <c r="F79" s="53"/>
      <c r="G79" s="55"/>
      <c r="H79" s="53"/>
      <c r="I79" s="53"/>
      <c r="J79" s="62"/>
      <c r="K79" s="62"/>
      <c r="L79" s="54"/>
      <c r="M79" s="55"/>
      <c r="N79" s="53"/>
      <c r="O79" s="98"/>
    </row>
    <row r="80" spans="1:15" ht="22.15" customHeight="1" x14ac:dyDescent="0.2">
      <c r="A80" s="57" t="str">
        <f>IF(B80&lt;&gt;"",76,"")</f>
        <v/>
      </c>
      <c r="B80" s="57"/>
      <c r="C80" s="59"/>
      <c r="D80" s="57"/>
      <c r="E80" s="57"/>
      <c r="F80" s="57"/>
      <c r="G80" s="59"/>
      <c r="H80" s="57"/>
      <c r="I80" s="57"/>
      <c r="J80" s="63"/>
      <c r="K80" s="63"/>
      <c r="L80" s="58"/>
      <c r="M80" s="59"/>
      <c r="N80" s="57"/>
      <c r="O80" s="99"/>
    </row>
    <row r="81" spans="1:15" ht="22.15" customHeight="1" x14ac:dyDescent="0.2">
      <c r="A81" s="53" t="str">
        <f>IF(B81&lt;&gt;"",77,"")</f>
        <v/>
      </c>
      <c r="B81" s="53"/>
      <c r="C81" s="55"/>
      <c r="D81" s="53"/>
      <c r="E81" s="53"/>
      <c r="F81" s="53"/>
      <c r="G81" s="55"/>
      <c r="H81" s="53"/>
      <c r="I81" s="53"/>
      <c r="J81" s="62"/>
      <c r="K81" s="62"/>
      <c r="L81" s="54"/>
      <c r="M81" s="55"/>
      <c r="N81" s="53"/>
      <c r="O81" s="98"/>
    </row>
    <row r="82" spans="1:15" ht="22.15" customHeight="1" x14ac:dyDescent="0.2">
      <c r="A82" s="57" t="str">
        <f>IF(B82&lt;&gt;"",78,"")</f>
        <v/>
      </c>
      <c r="B82" s="57"/>
      <c r="C82" s="59"/>
      <c r="D82" s="57"/>
      <c r="E82" s="57"/>
      <c r="F82" s="57"/>
      <c r="G82" s="59"/>
      <c r="H82" s="57"/>
      <c r="I82" s="57"/>
      <c r="J82" s="63"/>
      <c r="K82" s="63"/>
      <c r="L82" s="58"/>
      <c r="M82" s="59"/>
      <c r="N82" s="57"/>
      <c r="O82" s="99"/>
    </row>
    <row r="83" spans="1:15" ht="22.15" customHeight="1" x14ac:dyDescent="0.2">
      <c r="A83" s="53" t="str">
        <f>IF(B83&lt;&gt;"",79,"")</f>
        <v/>
      </c>
      <c r="B83" s="53"/>
      <c r="C83" s="55"/>
      <c r="D83" s="53"/>
      <c r="E83" s="53"/>
      <c r="F83" s="53"/>
      <c r="G83" s="55"/>
      <c r="H83" s="53"/>
      <c r="I83" s="53"/>
      <c r="J83" s="62"/>
      <c r="K83" s="62"/>
      <c r="L83" s="54"/>
      <c r="M83" s="55"/>
      <c r="N83" s="53"/>
      <c r="O83" s="98"/>
    </row>
    <row r="84" spans="1:15" ht="22.15" customHeight="1" x14ac:dyDescent="0.2">
      <c r="A84" s="57" t="str">
        <f>IF(B84&lt;&gt;"",80,"")</f>
        <v/>
      </c>
      <c r="B84" s="57"/>
      <c r="C84" s="59"/>
      <c r="D84" s="57"/>
      <c r="E84" s="57"/>
      <c r="F84" s="57"/>
      <c r="G84" s="59"/>
      <c r="H84" s="57"/>
      <c r="I84" s="57"/>
      <c r="J84" s="63"/>
      <c r="K84" s="63"/>
      <c r="L84" s="58"/>
      <c r="M84" s="59"/>
      <c r="N84" s="57"/>
      <c r="O84" s="99"/>
    </row>
    <row r="85" spans="1:15" ht="22.15" customHeight="1" x14ac:dyDescent="0.2">
      <c r="A85" s="53" t="str">
        <f>IF(B85&lt;&gt;"",81,"")</f>
        <v/>
      </c>
      <c r="B85" s="53"/>
      <c r="C85" s="55"/>
      <c r="D85" s="53"/>
      <c r="E85" s="53"/>
      <c r="F85" s="53"/>
      <c r="G85" s="55"/>
      <c r="H85" s="53"/>
      <c r="I85" s="53"/>
      <c r="J85" s="62"/>
      <c r="K85" s="62"/>
      <c r="L85" s="54"/>
      <c r="M85" s="55"/>
      <c r="N85" s="53"/>
      <c r="O85" s="98"/>
    </row>
    <row r="86" spans="1:15" ht="22.15" customHeight="1" x14ac:dyDescent="0.2">
      <c r="A86" s="57" t="str">
        <f>IF(B86&lt;&gt;"",82,"")</f>
        <v/>
      </c>
      <c r="B86" s="57"/>
      <c r="C86" s="59"/>
      <c r="D86" s="57"/>
      <c r="E86" s="57"/>
      <c r="F86" s="57"/>
      <c r="G86" s="59"/>
      <c r="H86" s="57"/>
      <c r="I86" s="57"/>
      <c r="J86" s="63"/>
      <c r="K86" s="63"/>
      <c r="L86" s="58"/>
      <c r="M86" s="59"/>
      <c r="N86" s="57"/>
      <c r="O86" s="99"/>
    </row>
    <row r="87" spans="1:15" ht="22.15" customHeight="1" x14ac:dyDescent="0.2">
      <c r="A87" s="53" t="str">
        <f>IF(B87&lt;&gt;"",83,"")</f>
        <v/>
      </c>
      <c r="B87" s="53"/>
      <c r="C87" s="55"/>
      <c r="D87" s="53"/>
      <c r="E87" s="53"/>
      <c r="F87" s="53"/>
      <c r="G87" s="55"/>
      <c r="H87" s="53"/>
      <c r="I87" s="53"/>
      <c r="J87" s="62"/>
      <c r="K87" s="62"/>
      <c r="L87" s="54"/>
      <c r="M87" s="55"/>
      <c r="N87" s="53"/>
      <c r="O87" s="98"/>
    </row>
    <row r="88" spans="1:15" ht="22.15" customHeight="1" x14ac:dyDescent="0.2">
      <c r="A88" s="57" t="str">
        <f>IF(B88&lt;&gt;"",84,"")</f>
        <v/>
      </c>
      <c r="B88" s="57"/>
      <c r="C88" s="59"/>
      <c r="D88" s="57"/>
      <c r="E88" s="57"/>
      <c r="F88" s="57"/>
      <c r="G88" s="59"/>
      <c r="H88" s="57"/>
      <c r="I88" s="57"/>
      <c r="J88" s="63"/>
      <c r="K88" s="63"/>
      <c r="L88" s="58"/>
      <c r="M88" s="59"/>
      <c r="N88" s="57"/>
      <c r="O88" s="99"/>
    </row>
    <row r="89" spans="1:15" ht="22.15" customHeight="1" x14ac:dyDescent="0.2">
      <c r="A89" s="53" t="str">
        <f>IF(B89&lt;&gt;"",85,"")</f>
        <v/>
      </c>
      <c r="B89" s="53"/>
      <c r="C89" s="55"/>
      <c r="D89" s="53"/>
      <c r="E89" s="53"/>
      <c r="F89" s="53"/>
      <c r="G89" s="55"/>
      <c r="H89" s="53"/>
      <c r="I89" s="53"/>
      <c r="J89" s="62"/>
      <c r="K89" s="62"/>
      <c r="L89" s="54"/>
      <c r="M89" s="55"/>
      <c r="N89" s="53"/>
      <c r="O89" s="98"/>
    </row>
    <row r="90" spans="1:15" ht="22.15" customHeight="1" x14ac:dyDescent="0.2">
      <c r="A90" s="57" t="str">
        <f>IF(B90&lt;&gt;"",86,"")</f>
        <v/>
      </c>
      <c r="B90" s="57"/>
      <c r="C90" s="59"/>
      <c r="D90" s="57"/>
      <c r="E90" s="57"/>
      <c r="F90" s="57"/>
      <c r="G90" s="59"/>
      <c r="H90" s="57"/>
      <c r="I90" s="57"/>
      <c r="J90" s="63"/>
      <c r="K90" s="63"/>
      <c r="L90" s="58"/>
      <c r="M90" s="59"/>
      <c r="N90" s="57"/>
      <c r="O90" s="99"/>
    </row>
    <row r="91" spans="1:15" ht="22.15" customHeight="1" x14ac:dyDescent="0.2">
      <c r="A91" s="53" t="str">
        <f>IF(B91&lt;&gt;"",87,"")</f>
        <v/>
      </c>
      <c r="B91" s="53"/>
      <c r="C91" s="55"/>
      <c r="D91" s="53"/>
      <c r="E91" s="53"/>
      <c r="F91" s="53"/>
      <c r="G91" s="55"/>
      <c r="H91" s="53"/>
      <c r="I91" s="53"/>
      <c r="J91" s="62"/>
      <c r="K91" s="62"/>
      <c r="L91" s="54"/>
      <c r="M91" s="55"/>
      <c r="N91" s="53"/>
      <c r="O91" s="98"/>
    </row>
    <row r="92" spans="1:15" ht="22.15" customHeight="1" x14ac:dyDescent="0.2">
      <c r="A92" s="57" t="str">
        <f>IF(B92&lt;&gt;"",88,"")</f>
        <v/>
      </c>
      <c r="B92" s="57"/>
      <c r="C92" s="59"/>
      <c r="D92" s="57"/>
      <c r="E92" s="57"/>
      <c r="F92" s="57"/>
      <c r="G92" s="59"/>
      <c r="H92" s="57"/>
      <c r="I92" s="57"/>
      <c r="J92" s="63"/>
      <c r="K92" s="63"/>
      <c r="L92" s="58"/>
      <c r="M92" s="59"/>
      <c r="N92" s="57"/>
      <c r="O92" s="99"/>
    </row>
    <row r="93" spans="1:15" ht="22.15" customHeight="1" x14ac:dyDescent="0.2">
      <c r="A93" s="53" t="str">
        <f>IF(B93&lt;&gt;"",89,"")</f>
        <v/>
      </c>
      <c r="B93" s="53"/>
      <c r="C93" s="55"/>
      <c r="D93" s="53"/>
      <c r="E93" s="53"/>
      <c r="F93" s="53"/>
      <c r="G93" s="55"/>
      <c r="H93" s="53"/>
      <c r="I93" s="53"/>
      <c r="J93" s="62"/>
      <c r="K93" s="62"/>
      <c r="L93" s="54"/>
      <c r="M93" s="55"/>
      <c r="N93" s="53"/>
      <c r="O93" s="98"/>
    </row>
    <row r="94" spans="1:15" ht="22.15" customHeight="1" x14ac:dyDescent="0.2">
      <c r="A94" s="57" t="str">
        <f>IF(B94&lt;&gt;"",90,"")</f>
        <v/>
      </c>
      <c r="B94" s="57"/>
      <c r="C94" s="59"/>
      <c r="D94" s="57"/>
      <c r="E94" s="57"/>
      <c r="F94" s="57"/>
      <c r="G94" s="59"/>
      <c r="H94" s="57"/>
      <c r="I94" s="57"/>
      <c r="J94" s="63"/>
      <c r="K94" s="63"/>
      <c r="L94" s="58"/>
      <c r="M94" s="59"/>
      <c r="N94" s="57"/>
      <c r="O94" s="99"/>
    </row>
    <row r="95" spans="1:15" ht="22.15" customHeight="1" x14ac:dyDescent="0.2">
      <c r="A95" s="53" t="str">
        <f>IF(B95&lt;&gt;"",91,"")</f>
        <v/>
      </c>
      <c r="B95" s="53"/>
      <c r="C95" s="55"/>
      <c r="D95" s="53"/>
      <c r="E95" s="53"/>
      <c r="F95" s="53"/>
      <c r="G95" s="55"/>
      <c r="H95" s="53"/>
      <c r="I95" s="53"/>
      <c r="J95" s="62"/>
      <c r="K95" s="62"/>
      <c r="L95" s="54"/>
      <c r="M95" s="55"/>
      <c r="N95" s="53"/>
      <c r="O95" s="98"/>
    </row>
    <row r="96" spans="1:15" ht="22.15" customHeight="1" x14ac:dyDescent="0.2">
      <c r="A96" s="57" t="str">
        <f>IF(B96&lt;&gt;"",92,"")</f>
        <v/>
      </c>
      <c r="B96" s="57"/>
      <c r="C96" s="59"/>
      <c r="D96" s="57"/>
      <c r="E96" s="57"/>
      <c r="F96" s="57"/>
      <c r="G96" s="59"/>
      <c r="H96" s="57"/>
      <c r="I96" s="57"/>
      <c r="J96" s="63"/>
      <c r="K96" s="63"/>
      <c r="L96" s="58"/>
      <c r="M96" s="59"/>
      <c r="N96" s="57"/>
      <c r="O96" s="99"/>
    </row>
    <row r="97" spans="1:15" ht="22.15" customHeight="1" x14ac:dyDescent="0.2">
      <c r="A97" s="53" t="str">
        <f>IF(B97&lt;&gt;"",93,"")</f>
        <v/>
      </c>
      <c r="B97" s="53"/>
      <c r="C97" s="55"/>
      <c r="D97" s="53"/>
      <c r="E97" s="53"/>
      <c r="F97" s="53"/>
      <c r="G97" s="55"/>
      <c r="H97" s="53"/>
      <c r="I97" s="53"/>
      <c r="J97" s="62"/>
      <c r="K97" s="62"/>
      <c r="L97" s="54"/>
      <c r="M97" s="55"/>
      <c r="N97" s="53"/>
      <c r="O97" s="98"/>
    </row>
    <row r="98" spans="1:15" ht="22.15" customHeight="1" x14ac:dyDescent="0.2">
      <c r="A98" s="57" t="str">
        <f>IF(B98&lt;&gt;"",94,"")</f>
        <v/>
      </c>
      <c r="B98" s="57"/>
      <c r="C98" s="59"/>
      <c r="D98" s="57"/>
      <c r="E98" s="57"/>
      <c r="F98" s="57"/>
      <c r="G98" s="59"/>
      <c r="H98" s="57"/>
      <c r="I98" s="57"/>
      <c r="J98" s="63"/>
      <c r="K98" s="63"/>
      <c r="L98" s="58"/>
      <c r="M98" s="59"/>
      <c r="N98" s="57"/>
      <c r="O98" s="99"/>
    </row>
    <row r="99" spans="1:15" ht="22.15" customHeight="1" x14ac:dyDescent="0.2">
      <c r="A99" s="53" t="str">
        <f>IF(B99&lt;&gt;"",95,"")</f>
        <v/>
      </c>
      <c r="B99" s="53"/>
      <c r="C99" s="55"/>
      <c r="D99" s="53"/>
      <c r="E99" s="53"/>
      <c r="F99" s="53"/>
      <c r="G99" s="55"/>
      <c r="H99" s="53"/>
      <c r="I99" s="53"/>
      <c r="J99" s="62"/>
      <c r="K99" s="62"/>
      <c r="L99" s="54"/>
      <c r="M99" s="55"/>
      <c r="N99" s="53"/>
      <c r="O99" s="98"/>
    </row>
    <row r="100" spans="1:15" ht="22.15" customHeight="1" x14ac:dyDescent="0.2">
      <c r="A100" s="57" t="str">
        <f>IF(B100&lt;&gt;"",96,"")</f>
        <v/>
      </c>
      <c r="B100" s="57"/>
      <c r="C100" s="59"/>
      <c r="D100" s="57"/>
      <c r="E100" s="57"/>
      <c r="F100" s="57"/>
      <c r="G100" s="59"/>
      <c r="H100" s="57"/>
      <c r="I100" s="57"/>
      <c r="J100" s="63"/>
      <c r="K100" s="63"/>
      <c r="L100" s="58"/>
      <c r="M100" s="59"/>
      <c r="N100" s="57"/>
      <c r="O100" s="99"/>
    </row>
    <row r="101" spans="1:15" ht="22.15" customHeight="1" x14ac:dyDescent="0.2">
      <c r="A101" s="53" t="str">
        <f>IF(B101&lt;&gt;"",97,"")</f>
        <v/>
      </c>
      <c r="B101" s="53"/>
      <c r="C101" s="55"/>
      <c r="D101" s="53"/>
      <c r="E101" s="53"/>
      <c r="F101" s="53"/>
      <c r="G101" s="55"/>
      <c r="H101" s="53"/>
      <c r="I101" s="53"/>
      <c r="J101" s="62"/>
      <c r="K101" s="62"/>
      <c r="L101" s="54"/>
      <c r="M101" s="55"/>
      <c r="N101" s="53"/>
      <c r="O101" s="98"/>
    </row>
    <row r="102" spans="1:15" ht="22.15" customHeight="1" x14ac:dyDescent="0.2">
      <c r="A102" s="57" t="str">
        <f>IF(B102&lt;&gt;"",98,"")</f>
        <v/>
      </c>
      <c r="B102" s="57"/>
      <c r="C102" s="59"/>
      <c r="D102" s="57"/>
      <c r="E102" s="57"/>
      <c r="F102" s="57"/>
      <c r="G102" s="59"/>
      <c r="H102" s="57"/>
      <c r="I102" s="57"/>
      <c r="J102" s="63"/>
      <c r="K102" s="63"/>
      <c r="L102" s="58"/>
      <c r="M102" s="59"/>
      <c r="N102" s="57"/>
      <c r="O102" s="99"/>
    </row>
    <row r="103" spans="1:15" ht="22.15" customHeight="1" x14ac:dyDescent="0.2">
      <c r="A103" s="53" t="str">
        <f>IF(B103&lt;&gt;"",99,"")</f>
        <v/>
      </c>
      <c r="B103" s="53"/>
      <c r="C103" s="55"/>
      <c r="D103" s="53"/>
      <c r="E103" s="53"/>
      <c r="F103" s="53"/>
      <c r="G103" s="55"/>
      <c r="H103" s="53"/>
      <c r="I103" s="53"/>
      <c r="J103" s="62"/>
      <c r="K103" s="62"/>
      <c r="L103" s="54"/>
      <c r="M103" s="55"/>
      <c r="N103" s="53"/>
      <c r="O103" s="98"/>
    </row>
    <row r="104" spans="1:15" ht="22.15" customHeight="1" x14ac:dyDescent="0.2">
      <c r="A104" s="57" t="str">
        <f>IF(B104&lt;&gt;"",100,"")</f>
        <v/>
      </c>
      <c r="B104" s="57"/>
      <c r="C104" s="59"/>
      <c r="D104" s="57"/>
      <c r="E104" s="57"/>
      <c r="F104" s="57"/>
      <c r="G104" s="59"/>
      <c r="H104" s="57"/>
      <c r="I104" s="57"/>
      <c r="J104" s="63"/>
      <c r="K104" s="63"/>
      <c r="L104" s="58"/>
      <c r="M104" s="59"/>
      <c r="N104" s="57"/>
      <c r="O104" s="99"/>
    </row>
    <row r="105" spans="1:15" ht="22.15" customHeight="1" x14ac:dyDescent="0.2">
      <c r="A105" s="53" t="str">
        <f>IF(B105&lt;&gt;"",101,"")</f>
        <v/>
      </c>
      <c r="B105" s="53"/>
      <c r="C105" s="55"/>
      <c r="D105" s="53"/>
      <c r="E105" s="53"/>
      <c r="F105" s="53"/>
      <c r="G105" s="55"/>
      <c r="H105" s="53"/>
      <c r="I105" s="53"/>
      <c r="J105" s="62"/>
      <c r="K105" s="62"/>
      <c r="L105" s="54"/>
      <c r="M105" s="55"/>
      <c r="N105" s="53"/>
      <c r="O105" s="98"/>
    </row>
    <row r="106" spans="1:15" ht="22.15" customHeight="1" x14ac:dyDescent="0.2">
      <c r="A106" s="57" t="str">
        <f>IF(B106&lt;&gt;"",102,"")</f>
        <v/>
      </c>
      <c r="B106" s="57"/>
      <c r="C106" s="59"/>
      <c r="D106" s="57"/>
      <c r="E106" s="57"/>
      <c r="F106" s="57"/>
      <c r="G106" s="59"/>
      <c r="H106" s="57"/>
      <c r="I106" s="57"/>
      <c r="J106" s="63"/>
      <c r="K106" s="63"/>
      <c r="L106" s="58"/>
      <c r="M106" s="59"/>
      <c r="N106" s="57"/>
      <c r="O106" s="99"/>
    </row>
    <row r="107" spans="1:15" ht="22.15" customHeight="1" x14ac:dyDescent="0.2">
      <c r="A107" s="53" t="str">
        <f>IF(B107&lt;&gt;"",103,"")</f>
        <v/>
      </c>
      <c r="B107" s="53"/>
      <c r="C107" s="55"/>
      <c r="D107" s="53"/>
      <c r="E107" s="53"/>
      <c r="F107" s="53"/>
      <c r="G107" s="55"/>
      <c r="H107" s="53"/>
      <c r="I107" s="53"/>
      <c r="J107" s="62"/>
      <c r="K107" s="62"/>
      <c r="L107" s="54"/>
      <c r="M107" s="55"/>
      <c r="N107" s="53"/>
      <c r="O107" s="98"/>
    </row>
    <row r="108" spans="1:15" ht="22.15" customHeight="1" x14ac:dyDescent="0.2">
      <c r="A108" s="57" t="str">
        <f>IF(B108&lt;&gt;"",104,"")</f>
        <v/>
      </c>
      <c r="B108" s="57"/>
      <c r="C108" s="59"/>
      <c r="D108" s="57"/>
      <c r="E108" s="57"/>
      <c r="F108" s="57"/>
      <c r="G108" s="59"/>
      <c r="H108" s="57"/>
      <c r="I108" s="57"/>
      <c r="J108" s="63"/>
      <c r="K108" s="63"/>
      <c r="L108" s="58"/>
      <c r="M108" s="59"/>
      <c r="N108" s="57"/>
      <c r="O108" s="99"/>
    </row>
    <row r="109" spans="1:15" ht="22.15" customHeight="1" x14ac:dyDescent="0.2">
      <c r="A109" s="53" t="str">
        <f>IF(B109&lt;&gt;"",105,"")</f>
        <v/>
      </c>
      <c r="B109" s="53"/>
      <c r="C109" s="55"/>
      <c r="D109" s="53"/>
      <c r="E109" s="53"/>
      <c r="F109" s="53"/>
      <c r="G109" s="55"/>
      <c r="H109" s="53"/>
      <c r="I109" s="53"/>
      <c r="J109" s="62"/>
      <c r="K109" s="62"/>
      <c r="L109" s="54"/>
      <c r="M109" s="55"/>
      <c r="N109" s="53"/>
      <c r="O109" s="98"/>
    </row>
    <row r="110" spans="1:15" ht="22.15" customHeight="1" x14ac:dyDescent="0.2">
      <c r="A110" s="57" t="str">
        <f>IF(B110&lt;&gt;"",106,"")</f>
        <v/>
      </c>
      <c r="B110" s="57"/>
      <c r="C110" s="59"/>
      <c r="D110" s="57"/>
      <c r="E110" s="57"/>
      <c r="F110" s="57"/>
      <c r="G110" s="59"/>
      <c r="H110" s="57"/>
      <c r="I110" s="57"/>
      <c r="J110" s="63"/>
      <c r="K110" s="63"/>
      <c r="L110" s="58"/>
      <c r="M110" s="59"/>
      <c r="N110" s="57"/>
      <c r="O110" s="99"/>
    </row>
    <row r="111" spans="1:15" ht="22.15" customHeight="1" x14ac:dyDescent="0.2">
      <c r="A111" s="53" t="str">
        <f>IF(B111&lt;&gt;"",107,"")</f>
        <v/>
      </c>
      <c r="B111" s="53"/>
      <c r="C111" s="55"/>
      <c r="D111" s="53"/>
      <c r="E111" s="53"/>
      <c r="F111" s="53"/>
      <c r="G111" s="55"/>
      <c r="H111" s="53"/>
      <c r="I111" s="53"/>
      <c r="J111" s="62"/>
      <c r="K111" s="62"/>
      <c r="L111" s="54"/>
      <c r="M111" s="55"/>
      <c r="N111" s="53"/>
      <c r="O111" s="98"/>
    </row>
    <row r="112" spans="1:15" ht="22.15" customHeight="1" x14ac:dyDescent="0.2">
      <c r="A112" s="57" t="str">
        <f>IF(B112&lt;&gt;"",108,"")</f>
        <v/>
      </c>
      <c r="B112" s="57"/>
      <c r="C112" s="59"/>
      <c r="D112" s="57"/>
      <c r="E112" s="57"/>
      <c r="F112" s="57"/>
      <c r="G112" s="59"/>
      <c r="H112" s="57"/>
      <c r="I112" s="57"/>
      <c r="J112" s="63"/>
      <c r="K112" s="63"/>
      <c r="L112" s="58"/>
      <c r="M112" s="59"/>
      <c r="N112" s="57"/>
      <c r="O112" s="99"/>
    </row>
    <row r="113" spans="1:15" ht="22.15" customHeight="1" x14ac:dyDescent="0.2">
      <c r="A113" s="53" t="str">
        <f>IF(B113&lt;&gt;"",109,"")</f>
        <v/>
      </c>
      <c r="B113" s="53"/>
      <c r="C113" s="55"/>
      <c r="D113" s="53"/>
      <c r="E113" s="53"/>
      <c r="F113" s="53"/>
      <c r="G113" s="55"/>
      <c r="H113" s="53"/>
      <c r="I113" s="53"/>
      <c r="J113" s="62"/>
      <c r="K113" s="62"/>
      <c r="L113" s="54"/>
      <c r="M113" s="55"/>
      <c r="N113" s="53"/>
      <c r="O113" s="98"/>
    </row>
    <row r="114" spans="1:15" ht="22.15" customHeight="1" x14ac:dyDescent="0.2">
      <c r="A114" s="57" t="str">
        <f>IF(B114&lt;&gt;"",110,"")</f>
        <v/>
      </c>
      <c r="B114" s="57"/>
      <c r="C114" s="59"/>
      <c r="D114" s="57"/>
      <c r="E114" s="57"/>
      <c r="F114" s="57"/>
      <c r="G114" s="59"/>
      <c r="H114" s="57"/>
      <c r="I114" s="57"/>
      <c r="J114" s="63"/>
      <c r="K114" s="63"/>
      <c r="L114" s="58"/>
      <c r="M114" s="59"/>
      <c r="N114" s="57"/>
      <c r="O114" s="99"/>
    </row>
    <row r="115" spans="1:15" ht="22.15" customHeight="1" x14ac:dyDescent="0.2">
      <c r="A115" s="53" t="str">
        <f>IF(B115&lt;&gt;"",111,"")</f>
        <v/>
      </c>
      <c r="B115" s="53"/>
      <c r="C115" s="55"/>
      <c r="D115" s="53"/>
      <c r="E115" s="53"/>
      <c r="F115" s="53"/>
      <c r="G115" s="55"/>
      <c r="H115" s="53"/>
      <c r="I115" s="53"/>
      <c r="J115" s="62"/>
      <c r="K115" s="62"/>
      <c r="L115" s="54"/>
      <c r="M115" s="55"/>
      <c r="N115" s="53"/>
      <c r="O115" s="98"/>
    </row>
    <row r="116" spans="1:15" ht="22.15" customHeight="1" x14ac:dyDescent="0.2">
      <c r="A116" s="57" t="str">
        <f>IF(B116&lt;&gt;"",112,"")</f>
        <v/>
      </c>
      <c r="B116" s="57"/>
      <c r="C116" s="59"/>
      <c r="D116" s="57"/>
      <c r="E116" s="57"/>
      <c r="F116" s="57"/>
      <c r="G116" s="59"/>
      <c r="H116" s="57"/>
      <c r="I116" s="57"/>
      <c r="J116" s="63"/>
      <c r="K116" s="63"/>
      <c r="L116" s="58"/>
      <c r="M116" s="59"/>
      <c r="N116" s="57"/>
      <c r="O116" s="99"/>
    </row>
    <row r="117" spans="1:15" ht="22.15" customHeight="1" x14ac:dyDescent="0.2">
      <c r="A117" s="53" t="str">
        <f>IF(B117&lt;&gt;"",113,"")</f>
        <v/>
      </c>
      <c r="B117" s="53"/>
      <c r="C117" s="55"/>
      <c r="D117" s="53"/>
      <c r="E117" s="53"/>
      <c r="F117" s="53"/>
      <c r="G117" s="55"/>
      <c r="H117" s="53"/>
      <c r="I117" s="53"/>
      <c r="J117" s="62"/>
      <c r="K117" s="62"/>
      <c r="L117" s="54"/>
      <c r="M117" s="55"/>
      <c r="N117" s="53"/>
      <c r="O117" s="98"/>
    </row>
    <row r="118" spans="1:15" ht="22.15" customHeight="1" x14ac:dyDescent="0.2">
      <c r="A118" s="57" t="str">
        <f>IF(B118&lt;&gt;"",114,"")</f>
        <v/>
      </c>
      <c r="B118" s="57"/>
      <c r="C118" s="59"/>
      <c r="D118" s="57"/>
      <c r="E118" s="57"/>
      <c r="F118" s="57"/>
      <c r="G118" s="59"/>
      <c r="H118" s="57"/>
      <c r="I118" s="57"/>
      <c r="J118" s="63"/>
      <c r="K118" s="63"/>
      <c r="L118" s="58"/>
      <c r="M118" s="59"/>
      <c r="N118" s="57"/>
      <c r="O118" s="99"/>
    </row>
    <row r="119" spans="1:15" ht="22.15" customHeight="1" x14ac:dyDescent="0.2">
      <c r="A119" s="53" t="str">
        <f>IF(B119&lt;&gt;"",115,"")</f>
        <v/>
      </c>
      <c r="B119" s="53"/>
      <c r="C119" s="55"/>
      <c r="D119" s="53"/>
      <c r="E119" s="53"/>
      <c r="F119" s="53"/>
      <c r="G119" s="55"/>
      <c r="H119" s="53"/>
      <c r="I119" s="53"/>
      <c r="J119" s="62"/>
      <c r="K119" s="62"/>
      <c r="L119" s="54"/>
      <c r="M119" s="55"/>
      <c r="N119" s="53"/>
      <c r="O119" s="98"/>
    </row>
    <row r="120" spans="1:15" ht="22.15" customHeight="1" x14ac:dyDescent="0.2">
      <c r="A120" s="57" t="str">
        <f>IF(B120&lt;&gt;"",116,"")</f>
        <v/>
      </c>
      <c r="B120" s="57"/>
      <c r="C120" s="59"/>
      <c r="D120" s="57"/>
      <c r="E120" s="57"/>
      <c r="F120" s="57"/>
      <c r="G120" s="59"/>
      <c r="H120" s="57"/>
      <c r="I120" s="57"/>
      <c r="J120" s="63"/>
      <c r="K120" s="63"/>
      <c r="L120" s="58"/>
      <c r="M120" s="59"/>
      <c r="N120" s="57"/>
      <c r="O120" s="99"/>
    </row>
    <row r="121" spans="1:15" ht="22.15" customHeight="1" x14ac:dyDescent="0.2">
      <c r="A121" s="53" t="str">
        <f>IF(B121&lt;&gt;"",117,"")</f>
        <v/>
      </c>
      <c r="B121" s="53"/>
      <c r="C121" s="55"/>
      <c r="D121" s="53"/>
      <c r="E121" s="53"/>
      <c r="F121" s="53"/>
      <c r="G121" s="55"/>
      <c r="H121" s="53"/>
      <c r="I121" s="53"/>
      <c r="J121" s="62"/>
      <c r="K121" s="62"/>
      <c r="L121" s="54"/>
      <c r="M121" s="55"/>
      <c r="N121" s="53"/>
      <c r="O121" s="98"/>
    </row>
    <row r="122" spans="1:15" ht="22.15" customHeight="1" x14ac:dyDescent="0.2">
      <c r="A122" s="57" t="str">
        <f>IF(B122&lt;&gt;"",118,"")</f>
        <v/>
      </c>
      <c r="B122" s="57"/>
      <c r="C122" s="59"/>
      <c r="D122" s="57"/>
      <c r="E122" s="57"/>
      <c r="F122" s="57"/>
      <c r="G122" s="59"/>
      <c r="H122" s="57"/>
      <c r="I122" s="57"/>
      <c r="J122" s="63"/>
      <c r="K122" s="63"/>
      <c r="L122" s="58"/>
      <c r="M122" s="59"/>
      <c r="N122" s="57"/>
      <c r="O122" s="99"/>
    </row>
    <row r="123" spans="1:15" ht="22.15" customHeight="1" x14ac:dyDescent="0.2">
      <c r="A123" s="53" t="str">
        <f>IF(B123&lt;&gt;"",119,"")</f>
        <v/>
      </c>
      <c r="B123" s="53"/>
      <c r="C123" s="55"/>
      <c r="D123" s="53"/>
      <c r="E123" s="53"/>
      <c r="F123" s="53"/>
      <c r="G123" s="55"/>
      <c r="H123" s="53"/>
      <c r="I123" s="53"/>
      <c r="J123" s="62"/>
      <c r="K123" s="62"/>
      <c r="L123" s="54"/>
      <c r="M123" s="55"/>
      <c r="N123" s="53"/>
      <c r="O123" s="98"/>
    </row>
    <row r="124" spans="1:15" ht="22.15" customHeight="1" x14ac:dyDescent="0.2">
      <c r="A124" s="57" t="str">
        <f>IF(B124&lt;&gt;"",120,"")</f>
        <v/>
      </c>
      <c r="B124" s="57"/>
      <c r="C124" s="59"/>
      <c r="D124" s="57"/>
      <c r="E124" s="57"/>
      <c r="F124" s="57"/>
      <c r="G124" s="59"/>
      <c r="H124" s="57"/>
      <c r="I124" s="57"/>
      <c r="J124" s="63"/>
      <c r="K124" s="63"/>
      <c r="L124" s="58"/>
      <c r="M124" s="59"/>
      <c r="N124" s="57"/>
      <c r="O124" s="99"/>
    </row>
    <row r="125" spans="1:15" ht="22.15" customHeight="1" x14ac:dyDescent="0.2">
      <c r="A125" s="53" t="str">
        <f>IF(B125&lt;&gt;"",121,"")</f>
        <v/>
      </c>
      <c r="B125" s="53"/>
      <c r="C125" s="55"/>
      <c r="D125" s="53"/>
      <c r="E125" s="53"/>
      <c r="F125" s="53"/>
      <c r="G125" s="55"/>
      <c r="H125" s="53"/>
      <c r="I125" s="53"/>
      <c r="J125" s="62"/>
      <c r="K125" s="62"/>
      <c r="L125" s="54"/>
      <c r="M125" s="55"/>
      <c r="N125" s="53"/>
      <c r="O125" s="98"/>
    </row>
    <row r="126" spans="1:15" ht="22.15" customHeight="1" x14ac:dyDescent="0.2">
      <c r="A126" s="57" t="str">
        <f>IF(B126&lt;&gt;"",122,"")</f>
        <v/>
      </c>
      <c r="B126" s="57"/>
      <c r="C126" s="59"/>
      <c r="D126" s="57"/>
      <c r="E126" s="57"/>
      <c r="F126" s="57"/>
      <c r="G126" s="59"/>
      <c r="H126" s="57"/>
      <c r="I126" s="57"/>
      <c r="J126" s="63"/>
      <c r="K126" s="63"/>
      <c r="L126" s="58"/>
      <c r="M126" s="59"/>
      <c r="N126" s="57"/>
      <c r="O126" s="99"/>
    </row>
    <row r="127" spans="1:15" ht="22.15" customHeight="1" x14ac:dyDescent="0.2">
      <c r="A127" s="53" t="str">
        <f>IF(B127&lt;&gt;"",123,"")</f>
        <v/>
      </c>
      <c r="B127" s="53"/>
      <c r="C127" s="55"/>
      <c r="D127" s="53"/>
      <c r="E127" s="53"/>
      <c r="F127" s="53"/>
      <c r="G127" s="55"/>
      <c r="H127" s="53"/>
      <c r="I127" s="53"/>
      <c r="J127" s="62"/>
      <c r="K127" s="62"/>
      <c r="L127" s="54"/>
      <c r="M127" s="55"/>
      <c r="N127" s="53"/>
      <c r="O127" s="98"/>
    </row>
    <row r="128" spans="1:15" ht="22.15" customHeight="1" x14ac:dyDescent="0.2">
      <c r="A128" s="57" t="str">
        <f>IF(B128&lt;&gt;"",124,"")</f>
        <v/>
      </c>
      <c r="B128" s="57"/>
      <c r="C128" s="59"/>
      <c r="D128" s="57"/>
      <c r="E128" s="57"/>
      <c r="F128" s="57"/>
      <c r="G128" s="59"/>
      <c r="H128" s="57"/>
      <c r="I128" s="57"/>
      <c r="J128" s="63"/>
      <c r="K128" s="63"/>
      <c r="L128" s="58"/>
      <c r="M128" s="59"/>
      <c r="N128" s="57"/>
      <c r="O128" s="99"/>
    </row>
    <row r="129" spans="1:15" ht="22.15" customHeight="1" x14ac:dyDescent="0.2">
      <c r="A129" s="53" t="str">
        <f>IF(B129&lt;&gt;"",125,"")</f>
        <v/>
      </c>
      <c r="B129" s="53"/>
      <c r="C129" s="55"/>
      <c r="D129" s="53"/>
      <c r="E129" s="53"/>
      <c r="F129" s="53"/>
      <c r="G129" s="55"/>
      <c r="H129" s="53"/>
      <c r="I129" s="53"/>
      <c r="J129" s="62"/>
      <c r="K129" s="62"/>
      <c r="L129" s="54"/>
      <c r="M129" s="55"/>
      <c r="N129" s="53"/>
      <c r="O129" s="98"/>
    </row>
    <row r="130" spans="1:15" ht="22.15" customHeight="1" x14ac:dyDescent="0.2">
      <c r="A130" s="57" t="str">
        <f>IF(B130&lt;&gt;"",126,"")</f>
        <v/>
      </c>
      <c r="B130" s="57"/>
      <c r="C130" s="59"/>
      <c r="D130" s="57"/>
      <c r="E130" s="57"/>
      <c r="F130" s="57"/>
      <c r="G130" s="59"/>
      <c r="H130" s="57"/>
      <c r="I130" s="57"/>
      <c r="J130" s="63"/>
      <c r="K130" s="63"/>
      <c r="L130" s="58"/>
      <c r="M130" s="59"/>
      <c r="N130" s="57"/>
      <c r="O130" s="99"/>
    </row>
    <row r="131" spans="1:15" ht="22.15" customHeight="1" x14ac:dyDescent="0.2">
      <c r="A131" s="53" t="str">
        <f>IF(B131&lt;&gt;"",127,"")</f>
        <v/>
      </c>
      <c r="B131" s="53"/>
      <c r="C131" s="55"/>
      <c r="D131" s="53"/>
      <c r="E131" s="53"/>
      <c r="F131" s="53"/>
      <c r="G131" s="55"/>
      <c r="H131" s="53"/>
      <c r="I131" s="53"/>
      <c r="J131" s="62"/>
      <c r="K131" s="62"/>
      <c r="L131" s="54"/>
      <c r="M131" s="55"/>
      <c r="N131" s="53"/>
      <c r="O131" s="98"/>
    </row>
    <row r="132" spans="1:15" ht="22.15" customHeight="1" x14ac:dyDescent="0.2">
      <c r="A132" s="57" t="str">
        <f>IF(B132&lt;&gt;"",128,"")</f>
        <v/>
      </c>
      <c r="B132" s="57"/>
      <c r="C132" s="59"/>
      <c r="D132" s="57"/>
      <c r="E132" s="57"/>
      <c r="F132" s="57"/>
      <c r="G132" s="59"/>
      <c r="H132" s="57"/>
      <c r="I132" s="57"/>
      <c r="J132" s="63"/>
      <c r="K132" s="63"/>
      <c r="L132" s="58"/>
      <c r="M132" s="59"/>
      <c r="N132" s="57"/>
      <c r="O132" s="99"/>
    </row>
    <row r="133" spans="1:15" ht="22.15" customHeight="1" x14ac:dyDescent="0.2">
      <c r="A133" s="53" t="str">
        <f>IF(B133&lt;&gt;"",129,"")</f>
        <v/>
      </c>
      <c r="B133" s="53"/>
      <c r="C133" s="55"/>
      <c r="D133" s="53"/>
      <c r="E133" s="53"/>
      <c r="F133" s="53"/>
      <c r="G133" s="55"/>
      <c r="H133" s="53"/>
      <c r="I133" s="53"/>
      <c r="J133" s="62"/>
      <c r="K133" s="62"/>
      <c r="L133" s="54"/>
      <c r="M133" s="55"/>
      <c r="N133" s="53"/>
      <c r="O133" s="98"/>
    </row>
    <row r="134" spans="1:15" ht="22.15" customHeight="1" x14ac:dyDescent="0.2">
      <c r="A134" s="57" t="str">
        <f>IF(B134&lt;&gt;"",130,"")</f>
        <v/>
      </c>
      <c r="B134" s="57"/>
      <c r="C134" s="59"/>
      <c r="D134" s="57"/>
      <c r="E134" s="57"/>
      <c r="F134" s="57"/>
      <c r="G134" s="59"/>
      <c r="H134" s="57"/>
      <c r="I134" s="57"/>
      <c r="J134" s="63"/>
      <c r="K134" s="63"/>
      <c r="L134" s="58"/>
      <c r="M134" s="59"/>
      <c r="N134" s="57"/>
      <c r="O134" s="99"/>
    </row>
    <row r="135" spans="1:15" ht="22.15" customHeight="1" x14ac:dyDescent="0.2">
      <c r="A135" s="53" t="str">
        <f>IF(B135&lt;&gt;"",131,"")</f>
        <v/>
      </c>
      <c r="B135" s="53"/>
      <c r="C135" s="55"/>
      <c r="D135" s="53"/>
      <c r="E135" s="53"/>
      <c r="F135" s="53"/>
      <c r="G135" s="55"/>
      <c r="H135" s="53"/>
      <c r="I135" s="53"/>
      <c r="J135" s="62"/>
      <c r="K135" s="62"/>
      <c r="L135" s="54"/>
      <c r="M135" s="55"/>
      <c r="N135" s="53"/>
      <c r="O135" s="98"/>
    </row>
    <row r="136" spans="1:15" ht="22.15" customHeight="1" x14ac:dyDescent="0.2">
      <c r="A136" s="57" t="str">
        <f>IF(B136&lt;&gt;"",132,"")</f>
        <v/>
      </c>
      <c r="B136" s="57"/>
      <c r="C136" s="59"/>
      <c r="D136" s="57"/>
      <c r="E136" s="57"/>
      <c r="F136" s="57"/>
      <c r="G136" s="59"/>
      <c r="H136" s="57"/>
      <c r="I136" s="57"/>
      <c r="J136" s="63"/>
      <c r="K136" s="63"/>
      <c r="L136" s="58"/>
      <c r="M136" s="59"/>
      <c r="N136" s="57"/>
      <c r="O136" s="99"/>
    </row>
    <row r="137" spans="1:15" ht="22.15" customHeight="1" x14ac:dyDescent="0.2">
      <c r="A137" s="53" t="str">
        <f>IF(B137&lt;&gt;"",133,"")</f>
        <v/>
      </c>
      <c r="B137" s="53"/>
      <c r="C137" s="55"/>
      <c r="D137" s="53"/>
      <c r="E137" s="53"/>
      <c r="F137" s="53"/>
      <c r="G137" s="55"/>
      <c r="H137" s="53"/>
      <c r="I137" s="53"/>
      <c r="J137" s="62"/>
      <c r="K137" s="62"/>
      <c r="L137" s="54"/>
      <c r="M137" s="55"/>
      <c r="N137" s="53"/>
      <c r="O137" s="98"/>
    </row>
    <row r="138" spans="1:15" ht="22.15" customHeight="1" x14ac:dyDescent="0.2">
      <c r="A138" s="57" t="str">
        <f>IF(B138&lt;&gt;"",134,"")</f>
        <v/>
      </c>
      <c r="B138" s="57"/>
      <c r="C138" s="59"/>
      <c r="D138" s="57"/>
      <c r="E138" s="57"/>
      <c r="F138" s="57"/>
      <c r="G138" s="59"/>
      <c r="H138" s="57"/>
      <c r="I138" s="57"/>
      <c r="J138" s="63"/>
      <c r="K138" s="63"/>
      <c r="L138" s="58"/>
      <c r="M138" s="59"/>
      <c r="N138" s="57"/>
      <c r="O138" s="99"/>
    </row>
    <row r="139" spans="1:15" ht="22.15" customHeight="1" x14ac:dyDescent="0.2">
      <c r="A139" s="53" t="str">
        <f>IF(B139&lt;&gt;"",135,"")</f>
        <v/>
      </c>
      <c r="B139" s="53"/>
      <c r="C139" s="55"/>
      <c r="D139" s="53"/>
      <c r="E139" s="53"/>
      <c r="F139" s="53"/>
      <c r="G139" s="55"/>
      <c r="H139" s="53"/>
      <c r="I139" s="53"/>
      <c r="J139" s="62"/>
      <c r="K139" s="62"/>
      <c r="L139" s="54"/>
      <c r="M139" s="55"/>
      <c r="N139" s="53"/>
      <c r="O139" s="98"/>
    </row>
    <row r="140" spans="1:15" ht="22.15" customHeight="1" x14ac:dyDescent="0.2">
      <c r="A140" s="57" t="str">
        <f>IF(B140&lt;&gt;"",136,"")</f>
        <v/>
      </c>
      <c r="B140" s="57"/>
      <c r="C140" s="59"/>
      <c r="D140" s="57"/>
      <c r="E140" s="57"/>
      <c r="F140" s="57"/>
      <c r="G140" s="59"/>
      <c r="H140" s="57"/>
      <c r="I140" s="57"/>
      <c r="J140" s="63"/>
      <c r="K140" s="63"/>
      <c r="L140" s="58"/>
      <c r="M140" s="59"/>
      <c r="N140" s="57"/>
      <c r="O140" s="99"/>
    </row>
    <row r="141" spans="1:15" ht="22.15" customHeight="1" x14ac:dyDescent="0.2">
      <c r="A141" s="53" t="str">
        <f>IF(B141&lt;&gt;"",137,"")</f>
        <v/>
      </c>
      <c r="B141" s="53"/>
      <c r="C141" s="55"/>
      <c r="D141" s="53"/>
      <c r="E141" s="53"/>
      <c r="F141" s="53"/>
      <c r="G141" s="55"/>
      <c r="H141" s="53"/>
      <c r="I141" s="53"/>
      <c r="J141" s="62"/>
      <c r="K141" s="62"/>
      <c r="L141" s="54"/>
      <c r="M141" s="55"/>
      <c r="N141" s="53"/>
      <c r="O141" s="98"/>
    </row>
    <row r="142" spans="1:15" ht="22.15" customHeight="1" x14ac:dyDescent="0.2">
      <c r="A142" s="57" t="str">
        <f>IF(B142&lt;&gt;"",138,"")</f>
        <v/>
      </c>
      <c r="B142" s="57"/>
      <c r="C142" s="59"/>
      <c r="D142" s="57"/>
      <c r="E142" s="57"/>
      <c r="F142" s="57"/>
      <c r="G142" s="59"/>
      <c r="H142" s="57"/>
      <c r="I142" s="57"/>
      <c r="J142" s="63"/>
      <c r="K142" s="63"/>
      <c r="L142" s="58"/>
      <c r="M142" s="59"/>
      <c r="N142" s="57"/>
      <c r="O142" s="99"/>
    </row>
    <row r="143" spans="1:15" ht="22.15" customHeight="1" x14ac:dyDescent="0.2">
      <c r="A143" s="53" t="str">
        <f>IF(B143&lt;&gt;"",139,"")</f>
        <v/>
      </c>
      <c r="B143" s="53"/>
      <c r="C143" s="55"/>
      <c r="D143" s="53"/>
      <c r="E143" s="53"/>
      <c r="F143" s="53"/>
      <c r="G143" s="55"/>
      <c r="H143" s="53"/>
      <c r="I143" s="53"/>
      <c r="J143" s="62"/>
      <c r="K143" s="62"/>
      <c r="L143" s="54"/>
      <c r="M143" s="55"/>
      <c r="N143" s="53"/>
      <c r="O143" s="98"/>
    </row>
    <row r="144" spans="1:15" ht="22.15" customHeight="1" x14ac:dyDescent="0.2">
      <c r="A144" s="57" t="str">
        <f>IF(B144&lt;&gt;"",140,"")</f>
        <v/>
      </c>
      <c r="B144" s="57"/>
      <c r="C144" s="59"/>
      <c r="D144" s="57"/>
      <c r="E144" s="57"/>
      <c r="F144" s="57"/>
      <c r="G144" s="59"/>
      <c r="H144" s="57"/>
      <c r="I144" s="57"/>
      <c r="J144" s="63"/>
      <c r="K144" s="63"/>
      <c r="L144" s="58"/>
      <c r="M144" s="59"/>
      <c r="N144" s="57"/>
      <c r="O144" s="99"/>
    </row>
    <row r="145" spans="1:15" ht="22.15" customHeight="1" x14ac:dyDescent="0.2">
      <c r="A145" s="53" t="str">
        <f>IF(B145&lt;&gt;"",141,"")</f>
        <v/>
      </c>
      <c r="B145" s="53"/>
      <c r="C145" s="55"/>
      <c r="D145" s="53"/>
      <c r="E145" s="53"/>
      <c r="F145" s="53"/>
      <c r="G145" s="55"/>
      <c r="H145" s="53"/>
      <c r="I145" s="53"/>
      <c r="J145" s="62"/>
      <c r="K145" s="62"/>
      <c r="L145" s="54"/>
      <c r="M145" s="55"/>
      <c r="N145" s="53"/>
      <c r="O145" s="98"/>
    </row>
    <row r="146" spans="1:15" ht="22.15" customHeight="1" x14ac:dyDescent="0.2">
      <c r="A146" s="57" t="str">
        <f>IF(B146&lt;&gt;"",142,"")</f>
        <v/>
      </c>
      <c r="B146" s="57"/>
      <c r="C146" s="59"/>
      <c r="D146" s="57"/>
      <c r="E146" s="57"/>
      <c r="F146" s="57"/>
      <c r="G146" s="59"/>
      <c r="H146" s="57"/>
      <c r="I146" s="57"/>
      <c r="J146" s="63"/>
      <c r="K146" s="63"/>
      <c r="L146" s="58"/>
      <c r="M146" s="59"/>
      <c r="N146" s="57"/>
      <c r="O146" s="99"/>
    </row>
    <row r="147" spans="1:15" ht="22.15" customHeight="1" x14ac:dyDescent="0.2">
      <c r="A147" s="53" t="str">
        <f>IF(B147&lt;&gt;"",143,"")</f>
        <v/>
      </c>
      <c r="B147" s="53"/>
      <c r="C147" s="55"/>
      <c r="D147" s="53"/>
      <c r="E147" s="53"/>
      <c r="F147" s="53"/>
      <c r="G147" s="55"/>
      <c r="H147" s="53"/>
      <c r="I147" s="53"/>
      <c r="J147" s="62"/>
      <c r="K147" s="62"/>
      <c r="L147" s="54"/>
      <c r="M147" s="55"/>
      <c r="N147" s="53"/>
      <c r="O147" s="98"/>
    </row>
    <row r="148" spans="1:15" ht="22.15" customHeight="1" x14ac:dyDescent="0.2">
      <c r="A148" s="57" t="str">
        <f>IF(B148&lt;&gt;"",144,"")</f>
        <v/>
      </c>
      <c r="B148" s="57"/>
      <c r="C148" s="59"/>
      <c r="D148" s="57"/>
      <c r="E148" s="57"/>
      <c r="F148" s="57"/>
      <c r="G148" s="59"/>
      <c r="H148" s="57"/>
      <c r="I148" s="57"/>
      <c r="J148" s="63"/>
      <c r="K148" s="63"/>
      <c r="L148" s="58"/>
      <c r="M148" s="59"/>
      <c r="N148" s="57"/>
      <c r="O148" s="99"/>
    </row>
    <row r="149" spans="1:15" ht="22.15" customHeight="1" x14ac:dyDescent="0.2">
      <c r="A149" s="53" t="str">
        <f>IF(B149&lt;&gt;"",145,"")</f>
        <v/>
      </c>
      <c r="B149" s="53"/>
      <c r="C149" s="55"/>
      <c r="D149" s="53"/>
      <c r="E149" s="53"/>
      <c r="F149" s="53"/>
      <c r="G149" s="55"/>
      <c r="H149" s="53"/>
      <c r="I149" s="53"/>
      <c r="J149" s="62"/>
      <c r="K149" s="62"/>
      <c r="L149" s="54"/>
      <c r="M149" s="55"/>
      <c r="N149" s="53"/>
      <c r="O149" s="98"/>
    </row>
    <row r="150" spans="1:15" ht="22.15" customHeight="1" x14ac:dyDescent="0.2">
      <c r="A150" s="57" t="str">
        <f>IF(B150&lt;&gt;"",146,"")</f>
        <v/>
      </c>
      <c r="B150" s="57"/>
      <c r="C150" s="59"/>
      <c r="D150" s="57"/>
      <c r="E150" s="57"/>
      <c r="F150" s="57"/>
      <c r="G150" s="59"/>
      <c r="H150" s="57"/>
      <c r="I150" s="57"/>
      <c r="J150" s="63"/>
      <c r="K150" s="63"/>
      <c r="L150" s="58"/>
      <c r="M150" s="59"/>
      <c r="N150" s="57"/>
      <c r="O150" s="99"/>
    </row>
    <row r="151" spans="1:15" ht="22.15" customHeight="1" x14ac:dyDescent="0.2">
      <c r="A151" s="53" t="str">
        <f>IF(B151&lt;&gt;"",147,"")</f>
        <v/>
      </c>
      <c r="B151" s="53"/>
      <c r="C151" s="55"/>
      <c r="D151" s="53"/>
      <c r="E151" s="53"/>
      <c r="F151" s="53"/>
      <c r="G151" s="55"/>
      <c r="H151" s="53"/>
      <c r="I151" s="53"/>
      <c r="J151" s="62"/>
      <c r="K151" s="62"/>
      <c r="L151" s="54"/>
      <c r="M151" s="55"/>
      <c r="N151" s="53"/>
      <c r="O151" s="98"/>
    </row>
    <row r="152" spans="1:15" ht="22.15" customHeight="1" x14ac:dyDescent="0.2">
      <c r="A152" s="57" t="str">
        <f>IF(B152&lt;&gt;"",148,"")</f>
        <v/>
      </c>
      <c r="B152" s="57"/>
      <c r="C152" s="59"/>
      <c r="D152" s="57"/>
      <c r="E152" s="57"/>
      <c r="F152" s="57"/>
      <c r="G152" s="59"/>
      <c r="H152" s="57"/>
      <c r="I152" s="57"/>
      <c r="J152" s="63"/>
      <c r="K152" s="63"/>
      <c r="L152" s="58"/>
      <c r="M152" s="59"/>
      <c r="N152" s="57"/>
      <c r="O152" s="99"/>
    </row>
    <row r="153" spans="1:15" ht="22.15" customHeight="1" x14ac:dyDescent="0.2">
      <c r="A153" s="53" t="str">
        <f>IF(B153&lt;&gt;"",149,"")</f>
        <v/>
      </c>
      <c r="B153" s="53"/>
      <c r="C153" s="55"/>
      <c r="D153" s="53"/>
      <c r="E153" s="53"/>
      <c r="F153" s="53"/>
      <c r="G153" s="55"/>
      <c r="H153" s="53"/>
      <c r="I153" s="53"/>
      <c r="J153" s="62"/>
      <c r="K153" s="62"/>
      <c r="L153" s="54"/>
      <c r="M153" s="55"/>
      <c r="N153" s="53"/>
      <c r="O153" s="98"/>
    </row>
    <row r="154" spans="1:15" ht="22.15" customHeight="1" x14ac:dyDescent="0.2">
      <c r="A154" s="57" t="str">
        <f>IF(B154&lt;&gt;"",150,"")</f>
        <v/>
      </c>
      <c r="B154" s="57"/>
      <c r="C154" s="59"/>
      <c r="D154" s="57"/>
      <c r="E154" s="57"/>
      <c r="F154" s="57"/>
      <c r="G154" s="59"/>
      <c r="H154" s="57"/>
      <c r="I154" s="57"/>
      <c r="J154" s="63"/>
      <c r="K154" s="63"/>
      <c r="L154" s="58"/>
      <c r="M154" s="59"/>
      <c r="N154" s="57"/>
      <c r="O154" s="99"/>
    </row>
    <row r="155" spans="1:15" ht="22.15" customHeight="1" x14ac:dyDescent="0.2">
      <c r="A155" s="53" t="str">
        <f>IF(B155&lt;&gt;"",151,"")</f>
        <v/>
      </c>
      <c r="B155" s="53"/>
      <c r="C155" s="55"/>
      <c r="D155" s="53"/>
      <c r="E155" s="53"/>
      <c r="F155" s="53"/>
      <c r="G155" s="55"/>
      <c r="H155" s="53"/>
      <c r="I155" s="53"/>
      <c r="J155" s="62"/>
      <c r="K155" s="62"/>
      <c r="L155" s="54"/>
      <c r="M155" s="55"/>
      <c r="N155" s="53"/>
      <c r="O155" s="98"/>
    </row>
    <row r="156" spans="1:15" ht="22.15" customHeight="1" x14ac:dyDescent="0.2">
      <c r="A156" s="57" t="str">
        <f>IF(B156&lt;&gt;"",152,"")</f>
        <v/>
      </c>
      <c r="B156" s="57"/>
      <c r="C156" s="59"/>
      <c r="D156" s="57"/>
      <c r="E156" s="57"/>
      <c r="F156" s="57"/>
      <c r="G156" s="59"/>
      <c r="H156" s="57"/>
      <c r="I156" s="57"/>
      <c r="J156" s="63"/>
      <c r="K156" s="63"/>
      <c r="L156" s="58"/>
      <c r="M156" s="59"/>
      <c r="N156" s="57"/>
      <c r="O156" s="99"/>
    </row>
    <row r="157" spans="1:15" ht="22.15" customHeight="1" x14ac:dyDescent="0.2">
      <c r="A157" s="53" t="str">
        <f>IF(B157&lt;&gt;"",153,"")</f>
        <v/>
      </c>
      <c r="B157" s="53"/>
      <c r="C157" s="55"/>
      <c r="D157" s="53"/>
      <c r="E157" s="53"/>
      <c r="F157" s="53"/>
      <c r="G157" s="55"/>
      <c r="H157" s="53"/>
      <c r="I157" s="53"/>
      <c r="J157" s="62"/>
      <c r="K157" s="62"/>
      <c r="L157" s="54"/>
      <c r="M157" s="55"/>
      <c r="N157" s="53"/>
      <c r="O157" s="98"/>
    </row>
    <row r="158" spans="1:15" ht="22.15" customHeight="1" x14ac:dyDescent="0.2">
      <c r="A158" s="57" t="str">
        <f>IF(B158&lt;&gt;"",154,"")</f>
        <v/>
      </c>
      <c r="B158" s="57"/>
      <c r="C158" s="59"/>
      <c r="D158" s="57"/>
      <c r="E158" s="57"/>
      <c r="F158" s="57"/>
      <c r="G158" s="59"/>
      <c r="H158" s="57"/>
      <c r="I158" s="57"/>
      <c r="J158" s="63"/>
      <c r="K158" s="63"/>
      <c r="L158" s="58"/>
      <c r="M158" s="59"/>
      <c r="N158" s="57"/>
      <c r="O158" s="99"/>
    </row>
    <row r="159" spans="1:15" ht="22.15" customHeight="1" x14ac:dyDescent="0.2">
      <c r="A159" s="53" t="str">
        <f>IF(B159&lt;&gt;"",155,"")</f>
        <v/>
      </c>
      <c r="B159" s="53"/>
      <c r="C159" s="55"/>
      <c r="D159" s="53"/>
      <c r="E159" s="53"/>
      <c r="F159" s="53"/>
      <c r="G159" s="55"/>
      <c r="H159" s="53"/>
      <c r="I159" s="53"/>
      <c r="J159" s="62"/>
      <c r="K159" s="62"/>
      <c r="L159" s="54"/>
      <c r="M159" s="55"/>
      <c r="N159" s="53"/>
      <c r="O159" s="98"/>
    </row>
    <row r="160" spans="1:15" ht="22.15" customHeight="1" x14ac:dyDescent="0.2">
      <c r="A160" s="57" t="str">
        <f>IF(B160&lt;&gt;"",156,"")</f>
        <v/>
      </c>
      <c r="B160" s="57"/>
      <c r="C160" s="59"/>
      <c r="D160" s="57"/>
      <c r="E160" s="57"/>
      <c r="F160" s="57"/>
      <c r="G160" s="59"/>
      <c r="H160" s="57"/>
      <c r="I160" s="57"/>
      <c r="J160" s="63"/>
      <c r="K160" s="63"/>
      <c r="L160" s="58"/>
      <c r="M160" s="59"/>
      <c r="N160" s="57"/>
      <c r="O160" s="99"/>
    </row>
    <row r="161" spans="1:15" ht="22.15" customHeight="1" x14ac:dyDescent="0.2">
      <c r="A161" s="53" t="str">
        <f>IF(B161&lt;&gt;"",157,"")</f>
        <v/>
      </c>
      <c r="B161" s="53"/>
      <c r="C161" s="55"/>
      <c r="D161" s="53"/>
      <c r="E161" s="53"/>
      <c r="F161" s="53"/>
      <c r="G161" s="55"/>
      <c r="H161" s="53"/>
      <c r="I161" s="53"/>
      <c r="J161" s="62"/>
      <c r="K161" s="62"/>
      <c r="L161" s="54"/>
      <c r="M161" s="55"/>
      <c r="N161" s="53"/>
      <c r="O161" s="98"/>
    </row>
    <row r="162" spans="1:15" ht="22.15" customHeight="1" x14ac:dyDescent="0.2">
      <c r="A162" s="57" t="str">
        <f>IF(B162&lt;&gt;"",158,"")</f>
        <v/>
      </c>
      <c r="B162" s="57"/>
      <c r="C162" s="59"/>
      <c r="D162" s="57"/>
      <c r="E162" s="57"/>
      <c r="F162" s="57"/>
      <c r="G162" s="59"/>
      <c r="H162" s="57"/>
      <c r="I162" s="57"/>
      <c r="J162" s="63"/>
      <c r="K162" s="63"/>
      <c r="L162" s="58"/>
      <c r="M162" s="59"/>
      <c r="N162" s="57"/>
      <c r="O162" s="99"/>
    </row>
    <row r="163" spans="1:15" ht="22.15" customHeight="1" x14ac:dyDescent="0.2">
      <c r="A163" s="53" t="str">
        <f>IF(B163&lt;&gt;"",159,"")</f>
        <v/>
      </c>
      <c r="B163" s="53"/>
      <c r="C163" s="55"/>
      <c r="D163" s="53"/>
      <c r="E163" s="53"/>
      <c r="F163" s="53"/>
      <c r="G163" s="55"/>
      <c r="H163" s="53"/>
      <c r="I163" s="53"/>
      <c r="J163" s="62"/>
      <c r="K163" s="62"/>
      <c r="L163" s="54"/>
      <c r="M163" s="55"/>
      <c r="N163" s="53"/>
      <c r="O163" s="98"/>
    </row>
    <row r="164" spans="1:15" ht="22.15" customHeight="1" x14ac:dyDescent="0.2">
      <c r="A164" s="57" t="str">
        <f>IF(B164&lt;&gt;"",160,"")</f>
        <v/>
      </c>
      <c r="B164" s="57"/>
      <c r="C164" s="59"/>
      <c r="D164" s="57"/>
      <c r="E164" s="57"/>
      <c r="F164" s="57"/>
      <c r="G164" s="59"/>
      <c r="H164" s="57"/>
      <c r="I164" s="57"/>
      <c r="J164" s="63"/>
      <c r="K164" s="63"/>
      <c r="L164" s="58"/>
      <c r="M164" s="59"/>
      <c r="N164" s="57"/>
      <c r="O164" s="99"/>
    </row>
    <row r="165" spans="1:15" ht="22.15" customHeight="1" x14ac:dyDescent="0.2">
      <c r="A165" s="53" t="str">
        <f>IF(B165&lt;&gt;"",161,"")</f>
        <v/>
      </c>
      <c r="B165" s="53"/>
      <c r="C165" s="55"/>
      <c r="D165" s="53"/>
      <c r="E165" s="53"/>
      <c r="F165" s="53"/>
      <c r="G165" s="55"/>
      <c r="H165" s="53"/>
      <c r="I165" s="53"/>
      <c r="J165" s="62"/>
      <c r="K165" s="62"/>
      <c r="L165" s="54"/>
      <c r="M165" s="55"/>
      <c r="N165" s="53"/>
      <c r="O165" s="98"/>
    </row>
    <row r="166" spans="1:15" ht="22.15" customHeight="1" x14ac:dyDescent="0.2">
      <c r="A166" s="57" t="str">
        <f>IF(B166&lt;&gt;"",162,"")</f>
        <v/>
      </c>
      <c r="B166" s="57"/>
      <c r="C166" s="59"/>
      <c r="D166" s="57"/>
      <c r="E166" s="57"/>
      <c r="F166" s="57"/>
      <c r="G166" s="59"/>
      <c r="H166" s="57"/>
      <c r="I166" s="57"/>
      <c r="J166" s="63"/>
      <c r="K166" s="63"/>
      <c r="L166" s="58"/>
      <c r="M166" s="59"/>
      <c r="N166" s="57"/>
      <c r="O166" s="99"/>
    </row>
    <row r="167" spans="1:15" ht="22.15" customHeight="1" x14ac:dyDescent="0.2">
      <c r="A167" s="53" t="str">
        <f>IF(B167&lt;&gt;"",163,"")</f>
        <v/>
      </c>
      <c r="B167" s="53"/>
      <c r="C167" s="55"/>
      <c r="D167" s="53"/>
      <c r="E167" s="53"/>
      <c r="F167" s="53"/>
      <c r="G167" s="55"/>
      <c r="H167" s="53"/>
      <c r="I167" s="53"/>
      <c r="J167" s="62"/>
      <c r="K167" s="62"/>
      <c r="L167" s="54"/>
      <c r="M167" s="55"/>
      <c r="N167" s="53"/>
      <c r="O167" s="98"/>
    </row>
    <row r="168" spans="1:15" ht="22.15" customHeight="1" x14ac:dyDescent="0.2">
      <c r="A168" s="57" t="str">
        <f>IF(B168&lt;&gt;"",164,"")</f>
        <v/>
      </c>
      <c r="B168" s="57"/>
      <c r="C168" s="59"/>
      <c r="D168" s="57"/>
      <c r="E168" s="57"/>
      <c r="F168" s="57"/>
      <c r="G168" s="59"/>
      <c r="H168" s="57"/>
      <c r="I168" s="57"/>
      <c r="J168" s="63"/>
      <c r="K168" s="63"/>
      <c r="L168" s="58"/>
      <c r="M168" s="59"/>
      <c r="N168" s="57"/>
      <c r="O168" s="99"/>
    </row>
    <row r="169" spans="1:15" ht="22.15" customHeight="1" x14ac:dyDescent="0.2">
      <c r="A169" s="53" t="str">
        <f>IF(B169&lt;&gt;"",165,"")</f>
        <v/>
      </c>
      <c r="B169" s="53"/>
      <c r="C169" s="55"/>
      <c r="D169" s="53"/>
      <c r="E169" s="53"/>
      <c r="F169" s="53"/>
      <c r="G169" s="55"/>
      <c r="H169" s="53"/>
      <c r="I169" s="53"/>
      <c r="J169" s="62"/>
      <c r="K169" s="62"/>
      <c r="L169" s="54"/>
      <c r="M169" s="55"/>
      <c r="N169" s="53"/>
      <c r="O169" s="98"/>
    </row>
    <row r="170" spans="1:15" ht="22.15" customHeight="1" x14ac:dyDescent="0.2">
      <c r="A170" s="57" t="str">
        <f>IF(B170&lt;&gt;"",166,"")</f>
        <v/>
      </c>
      <c r="B170" s="57"/>
      <c r="C170" s="59"/>
      <c r="D170" s="57"/>
      <c r="E170" s="57"/>
      <c r="F170" s="57"/>
      <c r="G170" s="59"/>
      <c r="H170" s="57"/>
      <c r="I170" s="57"/>
      <c r="J170" s="63"/>
      <c r="K170" s="63"/>
      <c r="L170" s="58"/>
      <c r="M170" s="59"/>
      <c r="N170" s="57"/>
      <c r="O170" s="99"/>
    </row>
    <row r="171" spans="1:15" ht="22.15" customHeight="1" x14ac:dyDescent="0.2">
      <c r="A171" s="53" t="str">
        <f>IF(B171&lt;&gt;"",167,"")</f>
        <v/>
      </c>
      <c r="B171" s="53"/>
      <c r="C171" s="55"/>
      <c r="D171" s="53"/>
      <c r="E171" s="53"/>
      <c r="F171" s="53"/>
      <c r="G171" s="55"/>
      <c r="H171" s="53"/>
      <c r="I171" s="53"/>
      <c r="J171" s="62"/>
      <c r="K171" s="62"/>
      <c r="L171" s="54"/>
      <c r="M171" s="55"/>
      <c r="N171" s="53"/>
      <c r="O171" s="98"/>
    </row>
    <row r="172" spans="1:15" ht="22.15" customHeight="1" x14ac:dyDescent="0.2">
      <c r="A172" s="57" t="str">
        <f>IF(B172&lt;&gt;"",168,"")</f>
        <v/>
      </c>
      <c r="B172" s="57"/>
      <c r="C172" s="59"/>
      <c r="D172" s="57"/>
      <c r="E172" s="57"/>
      <c r="F172" s="57"/>
      <c r="G172" s="59"/>
      <c r="H172" s="57"/>
      <c r="I172" s="57"/>
      <c r="J172" s="63"/>
      <c r="K172" s="63"/>
      <c r="L172" s="58"/>
      <c r="M172" s="59"/>
      <c r="N172" s="57"/>
      <c r="O172" s="99"/>
    </row>
    <row r="173" spans="1:15" ht="22.15" customHeight="1" x14ac:dyDescent="0.2">
      <c r="A173" s="53" t="str">
        <f>IF(B173&lt;&gt;"",169,"")</f>
        <v/>
      </c>
      <c r="B173" s="53"/>
      <c r="C173" s="55"/>
      <c r="D173" s="53"/>
      <c r="E173" s="53"/>
      <c r="F173" s="53"/>
      <c r="G173" s="55"/>
      <c r="H173" s="53"/>
      <c r="I173" s="53"/>
      <c r="J173" s="62"/>
      <c r="K173" s="62"/>
      <c r="L173" s="54"/>
      <c r="M173" s="55"/>
      <c r="N173" s="53"/>
      <c r="O173" s="98"/>
    </row>
    <row r="174" spans="1:15" ht="22.15" customHeight="1" x14ac:dyDescent="0.2">
      <c r="A174" s="57" t="str">
        <f>IF(B174&lt;&gt;"",170,"")</f>
        <v/>
      </c>
      <c r="B174" s="57"/>
      <c r="C174" s="59"/>
      <c r="D174" s="57"/>
      <c r="E174" s="57"/>
      <c r="F174" s="57"/>
      <c r="G174" s="59"/>
      <c r="H174" s="57"/>
      <c r="I174" s="57"/>
      <c r="J174" s="63"/>
      <c r="K174" s="63"/>
      <c r="L174" s="58"/>
      <c r="M174" s="59"/>
      <c r="N174" s="57"/>
      <c r="O174" s="99"/>
    </row>
    <row r="175" spans="1:15" ht="22.15" customHeight="1" x14ac:dyDescent="0.2">
      <c r="A175" s="53" t="str">
        <f>IF(B175&lt;&gt;"",171,"")</f>
        <v/>
      </c>
      <c r="B175" s="53"/>
      <c r="C175" s="55"/>
      <c r="D175" s="53"/>
      <c r="E175" s="53"/>
      <c r="F175" s="53"/>
      <c r="G175" s="55"/>
      <c r="H175" s="53"/>
      <c r="I175" s="53"/>
      <c r="J175" s="62"/>
      <c r="K175" s="62"/>
      <c r="L175" s="54"/>
      <c r="M175" s="55"/>
      <c r="N175" s="53"/>
      <c r="O175" s="98"/>
    </row>
    <row r="176" spans="1:15" ht="22.15" customHeight="1" x14ac:dyDescent="0.2">
      <c r="A176" s="57" t="str">
        <f>IF(B176&lt;&gt;"",172,"")</f>
        <v/>
      </c>
      <c r="B176" s="57"/>
      <c r="C176" s="59"/>
      <c r="D176" s="57"/>
      <c r="E176" s="57"/>
      <c r="F176" s="57"/>
      <c r="G176" s="59"/>
      <c r="H176" s="57"/>
      <c r="I176" s="57"/>
      <c r="J176" s="63"/>
      <c r="K176" s="63"/>
      <c r="L176" s="58"/>
      <c r="M176" s="59"/>
      <c r="N176" s="57"/>
      <c r="O176" s="99"/>
    </row>
    <row r="177" spans="1:15" ht="22.15" customHeight="1" x14ac:dyDescent="0.2">
      <c r="A177" s="53" t="str">
        <f>IF(B177&lt;&gt;"",173,"")</f>
        <v/>
      </c>
      <c r="B177" s="53"/>
      <c r="C177" s="55"/>
      <c r="D177" s="53"/>
      <c r="E177" s="53"/>
      <c r="F177" s="53"/>
      <c r="G177" s="55"/>
      <c r="H177" s="53"/>
      <c r="I177" s="53"/>
      <c r="J177" s="62"/>
      <c r="K177" s="62"/>
      <c r="L177" s="54"/>
      <c r="M177" s="55"/>
      <c r="N177" s="53"/>
      <c r="O177" s="98"/>
    </row>
    <row r="178" spans="1:15" ht="22.15" customHeight="1" x14ac:dyDescent="0.2">
      <c r="A178" s="57" t="str">
        <f>IF(B178&lt;&gt;"",174,"")</f>
        <v/>
      </c>
      <c r="B178" s="57"/>
      <c r="C178" s="59"/>
      <c r="D178" s="57"/>
      <c r="E178" s="57"/>
      <c r="F178" s="57"/>
      <c r="G178" s="59"/>
      <c r="H178" s="57"/>
      <c r="I178" s="57"/>
      <c r="J178" s="63"/>
      <c r="K178" s="63"/>
      <c r="L178" s="58"/>
      <c r="M178" s="59"/>
      <c r="N178" s="57"/>
      <c r="O178" s="99"/>
    </row>
    <row r="179" spans="1:15" ht="22.15" customHeight="1" x14ac:dyDescent="0.2">
      <c r="A179" s="53" t="str">
        <f>IF(B179&lt;&gt;"",175,"")</f>
        <v/>
      </c>
      <c r="B179" s="53"/>
      <c r="C179" s="55"/>
      <c r="D179" s="53"/>
      <c r="E179" s="53"/>
      <c r="F179" s="53"/>
      <c r="G179" s="55"/>
      <c r="H179" s="53"/>
      <c r="I179" s="53"/>
      <c r="J179" s="62"/>
      <c r="K179" s="62"/>
      <c r="L179" s="54"/>
      <c r="M179" s="55"/>
      <c r="N179" s="53"/>
      <c r="O179" s="98"/>
    </row>
    <row r="180" spans="1:15" ht="22.15" customHeight="1" x14ac:dyDescent="0.2">
      <c r="A180" s="57" t="str">
        <f>IF(B180&lt;&gt;"",176,"")</f>
        <v/>
      </c>
      <c r="B180" s="57"/>
      <c r="C180" s="59"/>
      <c r="D180" s="57"/>
      <c r="E180" s="57"/>
      <c r="F180" s="57"/>
      <c r="G180" s="59"/>
      <c r="H180" s="57"/>
      <c r="I180" s="57"/>
      <c r="J180" s="63"/>
      <c r="K180" s="63"/>
      <c r="L180" s="58"/>
      <c r="M180" s="59"/>
      <c r="N180" s="57"/>
      <c r="O180" s="99"/>
    </row>
    <row r="181" spans="1:15" ht="22.15" customHeight="1" x14ac:dyDescent="0.2">
      <c r="A181" s="53" t="str">
        <f>IF(B181&lt;&gt;"",177,"")</f>
        <v/>
      </c>
      <c r="B181" s="53"/>
      <c r="C181" s="55"/>
      <c r="D181" s="53"/>
      <c r="E181" s="53"/>
      <c r="F181" s="53"/>
      <c r="G181" s="55"/>
      <c r="H181" s="53"/>
      <c r="I181" s="53"/>
      <c r="J181" s="62"/>
      <c r="K181" s="62"/>
      <c r="L181" s="54"/>
      <c r="M181" s="55"/>
      <c r="N181" s="53"/>
      <c r="O181" s="98"/>
    </row>
    <row r="182" spans="1:15" ht="22.15" customHeight="1" x14ac:dyDescent="0.2">
      <c r="A182" s="57" t="str">
        <f>IF(B182&lt;&gt;"",178,"")</f>
        <v/>
      </c>
      <c r="B182" s="57"/>
      <c r="C182" s="59"/>
      <c r="D182" s="57"/>
      <c r="E182" s="57"/>
      <c r="F182" s="57"/>
      <c r="G182" s="59"/>
      <c r="H182" s="57"/>
      <c r="I182" s="57"/>
      <c r="J182" s="63"/>
      <c r="K182" s="63"/>
      <c r="L182" s="58"/>
      <c r="M182" s="59"/>
      <c r="N182" s="57"/>
      <c r="O182" s="99"/>
    </row>
    <row r="183" spans="1:15" ht="22.15" customHeight="1" x14ac:dyDescent="0.2">
      <c r="A183" s="53" t="str">
        <f>IF(B183&lt;&gt;"",179,"")</f>
        <v/>
      </c>
      <c r="B183" s="53"/>
      <c r="C183" s="55"/>
      <c r="D183" s="53"/>
      <c r="E183" s="53"/>
      <c r="F183" s="53"/>
      <c r="G183" s="55"/>
      <c r="H183" s="53"/>
      <c r="I183" s="53"/>
      <c r="J183" s="62"/>
      <c r="K183" s="62"/>
      <c r="L183" s="54"/>
      <c r="M183" s="55"/>
      <c r="N183" s="53"/>
      <c r="O183" s="98"/>
    </row>
    <row r="184" spans="1:15" ht="22.15" customHeight="1" x14ac:dyDescent="0.2">
      <c r="A184" s="57" t="str">
        <f>IF(B184&lt;&gt;"",180,"")</f>
        <v/>
      </c>
      <c r="B184" s="57"/>
      <c r="C184" s="59"/>
      <c r="D184" s="57"/>
      <c r="E184" s="57"/>
      <c r="F184" s="57"/>
      <c r="G184" s="59"/>
      <c r="H184" s="57"/>
      <c r="I184" s="57"/>
      <c r="J184" s="63"/>
      <c r="K184" s="63"/>
      <c r="L184" s="58"/>
      <c r="M184" s="59"/>
      <c r="N184" s="57"/>
      <c r="O184" s="99"/>
    </row>
    <row r="185" spans="1:15" ht="22.15" customHeight="1" x14ac:dyDescent="0.2">
      <c r="A185" s="53" t="str">
        <f>IF(B185&lt;&gt;"",181,"")</f>
        <v/>
      </c>
      <c r="B185" s="53"/>
      <c r="C185" s="55"/>
      <c r="D185" s="53"/>
      <c r="E185" s="53"/>
      <c r="F185" s="53"/>
      <c r="G185" s="55"/>
      <c r="H185" s="53"/>
      <c r="I185" s="53"/>
      <c r="J185" s="62"/>
      <c r="K185" s="62"/>
      <c r="L185" s="54"/>
      <c r="M185" s="55"/>
      <c r="N185" s="53"/>
      <c r="O185" s="98"/>
    </row>
    <row r="186" spans="1:15" ht="22.15" customHeight="1" x14ac:dyDescent="0.2">
      <c r="A186" s="57" t="str">
        <f>IF(B186&lt;&gt;"",182,"")</f>
        <v/>
      </c>
      <c r="B186" s="57"/>
      <c r="C186" s="59"/>
      <c r="D186" s="57"/>
      <c r="E186" s="57"/>
      <c r="F186" s="57"/>
      <c r="G186" s="59"/>
      <c r="H186" s="57"/>
      <c r="I186" s="57"/>
      <c r="J186" s="63"/>
      <c r="K186" s="63"/>
      <c r="L186" s="58"/>
      <c r="M186" s="59"/>
      <c r="N186" s="57"/>
      <c r="O186" s="99"/>
    </row>
    <row r="187" spans="1:15" ht="22.15" customHeight="1" x14ac:dyDescent="0.2">
      <c r="A187" s="53" t="str">
        <f>IF(B187&lt;&gt;"",183,"")</f>
        <v/>
      </c>
      <c r="B187" s="53"/>
      <c r="C187" s="55"/>
      <c r="D187" s="53"/>
      <c r="E187" s="53"/>
      <c r="F187" s="53"/>
      <c r="G187" s="55"/>
      <c r="H187" s="53"/>
      <c r="I187" s="53"/>
      <c r="J187" s="62"/>
      <c r="K187" s="62"/>
      <c r="L187" s="54"/>
      <c r="M187" s="55"/>
      <c r="N187" s="53"/>
      <c r="O187" s="98"/>
    </row>
    <row r="188" spans="1:15" ht="22.15" customHeight="1" x14ac:dyDescent="0.2">
      <c r="A188" s="57" t="str">
        <f>IF(B188&lt;&gt;"",184,"")</f>
        <v/>
      </c>
      <c r="B188" s="57"/>
      <c r="C188" s="59"/>
      <c r="D188" s="57"/>
      <c r="E188" s="57"/>
      <c r="F188" s="57"/>
      <c r="G188" s="59"/>
      <c r="H188" s="57"/>
      <c r="I188" s="57"/>
      <c r="J188" s="63"/>
      <c r="K188" s="63"/>
      <c r="L188" s="58"/>
      <c r="M188" s="59"/>
      <c r="N188" s="57"/>
      <c r="O188" s="99"/>
    </row>
    <row r="189" spans="1:15" ht="22.15" customHeight="1" x14ac:dyDescent="0.2">
      <c r="A189" s="53" t="str">
        <f>IF(B189&lt;&gt;"",185,"")</f>
        <v/>
      </c>
      <c r="B189" s="53"/>
      <c r="C189" s="55"/>
      <c r="D189" s="53"/>
      <c r="E189" s="53"/>
      <c r="F189" s="53"/>
      <c r="G189" s="55"/>
      <c r="H189" s="53"/>
      <c r="I189" s="53"/>
      <c r="J189" s="62"/>
      <c r="K189" s="62"/>
      <c r="L189" s="54"/>
      <c r="M189" s="55"/>
      <c r="N189" s="53"/>
      <c r="O189" s="98"/>
    </row>
    <row r="190" spans="1:15" ht="22.15" customHeight="1" x14ac:dyDescent="0.2">
      <c r="A190" s="57" t="str">
        <f>IF(B190&lt;&gt;"",186,"")</f>
        <v/>
      </c>
      <c r="B190" s="57"/>
      <c r="C190" s="59"/>
      <c r="D190" s="57"/>
      <c r="E190" s="57"/>
      <c r="F190" s="57"/>
      <c r="G190" s="59"/>
      <c r="H190" s="57"/>
      <c r="I190" s="57"/>
      <c r="J190" s="63"/>
      <c r="K190" s="63"/>
      <c r="L190" s="58"/>
      <c r="M190" s="59"/>
      <c r="N190" s="57"/>
      <c r="O190" s="99"/>
    </row>
    <row r="191" spans="1:15" ht="22.15" customHeight="1" x14ac:dyDescent="0.2">
      <c r="A191" s="53" t="str">
        <f>IF(B191&lt;&gt;"",187,"")</f>
        <v/>
      </c>
      <c r="B191" s="53"/>
      <c r="C191" s="55"/>
      <c r="D191" s="53"/>
      <c r="E191" s="53"/>
      <c r="F191" s="53"/>
      <c r="G191" s="55"/>
      <c r="H191" s="53"/>
      <c r="I191" s="53"/>
      <c r="J191" s="62"/>
      <c r="K191" s="62"/>
      <c r="L191" s="54"/>
      <c r="M191" s="55"/>
      <c r="N191" s="53"/>
      <c r="O191" s="98"/>
    </row>
    <row r="192" spans="1:15" ht="22.15" customHeight="1" x14ac:dyDescent="0.2">
      <c r="A192" s="57" t="str">
        <f>IF(B192&lt;&gt;"",188,"")</f>
        <v/>
      </c>
      <c r="B192" s="57"/>
      <c r="C192" s="59"/>
      <c r="D192" s="57"/>
      <c r="E192" s="57"/>
      <c r="F192" s="57"/>
      <c r="G192" s="59"/>
      <c r="H192" s="57"/>
      <c r="I192" s="57"/>
      <c r="J192" s="63"/>
      <c r="K192" s="63"/>
      <c r="L192" s="58"/>
      <c r="M192" s="59"/>
      <c r="N192" s="57"/>
      <c r="O192" s="99"/>
    </row>
    <row r="193" spans="1:15" ht="22.15" customHeight="1" x14ac:dyDescent="0.2">
      <c r="A193" s="53" t="str">
        <f>IF(B193&lt;&gt;"",189,"")</f>
        <v/>
      </c>
      <c r="B193" s="53"/>
      <c r="C193" s="55"/>
      <c r="D193" s="53"/>
      <c r="E193" s="53"/>
      <c r="F193" s="53"/>
      <c r="G193" s="55"/>
      <c r="H193" s="53"/>
      <c r="I193" s="53"/>
      <c r="J193" s="62"/>
      <c r="K193" s="62"/>
      <c r="L193" s="54"/>
      <c r="M193" s="55"/>
      <c r="N193" s="53"/>
      <c r="O193" s="98"/>
    </row>
    <row r="194" spans="1:15" ht="22.15" customHeight="1" x14ac:dyDescent="0.2">
      <c r="A194" s="57" t="str">
        <f>IF(B194&lt;&gt;"",190,"")</f>
        <v/>
      </c>
      <c r="B194" s="57"/>
      <c r="C194" s="59"/>
      <c r="D194" s="57"/>
      <c r="E194" s="57"/>
      <c r="F194" s="57"/>
      <c r="G194" s="59"/>
      <c r="H194" s="57"/>
      <c r="I194" s="57"/>
      <c r="J194" s="63"/>
      <c r="K194" s="63"/>
      <c r="L194" s="58"/>
      <c r="M194" s="59"/>
      <c r="N194" s="57"/>
      <c r="O194" s="99"/>
    </row>
    <row r="195" spans="1:15" ht="22.15" customHeight="1" x14ac:dyDescent="0.2">
      <c r="A195" s="53" t="str">
        <f>IF(B195&lt;&gt;"",191,"")</f>
        <v/>
      </c>
      <c r="B195" s="53"/>
      <c r="C195" s="55"/>
      <c r="D195" s="53"/>
      <c r="E195" s="53"/>
      <c r="F195" s="53"/>
      <c r="G195" s="55"/>
      <c r="H195" s="53"/>
      <c r="I195" s="53"/>
      <c r="J195" s="62"/>
      <c r="K195" s="62"/>
      <c r="L195" s="54"/>
      <c r="M195" s="55"/>
      <c r="N195" s="53"/>
      <c r="O195" s="98"/>
    </row>
    <row r="196" spans="1:15" ht="22.15" customHeight="1" x14ac:dyDescent="0.2">
      <c r="A196" s="57" t="str">
        <f>IF(B196&lt;&gt;"",192,"")</f>
        <v/>
      </c>
      <c r="B196" s="57"/>
      <c r="C196" s="59"/>
      <c r="D196" s="57"/>
      <c r="E196" s="57"/>
      <c r="F196" s="57"/>
      <c r="G196" s="59"/>
      <c r="H196" s="57"/>
      <c r="I196" s="57"/>
      <c r="J196" s="63"/>
      <c r="K196" s="63"/>
      <c r="L196" s="58"/>
      <c r="M196" s="59"/>
      <c r="N196" s="57"/>
      <c r="O196" s="99"/>
    </row>
    <row r="197" spans="1:15" ht="22.15" customHeight="1" x14ac:dyDescent="0.2">
      <c r="A197" s="53" t="str">
        <f>IF(B197&lt;&gt;"",193,"")</f>
        <v/>
      </c>
      <c r="B197" s="53"/>
      <c r="C197" s="55"/>
      <c r="D197" s="53"/>
      <c r="E197" s="53"/>
      <c r="F197" s="53"/>
      <c r="G197" s="55"/>
      <c r="H197" s="53"/>
      <c r="I197" s="53"/>
      <c r="J197" s="62"/>
      <c r="K197" s="62"/>
      <c r="L197" s="54"/>
      <c r="M197" s="55"/>
      <c r="N197" s="53"/>
      <c r="O197" s="98"/>
    </row>
    <row r="198" spans="1:15" ht="22.15" customHeight="1" x14ac:dyDescent="0.2">
      <c r="A198" s="57" t="str">
        <f>IF(B198&lt;&gt;"",194,"")</f>
        <v/>
      </c>
      <c r="B198" s="57"/>
      <c r="C198" s="59"/>
      <c r="D198" s="57"/>
      <c r="E198" s="57"/>
      <c r="F198" s="57"/>
      <c r="G198" s="59"/>
      <c r="H198" s="57"/>
      <c r="I198" s="57"/>
      <c r="J198" s="63"/>
      <c r="K198" s="63"/>
      <c r="L198" s="58"/>
      <c r="M198" s="59"/>
      <c r="N198" s="57"/>
      <c r="O198" s="99"/>
    </row>
    <row r="199" spans="1:15" ht="22.15" customHeight="1" x14ac:dyDescent="0.2">
      <c r="A199" s="53" t="str">
        <f>IF(B199&lt;&gt;"",195,"")</f>
        <v/>
      </c>
      <c r="B199" s="53"/>
      <c r="C199" s="55"/>
      <c r="D199" s="53"/>
      <c r="E199" s="53"/>
      <c r="F199" s="53"/>
      <c r="G199" s="55"/>
      <c r="H199" s="53"/>
      <c r="I199" s="53"/>
      <c r="J199" s="62"/>
      <c r="K199" s="62"/>
      <c r="L199" s="54"/>
      <c r="M199" s="55"/>
      <c r="N199" s="53"/>
      <c r="O199" s="98"/>
    </row>
    <row r="200" spans="1:15" ht="22.15" customHeight="1" x14ac:dyDescent="0.2">
      <c r="A200" s="57" t="str">
        <f>IF(B200&lt;&gt;"",196,"")</f>
        <v/>
      </c>
      <c r="B200" s="57"/>
      <c r="C200" s="59"/>
      <c r="D200" s="57"/>
      <c r="E200" s="57"/>
      <c r="F200" s="57"/>
      <c r="G200" s="59"/>
      <c r="H200" s="57"/>
      <c r="I200" s="57"/>
      <c r="J200" s="63"/>
      <c r="K200" s="63"/>
      <c r="L200" s="58"/>
      <c r="M200" s="59"/>
      <c r="N200" s="57"/>
      <c r="O200" s="99"/>
    </row>
    <row r="201" spans="1:15" ht="22.15" customHeight="1" x14ac:dyDescent="0.2">
      <c r="A201" s="53" t="str">
        <f>IF(B201&lt;&gt;"",197,"")</f>
        <v/>
      </c>
      <c r="B201" s="53"/>
      <c r="C201" s="55"/>
      <c r="D201" s="53"/>
      <c r="E201" s="53"/>
      <c r="F201" s="53"/>
      <c r="G201" s="55"/>
      <c r="H201" s="53"/>
      <c r="I201" s="53"/>
      <c r="J201" s="62"/>
      <c r="K201" s="62"/>
      <c r="L201" s="54"/>
      <c r="M201" s="55"/>
      <c r="N201" s="53"/>
      <c r="O201" s="98"/>
    </row>
    <row r="202" spans="1:15" ht="22.15" customHeight="1" x14ac:dyDescent="0.2">
      <c r="A202" s="57" t="str">
        <f>IF(B202&lt;&gt;"",198,"")</f>
        <v/>
      </c>
      <c r="B202" s="57"/>
      <c r="C202" s="59"/>
      <c r="D202" s="57"/>
      <c r="E202" s="57"/>
      <c r="F202" s="57"/>
      <c r="G202" s="59"/>
      <c r="H202" s="57"/>
      <c r="I202" s="57"/>
      <c r="J202" s="63"/>
      <c r="K202" s="63"/>
      <c r="L202" s="58"/>
      <c r="M202" s="59"/>
      <c r="N202" s="57"/>
      <c r="O202" s="99"/>
    </row>
    <row r="203" spans="1:15" ht="22.15" customHeight="1" x14ac:dyDescent="0.2">
      <c r="A203" s="53" t="str">
        <f>IF(B203&lt;&gt;"",199,"")</f>
        <v/>
      </c>
      <c r="B203" s="53"/>
      <c r="C203" s="55"/>
      <c r="D203" s="53"/>
      <c r="E203" s="53"/>
      <c r="F203" s="53"/>
      <c r="G203" s="55"/>
      <c r="H203" s="53"/>
      <c r="I203" s="53"/>
      <c r="J203" s="62"/>
      <c r="K203" s="62"/>
      <c r="L203" s="54"/>
      <c r="M203" s="55"/>
      <c r="N203" s="53"/>
      <c r="O203" s="98"/>
    </row>
    <row r="204" spans="1:15" ht="22.15" customHeight="1" x14ac:dyDescent="0.2">
      <c r="A204" s="57" t="str">
        <f>IF(B204&lt;&gt;"",200,"")</f>
        <v/>
      </c>
      <c r="B204" s="57"/>
      <c r="C204" s="59"/>
      <c r="D204" s="57"/>
      <c r="E204" s="57"/>
      <c r="F204" s="57"/>
      <c r="G204" s="59"/>
      <c r="H204" s="57"/>
      <c r="I204" s="57"/>
      <c r="J204" s="63"/>
      <c r="K204" s="63"/>
      <c r="L204" s="58"/>
      <c r="M204" s="59"/>
      <c r="N204" s="57"/>
      <c r="O204" s="99"/>
    </row>
    <row r="205" spans="1:15" ht="22.15" customHeight="1" x14ac:dyDescent="0.2">
      <c r="A205" s="53" t="str">
        <f>IF(B205&lt;&gt;"",201,"")</f>
        <v/>
      </c>
      <c r="B205" s="53"/>
      <c r="C205" s="55"/>
      <c r="D205" s="53"/>
      <c r="E205" s="53"/>
      <c r="F205" s="53"/>
      <c r="G205" s="55"/>
      <c r="H205" s="53"/>
      <c r="I205" s="53"/>
      <c r="J205" s="62"/>
      <c r="K205" s="62"/>
      <c r="L205" s="54"/>
      <c r="M205" s="55"/>
      <c r="N205" s="53"/>
      <c r="O205" s="98"/>
    </row>
    <row r="206" spans="1:15" ht="22.15" customHeight="1" x14ac:dyDescent="0.2">
      <c r="A206" s="57" t="str">
        <f>IF(B206&lt;&gt;"",202,"")</f>
        <v/>
      </c>
      <c r="B206" s="57"/>
      <c r="C206" s="59"/>
      <c r="D206" s="57"/>
      <c r="E206" s="57"/>
      <c r="F206" s="57"/>
      <c r="G206" s="59"/>
      <c r="H206" s="57"/>
      <c r="I206" s="57"/>
      <c r="J206" s="63"/>
      <c r="K206" s="63"/>
      <c r="L206" s="58"/>
      <c r="M206" s="59"/>
      <c r="N206" s="57"/>
      <c r="O206" s="99"/>
    </row>
    <row r="207" spans="1:15" ht="22.15" customHeight="1" x14ac:dyDescent="0.2">
      <c r="A207" s="53" t="str">
        <f>IF(B207&lt;&gt;"",203,"")</f>
        <v/>
      </c>
      <c r="B207" s="53"/>
      <c r="C207" s="55"/>
      <c r="D207" s="53"/>
      <c r="E207" s="53"/>
      <c r="F207" s="53"/>
      <c r="G207" s="55"/>
      <c r="H207" s="53"/>
      <c r="I207" s="53"/>
      <c r="J207" s="62"/>
      <c r="K207" s="62"/>
      <c r="L207" s="54"/>
      <c r="M207" s="55"/>
      <c r="N207" s="53"/>
      <c r="O207" s="98"/>
    </row>
    <row r="208" spans="1:15" ht="22.15" customHeight="1" x14ac:dyDescent="0.2">
      <c r="A208" s="57" t="str">
        <f>IF(B208&lt;&gt;"",204,"")</f>
        <v/>
      </c>
      <c r="B208" s="57"/>
      <c r="C208" s="59"/>
      <c r="D208" s="57"/>
      <c r="E208" s="57"/>
      <c r="F208" s="57"/>
      <c r="G208" s="59"/>
      <c r="H208" s="57"/>
      <c r="I208" s="57"/>
      <c r="J208" s="63"/>
      <c r="K208" s="63"/>
      <c r="L208" s="58"/>
      <c r="M208" s="59"/>
      <c r="N208" s="57"/>
      <c r="O208" s="99"/>
    </row>
    <row r="209" spans="1:15" ht="22.15" customHeight="1" x14ac:dyDescent="0.2">
      <c r="A209" s="53" t="str">
        <f>IF(B209&lt;&gt;"",205,"")</f>
        <v/>
      </c>
      <c r="B209" s="53"/>
      <c r="C209" s="55"/>
      <c r="D209" s="53"/>
      <c r="E209" s="53"/>
      <c r="F209" s="53"/>
      <c r="G209" s="55"/>
      <c r="H209" s="53"/>
      <c r="I209" s="53"/>
      <c r="J209" s="62"/>
      <c r="K209" s="62"/>
      <c r="L209" s="54"/>
      <c r="M209" s="55"/>
      <c r="N209" s="53"/>
      <c r="O209" s="98"/>
    </row>
    <row r="210" spans="1:15" ht="22.15" customHeight="1" x14ac:dyDescent="0.2">
      <c r="A210" s="57" t="str">
        <f>IF(B210&lt;&gt;"",206,"")</f>
        <v/>
      </c>
      <c r="B210" s="57"/>
      <c r="C210" s="59"/>
      <c r="D210" s="57"/>
      <c r="E210" s="57"/>
      <c r="F210" s="57"/>
      <c r="G210" s="59"/>
      <c r="H210" s="57"/>
      <c r="I210" s="57"/>
      <c r="J210" s="63"/>
      <c r="K210" s="63"/>
      <c r="L210" s="58"/>
      <c r="M210" s="59"/>
      <c r="N210" s="57"/>
      <c r="O210" s="99"/>
    </row>
    <row r="211" spans="1:15" ht="22.15" customHeight="1" x14ac:dyDescent="0.2">
      <c r="A211" s="53" t="str">
        <f>IF(B211&lt;&gt;"",207,"")</f>
        <v/>
      </c>
      <c r="B211" s="53"/>
      <c r="C211" s="55"/>
      <c r="D211" s="53"/>
      <c r="E211" s="53"/>
      <c r="F211" s="53"/>
      <c r="G211" s="55"/>
      <c r="H211" s="53"/>
      <c r="I211" s="53"/>
      <c r="J211" s="62"/>
      <c r="K211" s="62"/>
      <c r="L211" s="54"/>
      <c r="M211" s="55"/>
      <c r="N211" s="53"/>
      <c r="O211" s="98"/>
    </row>
    <row r="212" spans="1:15" ht="22.15" customHeight="1" x14ac:dyDescent="0.2">
      <c r="A212" s="57" t="str">
        <f>IF(B212&lt;&gt;"",208,"")</f>
        <v/>
      </c>
      <c r="B212" s="57"/>
      <c r="C212" s="59"/>
      <c r="D212" s="57"/>
      <c r="E212" s="57"/>
      <c r="F212" s="57"/>
      <c r="G212" s="59"/>
      <c r="H212" s="57"/>
      <c r="I212" s="57"/>
      <c r="J212" s="63"/>
      <c r="K212" s="63"/>
      <c r="L212" s="58"/>
      <c r="M212" s="59"/>
      <c r="N212" s="57"/>
      <c r="O212" s="99"/>
    </row>
    <row r="213" spans="1:15" ht="22.15" customHeight="1" x14ac:dyDescent="0.2">
      <c r="A213" s="53" t="str">
        <f>IF(B213&lt;&gt;"",209,"")</f>
        <v/>
      </c>
      <c r="B213" s="53"/>
      <c r="C213" s="55"/>
      <c r="D213" s="53"/>
      <c r="E213" s="53"/>
      <c r="F213" s="53"/>
      <c r="G213" s="55"/>
      <c r="H213" s="53"/>
      <c r="I213" s="53"/>
      <c r="J213" s="62"/>
      <c r="K213" s="62"/>
      <c r="L213" s="54"/>
      <c r="M213" s="55"/>
      <c r="N213" s="53"/>
      <c r="O213" s="98"/>
    </row>
    <row r="214" spans="1:15" ht="22.15" customHeight="1" x14ac:dyDescent="0.2">
      <c r="A214" s="57" t="str">
        <f>IF(B214&lt;&gt;"",210,"")</f>
        <v/>
      </c>
      <c r="B214" s="57"/>
      <c r="C214" s="59"/>
      <c r="D214" s="57"/>
      <c r="E214" s="57"/>
      <c r="F214" s="57"/>
      <c r="G214" s="59"/>
      <c r="H214" s="57"/>
      <c r="I214" s="57"/>
      <c r="J214" s="63"/>
      <c r="K214" s="63"/>
      <c r="L214" s="58"/>
      <c r="M214" s="59"/>
      <c r="N214" s="57"/>
      <c r="O214" s="99"/>
    </row>
    <row r="215" spans="1:15" ht="22.15" customHeight="1" x14ac:dyDescent="0.2">
      <c r="A215" s="53" t="str">
        <f>IF(B215&lt;&gt;"",211,"")</f>
        <v/>
      </c>
      <c r="B215" s="53"/>
      <c r="C215" s="55"/>
      <c r="D215" s="53"/>
      <c r="E215" s="53"/>
      <c r="F215" s="53"/>
      <c r="G215" s="55"/>
      <c r="H215" s="53"/>
      <c r="I215" s="53"/>
      <c r="J215" s="62"/>
      <c r="K215" s="62"/>
      <c r="L215" s="54"/>
      <c r="M215" s="55"/>
      <c r="N215" s="53"/>
      <c r="O215" s="98"/>
    </row>
    <row r="216" spans="1:15" ht="22.15" customHeight="1" x14ac:dyDescent="0.2">
      <c r="A216" s="57" t="str">
        <f>IF(B216&lt;&gt;"",212,"")</f>
        <v/>
      </c>
      <c r="B216" s="57"/>
      <c r="C216" s="59"/>
      <c r="D216" s="57"/>
      <c r="E216" s="57"/>
      <c r="F216" s="57"/>
      <c r="G216" s="59"/>
      <c r="H216" s="57"/>
      <c r="I216" s="57"/>
      <c r="J216" s="63"/>
      <c r="K216" s="63"/>
      <c r="L216" s="58"/>
      <c r="M216" s="59"/>
      <c r="N216" s="57"/>
      <c r="O216" s="99"/>
    </row>
    <row r="217" spans="1:15" ht="22.15" customHeight="1" x14ac:dyDescent="0.2">
      <c r="A217" s="53" t="str">
        <f>IF(B217&lt;&gt;"",213,"")</f>
        <v/>
      </c>
      <c r="B217" s="53"/>
      <c r="C217" s="55"/>
      <c r="D217" s="53"/>
      <c r="E217" s="53"/>
      <c r="F217" s="53"/>
      <c r="G217" s="55"/>
      <c r="H217" s="53"/>
      <c r="I217" s="53"/>
      <c r="J217" s="62"/>
      <c r="K217" s="62"/>
      <c r="L217" s="54"/>
      <c r="M217" s="55"/>
      <c r="N217" s="53"/>
      <c r="O217" s="98"/>
    </row>
    <row r="218" spans="1:15" ht="22.15" customHeight="1" x14ac:dyDescent="0.2">
      <c r="A218" s="57" t="str">
        <f>IF(B218&lt;&gt;"",214,"")</f>
        <v/>
      </c>
      <c r="B218" s="57"/>
      <c r="C218" s="59"/>
      <c r="D218" s="57"/>
      <c r="E218" s="57"/>
      <c r="F218" s="57"/>
      <c r="G218" s="59"/>
      <c r="H218" s="57"/>
      <c r="I218" s="57"/>
      <c r="J218" s="63"/>
      <c r="K218" s="63"/>
      <c r="L218" s="58"/>
      <c r="M218" s="59"/>
      <c r="N218" s="57"/>
      <c r="O218" s="99"/>
    </row>
    <row r="219" spans="1:15" ht="22.15" customHeight="1" x14ac:dyDescent="0.2">
      <c r="A219" s="53" t="str">
        <f>IF(B219&lt;&gt;"",215,"")</f>
        <v/>
      </c>
      <c r="B219" s="53"/>
      <c r="C219" s="55"/>
      <c r="D219" s="53"/>
      <c r="E219" s="53"/>
      <c r="F219" s="53"/>
      <c r="G219" s="55"/>
      <c r="H219" s="53"/>
      <c r="I219" s="53"/>
      <c r="J219" s="62"/>
      <c r="K219" s="62"/>
      <c r="L219" s="54"/>
      <c r="M219" s="55"/>
      <c r="N219" s="53"/>
      <c r="O219" s="98"/>
    </row>
    <row r="220" spans="1:15" ht="22.15" customHeight="1" x14ac:dyDescent="0.2">
      <c r="A220" s="57" t="str">
        <f>IF(B220&lt;&gt;"",216,"")</f>
        <v/>
      </c>
      <c r="B220" s="57"/>
      <c r="C220" s="59"/>
      <c r="D220" s="57"/>
      <c r="E220" s="57"/>
      <c r="F220" s="57"/>
      <c r="G220" s="59"/>
      <c r="H220" s="57"/>
      <c r="I220" s="57"/>
      <c r="J220" s="63"/>
      <c r="K220" s="63"/>
      <c r="L220" s="58"/>
      <c r="M220" s="59"/>
      <c r="N220" s="57"/>
      <c r="O220" s="99"/>
    </row>
    <row r="221" spans="1:15" ht="22.15" customHeight="1" x14ac:dyDescent="0.2">
      <c r="A221" s="53" t="str">
        <f>IF(B221&lt;&gt;"",217,"")</f>
        <v/>
      </c>
      <c r="B221" s="53"/>
      <c r="C221" s="55"/>
      <c r="D221" s="53"/>
      <c r="E221" s="53"/>
      <c r="F221" s="53"/>
      <c r="G221" s="55"/>
      <c r="H221" s="53"/>
      <c r="I221" s="53"/>
      <c r="J221" s="62"/>
      <c r="K221" s="62"/>
      <c r="L221" s="54"/>
      <c r="M221" s="55"/>
      <c r="N221" s="53"/>
      <c r="O221" s="98"/>
    </row>
    <row r="222" spans="1:15" ht="22.15" customHeight="1" x14ac:dyDescent="0.2">
      <c r="A222" s="57" t="str">
        <f>IF(B222&lt;&gt;"",218,"")</f>
        <v/>
      </c>
      <c r="B222" s="57"/>
      <c r="C222" s="59"/>
      <c r="D222" s="57"/>
      <c r="E222" s="57"/>
      <c r="F222" s="57"/>
      <c r="G222" s="59"/>
      <c r="H222" s="57"/>
      <c r="I222" s="57"/>
      <c r="J222" s="63"/>
      <c r="K222" s="63"/>
      <c r="L222" s="58"/>
      <c r="M222" s="59"/>
      <c r="N222" s="57"/>
      <c r="O222" s="99"/>
    </row>
    <row r="223" spans="1:15" ht="22.15" customHeight="1" x14ac:dyDescent="0.2">
      <c r="A223" s="53" t="str">
        <f>IF(B223&lt;&gt;"",219,"")</f>
        <v/>
      </c>
      <c r="B223" s="53"/>
      <c r="C223" s="55"/>
      <c r="D223" s="53"/>
      <c r="E223" s="53"/>
      <c r="F223" s="53"/>
      <c r="G223" s="55"/>
      <c r="H223" s="53"/>
      <c r="I223" s="53"/>
      <c r="J223" s="62"/>
      <c r="K223" s="62"/>
      <c r="L223" s="54"/>
      <c r="M223" s="55"/>
      <c r="N223" s="53"/>
      <c r="O223" s="98"/>
    </row>
    <row r="224" spans="1:15" ht="22.15" customHeight="1" x14ac:dyDescent="0.2">
      <c r="A224" s="57" t="str">
        <f>IF(B224&lt;&gt;"",220,"")</f>
        <v/>
      </c>
      <c r="B224" s="57"/>
      <c r="C224" s="59"/>
      <c r="D224" s="57"/>
      <c r="E224" s="57"/>
      <c r="F224" s="57"/>
      <c r="G224" s="59"/>
      <c r="H224" s="57"/>
      <c r="I224" s="57"/>
      <c r="J224" s="63"/>
      <c r="K224" s="63"/>
      <c r="L224" s="58"/>
      <c r="M224" s="59"/>
      <c r="N224" s="57"/>
      <c r="O224" s="99"/>
    </row>
    <row r="225" spans="1:15" ht="22.15" customHeight="1" x14ac:dyDescent="0.2">
      <c r="A225" s="53" t="str">
        <f>IF(B225&lt;&gt;"",221,"")</f>
        <v/>
      </c>
      <c r="B225" s="53"/>
      <c r="C225" s="55"/>
      <c r="D225" s="53"/>
      <c r="E225" s="53"/>
      <c r="F225" s="53"/>
      <c r="G225" s="55"/>
      <c r="H225" s="53"/>
      <c r="I225" s="53"/>
      <c r="J225" s="62"/>
      <c r="K225" s="62"/>
      <c r="L225" s="54"/>
      <c r="M225" s="55"/>
      <c r="N225" s="53"/>
      <c r="O225" s="98"/>
    </row>
    <row r="226" spans="1:15" ht="22.15" customHeight="1" x14ac:dyDescent="0.2">
      <c r="A226" s="57" t="str">
        <f>IF(B226&lt;&gt;"",222,"")</f>
        <v/>
      </c>
      <c r="B226" s="57"/>
      <c r="C226" s="59"/>
      <c r="D226" s="57"/>
      <c r="E226" s="57"/>
      <c r="F226" s="57"/>
      <c r="G226" s="59"/>
      <c r="H226" s="57"/>
      <c r="I226" s="57"/>
      <c r="J226" s="63"/>
      <c r="K226" s="63"/>
      <c r="L226" s="58"/>
      <c r="M226" s="59"/>
      <c r="N226" s="57"/>
      <c r="O226" s="99"/>
    </row>
    <row r="227" spans="1:15" ht="22.15" customHeight="1" x14ac:dyDescent="0.2">
      <c r="A227" s="53" t="str">
        <f>IF(B227&lt;&gt;"",223,"")</f>
        <v/>
      </c>
      <c r="B227" s="53"/>
      <c r="C227" s="55"/>
      <c r="D227" s="53"/>
      <c r="E227" s="53"/>
      <c r="F227" s="53"/>
      <c r="G227" s="55"/>
      <c r="H227" s="53"/>
      <c r="I227" s="53"/>
      <c r="J227" s="62"/>
      <c r="K227" s="62"/>
      <c r="L227" s="54"/>
      <c r="M227" s="55"/>
      <c r="N227" s="53"/>
      <c r="O227" s="98"/>
    </row>
    <row r="228" spans="1:15" ht="22.15" customHeight="1" x14ac:dyDescent="0.2">
      <c r="A228" s="57" t="str">
        <f>IF(B228&lt;&gt;"",224,"")</f>
        <v/>
      </c>
      <c r="B228" s="57"/>
      <c r="C228" s="59"/>
      <c r="D228" s="57"/>
      <c r="E228" s="57"/>
      <c r="F228" s="57"/>
      <c r="G228" s="59"/>
      <c r="H228" s="57"/>
      <c r="I228" s="57"/>
      <c r="J228" s="63"/>
      <c r="K228" s="63"/>
      <c r="L228" s="58"/>
      <c r="M228" s="59"/>
      <c r="N228" s="57"/>
      <c r="O228" s="99"/>
    </row>
    <row r="229" spans="1:15" ht="22.15" customHeight="1" x14ac:dyDescent="0.2">
      <c r="A229" s="53" t="str">
        <f>IF(B229&lt;&gt;"",225,"")</f>
        <v/>
      </c>
      <c r="B229" s="53"/>
      <c r="C229" s="55"/>
      <c r="D229" s="53"/>
      <c r="E229" s="53"/>
      <c r="F229" s="53"/>
      <c r="G229" s="55"/>
      <c r="H229" s="53"/>
      <c r="I229" s="53"/>
      <c r="J229" s="62"/>
      <c r="K229" s="62"/>
      <c r="L229" s="54"/>
      <c r="M229" s="55"/>
      <c r="N229" s="53"/>
      <c r="O229" s="98"/>
    </row>
    <row r="230" spans="1:15" ht="22.15" customHeight="1" x14ac:dyDescent="0.2">
      <c r="A230" s="57" t="str">
        <f>IF(B230&lt;&gt;"",226,"")</f>
        <v/>
      </c>
      <c r="B230" s="57"/>
      <c r="C230" s="59"/>
      <c r="D230" s="57"/>
      <c r="E230" s="57"/>
      <c r="F230" s="57"/>
      <c r="G230" s="59"/>
      <c r="H230" s="57"/>
      <c r="I230" s="57"/>
      <c r="J230" s="63"/>
      <c r="K230" s="63"/>
      <c r="L230" s="58"/>
      <c r="M230" s="59"/>
      <c r="N230" s="57"/>
      <c r="O230" s="99"/>
    </row>
    <row r="231" spans="1:15" ht="22.15" customHeight="1" x14ac:dyDescent="0.2">
      <c r="A231" s="53" t="str">
        <f>IF(B231&lt;&gt;"",227,"")</f>
        <v/>
      </c>
      <c r="B231" s="53"/>
      <c r="C231" s="55"/>
      <c r="D231" s="53"/>
      <c r="E231" s="53"/>
      <c r="F231" s="53"/>
      <c r="G231" s="55"/>
      <c r="H231" s="53"/>
      <c r="I231" s="53"/>
      <c r="J231" s="62"/>
      <c r="K231" s="62"/>
      <c r="L231" s="54"/>
      <c r="M231" s="55"/>
      <c r="N231" s="53"/>
      <c r="O231" s="98"/>
    </row>
    <row r="232" spans="1:15" ht="22.15" customHeight="1" x14ac:dyDescent="0.2">
      <c r="A232" s="57" t="str">
        <f>IF(B232&lt;&gt;"",228,"")</f>
        <v/>
      </c>
      <c r="B232" s="57"/>
      <c r="C232" s="59"/>
      <c r="D232" s="57"/>
      <c r="E232" s="57"/>
      <c r="F232" s="57"/>
      <c r="G232" s="59"/>
      <c r="H232" s="57"/>
      <c r="I232" s="57"/>
      <c r="J232" s="63"/>
      <c r="K232" s="63"/>
      <c r="L232" s="58"/>
      <c r="M232" s="59"/>
      <c r="N232" s="57"/>
      <c r="O232" s="99"/>
    </row>
    <row r="233" spans="1:15" ht="22.15" customHeight="1" x14ac:dyDescent="0.2">
      <c r="A233" s="53" t="str">
        <f>IF(B233&lt;&gt;"",229,"")</f>
        <v/>
      </c>
      <c r="B233" s="53"/>
      <c r="C233" s="55"/>
      <c r="D233" s="53"/>
      <c r="E233" s="53"/>
      <c r="F233" s="53"/>
      <c r="G233" s="55"/>
      <c r="H233" s="53"/>
      <c r="I233" s="53"/>
      <c r="J233" s="62"/>
      <c r="K233" s="62"/>
      <c r="L233" s="54"/>
      <c r="M233" s="55"/>
      <c r="N233" s="53"/>
      <c r="O233" s="98"/>
    </row>
    <row r="234" spans="1:15" ht="22.15" customHeight="1" x14ac:dyDescent="0.2">
      <c r="A234" s="57" t="str">
        <f>IF(B234&lt;&gt;"",230,"")</f>
        <v/>
      </c>
      <c r="B234" s="57"/>
      <c r="C234" s="59"/>
      <c r="D234" s="57"/>
      <c r="E234" s="57"/>
      <c r="F234" s="57"/>
      <c r="G234" s="59"/>
      <c r="H234" s="57"/>
      <c r="I234" s="57"/>
      <c r="J234" s="63"/>
      <c r="K234" s="63"/>
      <c r="L234" s="58"/>
      <c r="M234" s="59"/>
      <c r="N234" s="57"/>
      <c r="O234" s="99"/>
    </row>
    <row r="235" spans="1:15" ht="22.15" customHeight="1" x14ac:dyDescent="0.2">
      <c r="A235" s="53" t="str">
        <f>IF(B235&lt;&gt;"",231,"")</f>
        <v/>
      </c>
      <c r="B235" s="53"/>
      <c r="C235" s="55"/>
      <c r="D235" s="53"/>
      <c r="E235" s="53"/>
      <c r="F235" s="53"/>
      <c r="G235" s="55"/>
      <c r="H235" s="53"/>
      <c r="I235" s="53"/>
      <c r="J235" s="62"/>
      <c r="K235" s="62"/>
      <c r="L235" s="54"/>
      <c r="M235" s="55"/>
      <c r="N235" s="53"/>
      <c r="O235" s="98"/>
    </row>
    <row r="236" spans="1:15" ht="22.15" customHeight="1" x14ac:dyDescent="0.2">
      <c r="A236" s="57" t="str">
        <f>IF(B236&lt;&gt;"",232,"")</f>
        <v/>
      </c>
      <c r="B236" s="57"/>
      <c r="C236" s="59"/>
      <c r="D236" s="57"/>
      <c r="E236" s="57"/>
      <c r="F236" s="57"/>
      <c r="G236" s="59"/>
      <c r="H236" s="57"/>
      <c r="I236" s="57"/>
      <c r="J236" s="63"/>
      <c r="K236" s="63"/>
      <c r="L236" s="58"/>
      <c r="M236" s="59"/>
      <c r="N236" s="57"/>
      <c r="O236" s="99"/>
    </row>
    <row r="237" spans="1:15" ht="22.15" customHeight="1" x14ac:dyDescent="0.2">
      <c r="A237" s="53" t="str">
        <f>IF(B237&lt;&gt;"",233,"")</f>
        <v/>
      </c>
      <c r="B237" s="53"/>
      <c r="C237" s="55"/>
      <c r="D237" s="53"/>
      <c r="E237" s="53"/>
      <c r="F237" s="53"/>
      <c r="G237" s="55"/>
      <c r="H237" s="53"/>
      <c r="I237" s="53"/>
      <c r="J237" s="62"/>
      <c r="K237" s="62"/>
      <c r="L237" s="54"/>
      <c r="M237" s="55"/>
      <c r="N237" s="53"/>
      <c r="O237" s="98"/>
    </row>
    <row r="238" spans="1:15" ht="22.15" customHeight="1" x14ac:dyDescent="0.2">
      <c r="A238" s="57" t="str">
        <f>IF(B238&lt;&gt;"",234,"")</f>
        <v/>
      </c>
      <c r="B238" s="57"/>
      <c r="C238" s="59"/>
      <c r="D238" s="57"/>
      <c r="E238" s="57"/>
      <c r="F238" s="57"/>
      <c r="G238" s="59"/>
      <c r="H238" s="57"/>
      <c r="I238" s="57"/>
      <c r="J238" s="63"/>
      <c r="K238" s="63"/>
      <c r="L238" s="58"/>
      <c r="M238" s="59"/>
      <c r="N238" s="57"/>
      <c r="O238" s="99"/>
    </row>
    <row r="239" spans="1:15" ht="22.15" customHeight="1" x14ac:dyDescent="0.2">
      <c r="A239" s="53" t="str">
        <f>IF(B239&lt;&gt;"",235,"")</f>
        <v/>
      </c>
      <c r="B239" s="53"/>
      <c r="C239" s="55"/>
      <c r="D239" s="53"/>
      <c r="E239" s="53"/>
      <c r="F239" s="53"/>
      <c r="G239" s="55"/>
      <c r="H239" s="53"/>
      <c r="I239" s="53"/>
      <c r="J239" s="62"/>
      <c r="K239" s="62"/>
      <c r="L239" s="54"/>
      <c r="M239" s="55"/>
      <c r="N239" s="53"/>
      <c r="O239" s="98"/>
    </row>
    <row r="240" spans="1:15" ht="22.15" customHeight="1" x14ac:dyDescent="0.2">
      <c r="A240" s="57" t="str">
        <f>IF(B240&lt;&gt;"",236,"")</f>
        <v/>
      </c>
      <c r="B240" s="57"/>
      <c r="C240" s="59"/>
      <c r="D240" s="57"/>
      <c r="E240" s="57"/>
      <c r="F240" s="57"/>
      <c r="G240" s="59"/>
      <c r="H240" s="57"/>
      <c r="I240" s="57"/>
      <c r="J240" s="63"/>
      <c r="K240" s="63"/>
      <c r="L240" s="58"/>
      <c r="M240" s="59"/>
      <c r="N240" s="57"/>
      <c r="O240" s="99"/>
    </row>
    <row r="241" spans="1:15" ht="22.15" customHeight="1" x14ac:dyDescent="0.2">
      <c r="A241" s="53" t="str">
        <f>IF(B241&lt;&gt;"",237,"")</f>
        <v/>
      </c>
      <c r="B241" s="53"/>
      <c r="C241" s="55"/>
      <c r="D241" s="53"/>
      <c r="E241" s="53"/>
      <c r="F241" s="53"/>
      <c r="G241" s="55"/>
      <c r="H241" s="53"/>
      <c r="I241" s="53"/>
      <c r="J241" s="62"/>
      <c r="K241" s="62"/>
      <c r="L241" s="54"/>
      <c r="M241" s="55"/>
      <c r="N241" s="53"/>
      <c r="O241" s="98"/>
    </row>
    <row r="242" spans="1:15" ht="22.15" customHeight="1" x14ac:dyDescent="0.2">
      <c r="A242" s="57" t="str">
        <f>IF(B242&lt;&gt;"",238,"")</f>
        <v/>
      </c>
      <c r="B242" s="57"/>
      <c r="C242" s="59"/>
      <c r="D242" s="57"/>
      <c r="E242" s="57"/>
      <c r="F242" s="57"/>
      <c r="G242" s="59"/>
      <c r="H242" s="57"/>
      <c r="I242" s="57"/>
      <c r="J242" s="63"/>
      <c r="K242" s="63"/>
      <c r="L242" s="58"/>
      <c r="M242" s="59"/>
      <c r="N242" s="57"/>
      <c r="O242" s="99"/>
    </row>
    <row r="243" spans="1:15" ht="22.15" customHeight="1" x14ac:dyDescent="0.2">
      <c r="A243" s="53" t="str">
        <f>IF(B243&lt;&gt;"",239,"")</f>
        <v/>
      </c>
      <c r="B243" s="53"/>
      <c r="C243" s="55"/>
      <c r="D243" s="53"/>
      <c r="E243" s="53"/>
      <c r="F243" s="53"/>
      <c r="G243" s="55"/>
      <c r="H243" s="53"/>
      <c r="I243" s="53"/>
      <c r="J243" s="62"/>
      <c r="K243" s="62"/>
      <c r="L243" s="54"/>
      <c r="M243" s="55"/>
      <c r="N243" s="53"/>
      <c r="O243" s="98"/>
    </row>
    <row r="244" spans="1:15" ht="22.15" customHeight="1" x14ac:dyDescent="0.2">
      <c r="A244" s="57" t="str">
        <f>IF(B244&lt;&gt;"",240,"")</f>
        <v/>
      </c>
      <c r="B244" s="57"/>
      <c r="C244" s="59"/>
      <c r="D244" s="57"/>
      <c r="E244" s="57"/>
      <c r="F244" s="57"/>
      <c r="G244" s="59"/>
      <c r="H244" s="57"/>
      <c r="I244" s="57"/>
      <c r="J244" s="63"/>
      <c r="K244" s="63"/>
      <c r="L244" s="58"/>
      <c r="M244" s="59"/>
      <c r="N244" s="57"/>
      <c r="O244" s="99"/>
    </row>
    <row r="245" spans="1:15" ht="22.15" customHeight="1" x14ac:dyDescent="0.2">
      <c r="A245" s="53" t="str">
        <f>IF(B245&lt;&gt;"",241,"")</f>
        <v/>
      </c>
      <c r="B245" s="53"/>
      <c r="C245" s="55"/>
      <c r="D245" s="53"/>
      <c r="E245" s="53"/>
      <c r="F245" s="53"/>
      <c r="G245" s="55"/>
      <c r="H245" s="53"/>
      <c r="I245" s="53"/>
      <c r="J245" s="62"/>
      <c r="K245" s="62"/>
      <c r="L245" s="54"/>
      <c r="M245" s="55"/>
      <c r="N245" s="53"/>
      <c r="O245" s="98"/>
    </row>
    <row r="246" spans="1:15" ht="22.15" customHeight="1" x14ac:dyDescent="0.2">
      <c r="A246" s="57" t="str">
        <f>IF(B246&lt;&gt;"",242,"")</f>
        <v/>
      </c>
      <c r="B246" s="57"/>
      <c r="C246" s="59"/>
      <c r="D246" s="57"/>
      <c r="E246" s="57"/>
      <c r="F246" s="57"/>
      <c r="G246" s="59"/>
      <c r="H246" s="57"/>
      <c r="I246" s="57"/>
      <c r="J246" s="63"/>
      <c r="K246" s="63"/>
      <c r="L246" s="58"/>
      <c r="M246" s="59"/>
      <c r="N246" s="57"/>
      <c r="O246" s="99"/>
    </row>
    <row r="247" spans="1:15" ht="22.15" customHeight="1" x14ac:dyDescent="0.2">
      <c r="A247" s="53" t="str">
        <f>IF(B247&lt;&gt;"",243,"")</f>
        <v/>
      </c>
      <c r="B247" s="53"/>
      <c r="C247" s="55"/>
      <c r="D247" s="53"/>
      <c r="E247" s="53"/>
      <c r="F247" s="53"/>
      <c r="G247" s="55"/>
      <c r="H247" s="53"/>
      <c r="I247" s="53"/>
      <c r="J247" s="62"/>
      <c r="K247" s="62"/>
      <c r="L247" s="54"/>
      <c r="M247" s="55"/>
      <c r="N247" s="53"/>
      <c r="O247" s="98"/>
    </row>
    <row r="248" spans="1:15" ht="22.15" customHeight="1" x14ac:dyDescent="0.2">
      <c r="A248" s="57" t="str">
        <f>IF(B248&lt;&gt;"",244,"")</f>
        <v/>
      </c>
      <c r="B248" s="57"/>
      <c r="C248" s="59"/>
      <c r="D248" s="57"/>
      <c r="E248" s="57"/>
      <c r="F248" s="57"/>
      <c r="G248" s="59"/>
      <c r="H248" s="57"/>
      <c r="I248" s="57"/>
      <c r="J248" s="63"/>
      <c r="K248" s="63"/>
      <c r="L248" s="58"/>
      <c r="M248" s="59"/>
      <c r="N248" s="57"/>
      <c r="O248" s="99"/>
    </row>
    <row r="249" spans="1:15" ht="22.15" customHeight="1" x14ac:dyDescent="0.2">
      <c r="A249" s="53" t="str">
        <f>IF(B249&lt;&gt;"",245,"")</f>
        <v/>
      </c>
      <c r="B249" s="53"/>
      <c r="C249" s="55"/>
      <c r="D249" s="53"/>
      <c r="E249" s="53"/>
      <c r="F249" s="53"/>
      <c r="G249" s="55"/>
      <c r="H249" s="53"/>
      <c r="I249" s="53"/>
      <c r="J249" s="62"/>
      <c r="K249" s="62"/>
      <c r="L249" s="54"/>
      <c r="M249" s="55"/>
      <c r="N249" s="53"/>
      <c r="O249" s="98"/>
    </row>
    <row r="250" spans="1:15" ht="22.15" customHeight="1" x14ac:dyDescent="0.2">
      <c r="A250" s="57" t="str">
        <f>IF(B250&lt;&gt;"",246,"")</f>
        <v/>
      </c>
      <c r="B250" s="57"/>
      <c r="C250" s="59"/>
      <c r="D250" s="57"/>
      <c r="E250" s="57"/>
      <c r="F250" s="57"/>
      <c r="G250" s="59"/>
      <c r="H250" s="57"/>
      <c r="I250" s="57"/>
      <c r="J250" s="63"/>
      <c r="K250" s="63"/>
      <c r="L250" s="58"/>
      <c r="M250" s="59"/>
      <c r="N250" s="57"/>
      <c r="O250" s="99"/>
    </row>
    <row r="251" spans="1:15" ht="22.15" customHeight="1" x14ac:dyDescent="0.2">
      <c r="A251" s="53" t="str">
        <f>IF(B251&lt;&gt;"",247,"")</f>
        <v/>
      </c>
      <c r="B251" s="53"/>
      <c r="C251" s="55"/>
      <c r="D251" s="53"/>
      <c r="E251" s="53"/>
      <c r="F251" s="53"/>
      <c r="G251" s="55"/>
      <c r="H251" s="53"/>
      <c r="I251" s="53"/>
      <c r="J251" s="62"/>
      <c r="K251" s="62"/>
      <c r="L251" s="54"/>
      <c r="M251" s="55"/>
      <c r="N251" s="53"/>
      <c r="O251" s="98"/>
    </row>
    <row r="252" spans="1:15" ht="22.15" customHeight="1" x14ac:dyDescent="0.2">
      <c r="A252" s="57" t="str">
        <f>IF(B252&lt;&gt;"",248,"")</f>
        <v/>
      </c>
      <c r="B252" s="57"/>
      <c r="C252" s="59"/>
      <c r="D252" s="57"/>
      <c r="E252" s="57"/>
      <c r="F252" s="57"/>
      <c r="G252" s="59"/>
      <c r="H252" s="57"/>
      <c r="I252" s="57"/>
      <c r="J252" s="63"/>
      <c r="K252" s="63"/>
      <c r="L252" s="58"/>
      <c r="M252" s="59"/>
      <c r="N252" s="57"/>
      <c r="O252" s="99"/>
    </row>
    <row r="253" spans="1:15" ht="22.15" customHeight="1" x14ac:dyDescent="0.2">
      <c r="A253" s="53" t="str">
        <f>IF(B253&lt;&gt;"",249,"")</f>
        <v/>
      </c>
      <c r="B253" s="53"/>
      <c r="C253" s="55"/>
      <c r="D253" s="53"/>
      <c r="E253" s="53"/>
      <c r="F253" s="53"/>
      <c r="G253" s="55"/>
      <c r="H253" s="53"/>
      <c r="I253" s="53"/>
      <c r="J253" s="62"/>
      <c r="K253" s="62"/>
      <c r="L253" s="54"/>
      <c r="M253" s="55"/>
      <c r="N253" s="53"/>
      <c r="O253" s="98"/>
    </row>
    <row r="254" spans="1:15" ht="22.15" customHeight="1" x14ac:dyDescent="0.2">
      <c r="A254" s="57" t="str">
        <f>IF(B254&lt;&gt;"",250,"")</f>
        <v/>
      </c>
      <c r="B254" s="57"/>
      <c r="C254" s="59"/>
      <c r="D254" s="57"/>
      <c r="E254" s="57"/>
      <c r="F254" s="57"/>
      <c r="G254" s="59"/>
      <c r="H254" s="57"/>
      <c r="I254" s="57"/>
      <c r="J254" s="63"/>
      <c r="K254" s="63"/>
      <c r="L254" s="58"/>
      <c r="M254" s="59"/>
      <c r="N254" s="57"/>
      <c r="O254" s="99"/>
    </row>
    <row r="255" spans="1:15" ht="22.15" customHeight="1" x14ac:dyDescent="0.2">
      <c r="A255" s="53" t="str">
        <f>IF(B255&lt;&gt;"",251,"")</f>
        <v/>
      </c>
      <c r="B255" s="53"/>
      <c r="C255" s="55"/>
      <c r="D255" s="53"/>
      <c r="E255" s="53"/>
      <c r="F255" s="53"/>
      <c r="G255" s="55"/>
      <c r="H255" s="53"/>
      <c r="I255" s="53"/>
      <c r="J255" s="62"/>
      <c r="K255" s="62"/>
      <c r="L255" s="54"/>
      <c r="M255" s="55"/>
      <c r="N255" s="53"/>
      <c r="O255" s="98"/>
    </row>
    <row r="256" spans="1:15" ht="22.15" customHeight="1" x14ac:dyDescent="0.2">
      <c r="A256" s="57" t="str">
        <f>IF(B256&lt;&gt;"",252,"")</f>
        <v/>
      </c>
      <c r="B256" s="57"/>
      <c r="C256" s="59"/>
      <c r="D256" s="57"/>
      <c r="E256" s="57"/>
      <c r="F256" s="57"/>
      <c r="G256" s="59"/>
      <c r="H256" s="57"/>
      <c r="I256" s="57"/>
      <c r="J256" s="63"/>
      <c r="K256" s="63"/>
      <c r="L256" s="58"/>
      <c r="M256" s="59"/>
      <c r="N256" s="57"/>
      <c r="O256" s="99"/>
    </row>
    <row r="257" spans="1:15" ht="22.15" customHeight="1" x14ac:dyDescent="0.2">
      <c r="A257" s="53" t="str">
        <f>IF(B257&lt;&gt;"",253,"")</f>
        <v/>
      </c>
      <c r="B257" s="53"/>
      <c r="C257" s="55"/>
      <c r="D257" s="53"/>
      <c r="E257" s="53"/>
      <c r="F257" s="53"/>
      <c r="G257" s="55"/>
      <c r="H257" s="53"/>
      <c r="I257" s="53"/>
      <c r="J257" s="62"/>
      <c r="K257" s="62"/>
      <c r="L257" s="54"/>
      <c r="M257" s="55"/>
      <c r="N257" s="53"/>
      <c r="O257" s="98"/>
    </row>
    <row r="258" spans="1:15" ht="22.15" customHeight="1" x14ac:dyDescent="0.2">
      <c r="A258" s="57" t="str">
        <f>IF(B258&lt;&gt;"",254,"")</f>
        <v/>
      </c>
      <c r="B258" s="57"/>
      <c r="C258" s="59"/>
      <c r="D258" s="57"/>
      <c r="E258" s="57"/>
      <c r="F258" s="57"/>
      <c r="G258" s="59"/>
      <c r="H258" s="57"/>
      <c r="I258" s="57"/>
      <c r="J258" s="63"/>
      <c r="K258" s="63"/>
      <c r="L258" s="58"/>
      <c r="M258" s="59"/>
      <c r="N258" s="57"/>
      <c r="O258" s="99"/>
    </row>
    <row r="259" spans="1:15" ht="22.15" customHeight="1" x14ac:dyDescent="0.2">
      <c r="A259" s="53" t="str">
        <f>IF(B259&lt;&gt;"",255,"")</f>
        <v/>
      </c>
      <c r="B259" s="53"/>
      <c r="C259" s="55"/>
      <c r="D259" s="53"/>
      <c r="E259" s="53"/>
      <c r="F259" s="53"/>
      <c r="G259" s="55"/>
      <c r="H259" s="53"/>
      <c r="I259" s="53"/>
      <c r="J259" s="62"/>
      <c r="K259" s="62"/>
      <c r="L259" s="54"/>
      <c r="M259" s="55"/>
      <c r="N259" s="53"/>
      <c r="O259" s="98"/>
    </row>
    <row r="260" spans="1:15" ht="22.15" customHeight="1" x14ac:dyDescent="0.2">
      <c r="A260" s="57" t="str">
        <f>IF(B260&lt;&gt;"",256,"")</f>
        <v/>
      </c>
      <c r="B260" s="57"/>
      <c r="C260" s="59"/>
      <c r="D260" s="57"/>
      <c r="E260" s="57"/>
      <c r="F260" s="57"/>
      <c r="G260" s="59"/>
      <c r="H260" s="57"/>
      <c r="I260" s="57"/>
      <c r="J260" s="63"/>
      <c r="K260" s="63"/>
      <c r="L260" s="58"/>
      <c r="M260" s="59"/>
      <c r="N260" s="57"/>
      <c r="O260" s="99"/>
    </row>
    <row r="261" spans="1:15" ht="22.15" customHeight="1" x14ac:dyDescent="0.2">
      <c r="A261" s="53" t="str">
        <f>IF(B261&lt;&gt;"",257,"")</f>
        <v/>
      </c>
      <c r="B261" s="53"/>
      <c r="C261" s="55"/>
      <c r="D261" s="53"/>
      <c r="E261" s="53"/>
      <c r="F261" s="53"/>
      <c r="G261" s="55"/>
      <c r="H261" s="53"/>
      <c r="I261" s="53"/>
      <c r="J261" s="62"/>
      <c r="K261" s="62"/>
      <c r="L261" s="54"/>
      <c r="M261" s="55"/>
      <c r="N261" s="53"/>
      <c r="O261" s="98"/>
    </row>
    <row r="262" spans="1:15" ht="22.15" customHeight="1" x14ac:dyDescent="0.2">
      <c r="A262" s="57" t="str">
        <f>IF(B262&lt;&gt;"",258,"")</f>
        <v/>
      </c>
      <c r="B262" s="57"/>
      <c r="C262" s="59"/>
      <c r="D262" s="57"/>
      <c r="E262" s="57"/>
      <c r="F262" s="57"/>
      <c r="G262" s="59"/>
      <c r="H262" s="57"/>
      <c r="I262" s="57"/>
      <c r="J262" s="63"/>
      <c r="K262" s="63"/>
      <c r="L262" s="58"/>
      <c r="M262" s="59"/>
      <c r="N262" s="57"/>
      <c r="O262" s="99"/>
    </row>
    <row r="263" spans="1:15" ht="22.15" customHeight="1" x14ac:dyDescent="0.2">
      <c r="A263" s="53" t="str">
        <f>IF(B263&lt;&gt;"",259,"")</f>
        <v/>
      </c>
      <c r="B263" s="53"/>
      <c r="C263" s="55"/>
      <c r="D263" s="53"/>
      <c r="E263" s="53"/>
      <c r="F263" s="53"/>
      <c r="G263" s="55"/>
      <c r="H263" s="53"/>
      <c r="I263" s="53"/>
      <c r="J263" s="62"/>
      <c r="K263" s="62"/>
      <c r="L263" s="54"/>
      <c r="M263" s="55"/>
      <c r="N263" s="53"/>
      <c r="O263" s="98"/>
    </row>
    <row r="264" spans="1:15" ht="22.15" customHeight="1" x14ac:dyDescent="0.2">
      <c r="A264" s="57" t="str">
        <f>IF(B264&lt;&gt;"",260,"")</f>
        <v/>
      </c>
      <c r="B264" s="57"/>
      <c r="C264" s="59"/>
      <c r="D264" s="57"/>
      <c r="E264" s="57"/>
      <c r="F264" s="57"/>
      <c r="G264" s="59"/>
      <c r="H264" s="57"/>
      <c r="I264" s="57"/>
      <c r="J264" s="63"/>
      <c r="K264" s="63"/>
      <c r="L264" s="58"/>
      <c r="M264" s="59"/>
      <c r="N264" s="57"/>
      <c r="O264" s="99"/>
    </row>
    <row r="265" spans="1:15" ht="22.15" customHeight="1" x14ac:dyDescent="0.2">
      <c r="A265" s="53" t="str">
        <f>IF(B265&lt;&gt;"",261,"")</f>
        <v/>
      </c>
      <c r="B265" s="53"/>
      <c r="C265" s="55"/>
      <c r="D265" s="53"/>
      <c r="E265" s="53"/>
      <c r="F265" s="53"/>
      <c r="G265" s="55"/>
      <c r="H265" s="53"/>
      <c r="I265" s="53"/>
      <c r="J265" s="62"/>
      <c r="K265" s="62"/>
      <c r="L265" s="54"/>
      <c r="M265" s="55"/>
      <c r="N265" s="53"/>
      <c r="O265" s="98"/>
    </row>
    <row r="266" spans="1:15" ht="22.15" customHeight="1" x14ac:dyDescent="0.2">
      <c r="A266" s="57" t="str">
        <f>IF(B266&lt;&gt;"",262,"")</f>
        <v/>
      </c>
      <c r="B266" s="57"/>
      <c r="C266" s="59"/>
      <c r="D266" s="57"/>
      <c r="E266" s="57"/>
      <c r="F266" s="57"/>
      <c r="G266" s="59"/>
      <c r="H266" s="57"/>
      <c r="I266" s="57"/>
      <c r="J266" s="63"/>
      <c r="K266" s="63"/>
      <c r="L266" s="58"/>
      <c r="M266" s="59"/>
      <c r="N266" s="57"/>
      <c r="O266" s="99"/>
    </row>
    <row r="267" spans="1:15" ht="22.15" customHeight="1" x14ac:dyDescent="0.2">
      <c r="A267" s="53" t="str">
        <f>IF(B267&lt;&gt;"",263,"")</f>
        <v/>
      </c>
      <c r="B267" s="53"/>
      <c r="C267" s="55"/>
      <c r="D267" s="53"/>
      <c r="E267" s="53"/>
      <c r="F267" s="53"/>
      <c r="G267" s="55"/>
      <c r="H267" s="53"/>
      <c r="I267" s="53"/>
      <c r="J267" s="62"/>
      <c r="K267" s="62"/>
      <c r="L267" s="54"/>
      <c r="M267" s="55"/>
      <c r="N267" s="53"/>
      <c r="O267" s="98"/>
    </row>
    <row r="268" spans="1:15" ht="22.15" customHeight="1" x14ac:dyDescent="0.2">
      <c r="A268" s="57" t="str">
        <f>IF(B268&lt;&gt;"",264,"")</f>
        <v/>
      </c>
      <c r="B268" s="57"/>
      <c r="C268" s="59"/>
      <c r="D268" s="57"/>
      <c r="E268" s="57"/>
      <c r="F268" s="57"/>
      <c r="G268" s="59"/>
      <c r="H268" s="57"/>
      <c r="I268" s="57"/>
      <c r="J268" s="63"/>
      <c r="K268" s="63"/>
      <c r="L268" s="58"/>
      <c r="M268" s="59"/>
      <c r="N268" s="57"/>
      <c r="O268" s="99"/>
    </row>
    <row r="269" spans="1:15" ht="22.15" customHeight="1" x14ac:dyDescent="0.2">
      <c r="A269" s="53" t="str">
        <f>IF(B269&lt;&gt;"",265,"")</f>
        <v/>
      </c>
      <c r="B269" s="53"/>
      <c r="C269" s="55"/>
      <c r="D269" s="53"/>
      <c r="E269" s="53"/>
      <c r="F269" s="53"/>
      <c r="G269" s="55"/>
      <c r="H269" s="53"/>
      <c r="I269" s="53"/>
      <c r="J269" s="62"/>
      <c r="K269" s="62"/>
      <c r="L269" s="54"/>
      <c r="M269" s="55"/>
      <c r="N269" s="53"/>
      <c r="O269" s="98"/>
    </row>
    <row r="270" spans="1:15" ht="22.15" customHeight="1" x14ac:dyDescent="0.2">
      <c r="A270" s="57" t="str">
        <f>IF(B270&lt;&gt;"",266,"")</f>
        <v/>
      </c>
      <c r="B270" s="57"/>
      <c r="C270" s="59"/>
      <c r="D270" s="57"/>
      <c r="E270" s="57"/>
      <c r="F270" s="57"/>
      <c r="G270" s="59"/>
      <c r="H270" s="57"/>
      <c r="I270" s="57"/>
      <c r="J270" s="63"/>
      <c r="K270" s="63"/>
      <c r="L270" s="58"/>
      <c r="M270" s="59"/>
      <c r="N270" s="57"/>
      <c r="O270" s="99"/>
    </row>
    <row r="271" spans="1:15" ht="22.15" customHeight="1" x14ac:dyDescent="0.2">
      <c r="A271" s="53" t="str">
        <f>IF(B271&lt;&gt;"",267,"")</f>
        <v/>
      </c>
      <c r="B271" s="53"/>
      <c r="C271" s="55"/>
      <c r="D271" s="53"/>
      <c r="E271" s="53"/>
      <c r="F271" s="53"/>
      <c r="G271" s="55"/>
      <c r="H271" s="53"/>
      <c r="I271" s="53"/>
      <c r="J271" s="62"/>
      <c r="K271" s="62"/>
      <c r="L271" s="54"/>
      <c r="M271" s="55"/>
      <c r="N271" s="53"/>
      <c r="O271" s="98"/>
    </row>
    <row r="272" spans="1:15" ht="22.15" customHeight="1" x14ac:dyDescent="0.2">
      <c r="A272" s="57" t="str">
        <f>IF(B272&lt;&gt;"",268,"")</f>
        <v/>
      </c>
      <c r="B272" s="57"/>
      <c r="C272" s="59"/>
      <c r="D272" s="57"/>
      <c r="E272" s="57"/>
      <c r="F272" s="57"/>
      <c r="G272" s="59"/>
      <c r="H272" s="57"/>
      <c r="I272" s="57"/>
      <c r="J272" s="63"/>
      <c r="K272" s="63"/>
      <c r="L272" s="58"/>
      <c r="M272" s="59"/>
      <c r="N272" s="57"/>
      <c r="O272" s="99"/>
    </row>
    <row r="273" spans="1:15" ht="22.15" customHeight="1" x14ac:dyDescent="0.2">
      <c r="A273" s="53" t="str">
        <f>IF(B273&lt;&gt;"",269,"")</f>
        <v/>
      </c>
      <c r="B273" s="53"/>
      <c r="C273" s="55"/>
      <c r="D273" s="53"/>
      <c r="E273" s="53"/>
      <c r="F273" s="53"/>
      <c r="G273" s="55"/>
      <c r="H273" s="53"/>
      <c r="I273" s="53"/>
      <c r="J273" s="62"/>
      <c r="K273" s="62"/>
      <c r="L273" s="54"/>
      <c r="M273" s="55"/>
      <c r="N273" s="53"/>
      <c r="O273" s="98"/>
    </row>
    <row r="274" spans="1:15" ht="22.15" customHeight="1" x14ac:dyDescent="0.2">
      <c r="A274" s="57" t="str">
        <f>IF(B274&lt;&gt;"",270,"")</f>
        <v/>
      </c>
      <c r="B274" s="57"/>
      <c r="C274" s="59"/>
      <c r="D274" s="57"/>
      <c r="E274" s="57"/>
      <c r="F274" s="57"/>
      <c r="G274" s="59"/>
      <c r="H274" s="57"/>
      <c r="I274" s="57"/>
      <c r="J274" s="63"/>
      <c r="K274" s="63"/>
      <c r="L274" s="58"/>
      <c r="M274" s="59"/>
      <c r="N274" s="57"/>
      <c r="O274" s="99"/>
    </row>
    <row r="275" spans="1:15" ht="22.15" customHeight="1" x14ac:dyDescent="0.2">
      <c r="A275" s="53" t="str">
        <f>IF(B275&lt;&gt;"",271,"")</f>
        <v/>
      </c>
      <c r="B275" s="53"/>
      <c r="C275" s="55"/>
      <c r="D275" s="53"/>
      <c r="E275" s="53"/>
      <c r="F275" s="53"/>
      <c r="G275" s="55"/>
      <c r="H275" s="53"/>
      <c r="I275" s="53"/>
      <c r="J275" s="62"/>
      <c r="K275" s="62"/>
      <c r="L275" s="54"/>
      <c r="M275" s="55"/>
      <c r="N275" s="53"/>
      <c r="O275" s="98"/>
    </row>
    <row r="276" spans="1:15" ht="22.15" customHeight="1" x14ac:dyDescent="0.2">
      <c r="A276" s="57" t="str">
        <f>IF(B276&lt;&gt;"",272,"")</f>
        <v/>
      </c>
      <c r="B276" s="57"/>
      <c r="C276" s="59"/>
      <c r="D276" s="57"/>
      <c r="E276" s="57"/>
      <c r="F276" s="57"/>
      <c r="G276" s="59"/>
      <c r="H276" s="57"/>
      <c r="I276" s="57"/>
      <c r="J276" s="63"/>
      <c r="K276" s="63"/>
      <c r="L276" s="58"/>
      <c r="M276" s="59"/>
      <c r="N276" s="57"/>
      <c r="O276" s="99"/>
    </row>
    <row r="277" spans="1:15" ht="22.15" customHeight="1" x14ac:dyDescent="0.2">
      <c r="A277" s="53" t="str">
        <f>IF(B277&lt;&gt;"",273,"")</f>
        <v/>
      </c>
      <c r="B277" s="53"/>
      <c r="C277" s="55"/>
      <c r="D277" s="53"/>
      <c r="E277" s="53"/>
      <c r="F277" s="53"/>
      <c r="G277" s="55"/>
      <c r="H277" s="53"/>
      <c r="I277" s="53"/>
      <c r="J277" s="62"/>
      <c r="K277" s="62"/>
      <c r="L277" s="54"/>
      <c r="M277" s="55"/>
      <c r="N277" s="53"/>
      <c r="O277" s="98"/>
    </row>
    <row r="278" spans="1:15" ht="22.15" customHeight="1" x14ac:dyDescent="0.2">
      <c r="A278" s="57" t="str">
        <f>IF(B278&lt;&gt;"",274,"")</f>
        <v/>
      </c>
      <c r="B278" s="57"/>
      <c r="C278" s="59"/>
      <c r="D278" s="57"/>
      <c r="E278" s="57"/>
      <c r="F278" s="57"/>
      <c r="G278" s="59"/>
      <c r="H278" s="57"/>
      <c r="I278" s="57"/>
      <c r="J278" s="63"/>
      <c r="K278" s="63"/>
      <c r="L278" s="58"/>
      <c r="M278" s="59"/>
      <c r="N278" s="57"/>
      <c r="O278" s="99"/>
    </row>
    <row r="279" spans="1:15" ht="22.15" customHeight="1" x14ac:dyDescent="0.2">
      <c r="A279" s="53" t="str">
        <f>IF(B279&lt;&gt;"",275,"")</f>
        <v/>
      </c>
      <c r="B279" s="53"/>
      <c r="C279" s="55"/>
      <c r="D279" s="53"/>
      <c r="E279" s="53"/>
      <c r="F279" s="53"/>
      <c r="G279" s="55"/>
      <c r="H279" s="53"/>
      <c r="I279" s="53"/>
      <c r="J279" s="62"/>
      <c r="K279" s="62"/>
      <c r="L279" s="54"/>
      <c r="M279" s="55"/>
      <c r="N279" s="53"/>
      <c r="O279" s="98"/>
    </row>
    <row r="280" spans="1:15" ht="22.15" customHeight="1" x14ac:dyDescent="0.2">
      <c r="A280" s="57" t="str">
        <f>IF(B280&lt;&gt;"",276,"")</f>
        <v/>
      </c>
      <c r="B280" s="57"/>
      <c r="C280" s="59"/>
      <c r="D280" s="57"/>
      <c r="E280" s="57"/>
      <c r="F280" s="57"/>
      <c r="G280" s="59"/>
      <c r="H280" s="57"/>
      <c r="I280" s="57"/>
      <c r="J280" s="63"/>
      <c r="K280" s="63"/>
      <c r="L280" s="58"/>
      <c r="M280" s="59"/>
      <c r="N280" s="57"/>
      <c r="O280" s="99"/>
    </row>
    <row r="281" spans="1:15" ht="22.15" customHeight="1" x14ac:dyDescent="0.2">
      <c r="A281" s="53" t="str">
        <f>IF(B281&lt;&gt;"",277,"")</f>
        <v/>
      </c>
      <c r="B281" s="53"/>
      <c r="C281" s="55"/>
      <c r="D281" s="53"/>
      <c r="E281" s="53"/>
      <c r="F281" s="53"/>
      <c r="G281" s="55"/>
      <c r="H281" s="53"/>
      <c r="I281" s="53"/>
      <c r="J281" s="62"/>
      <c r="K281" s="62"/>
      <c r="L281" s="54"/>
      <c r="M281" s="55"/>
      <c r="N281" s="53"/>
      <c r="O281" s="98"/>
    </row>
    <row r="282" spans="1:15" ht="22.15" customHeight="1" x14ac:dyDescent="0.2">
      <c r="A282" s="57" t="str">
        <f>IF(B282&lt;&gt;"",278,"")</f>
        <v/>
      </c>
      <c r="B282" s="57"/>
      <c r="C282" s="59"/>
      <c r="D282" s="57"/>
      <c r="E282" s="57"/>
      <c r="F282" s="57"/>
      <c r="G282" s="59"/>
      <c r="H282" s="57"/>
      <c r="I282" s="57"/>
      <c r="J282" s="63"/>
      <c r="K282" s="63"/>
      <c r="L282" s="58"/>
      <c r="M282" s="59"/>
      <c r="N282" s="57"/>
      <c r="O282" s="99"/>
    </row>
    <row r="283" spans="1:15" ht="22.15" customHeight="1" x14ac:dyDescent="0.2">
      <c r="A283" s="53" t="str">
        <f>IF(B283&lt;&gt;"",279,"")</f>
        <v/>
      </c>
      <c r="B283" s="53"/>
      <c r="C283" s="55"/>
      <c r="D283" s="53"/>
      <c r="E283" s="53"/>
      <c r="F283" s="53"/>
      <c r="G283" s="55"/>
      <c r="H283" s="53"/>
      <c r="I283" s="53"/>
      <c r="J283" s="62"/>
      <c r="K283" s="62"/>
      <c r="L283" s="54"/>
      <c r="M283" s="55"/>
      <c r="N283" s="53"/>
      <c r="O283" s="98"/>
    </row>
    <row r="284" spans="1:15" ht="22.15" customHeight="1" x14ac:dyDescent="0.2">
      <c r="A284" s="57" t="str">
        <f>IF(B284&lt;&gt;"",280,"")</f>
        <v/>
      </c>
      <c r="B284" s="57"/>
      <c r="C284" s="59"/>
      <c r="D284" s="57"/>
      <c r="E284" s="57"/>
      <c r="F284" s="57"/>
      <c r="G284" s="59"/>
      <c r="H284" s="57"/>
      <c r="I284" s="57"/>
      <c r="J284" s="63"/>
      <c r="K284" s="63"/>
      <c r="L284" s="58"/>
      <c r="M284" s="59"/>
      <c r="N284" s="57"/>
      <c r="O284" s="99"/>
    </row>
    <row r="285" spans="1:15" ht="22.15" customHeight="1" x14ac:dyDescent="0.2">
      <c r="A285" s="53" t="str">
        <f>IF(B285&lt;&gt;"",281,"")</f>
        <v/>
      </c>
      <c r="B285" s="53"/>
      <c r="C285" s="55"/>
      <c r="D285" s="53"/>
      <c r="E285" s="53"/>
      <c r="F285" s="53"/>
      <c r="G285" s="55"/>
      <c r="H285" s="53"/>
      <c r="I285" s="53"/>
      <c r="J285" s="62"/>
      <c r="K285" s="62"/>
      <c r="L285" s="54"/>
      <c r="M285" s="55"/>
      <c r="N285" s="53"/>
      <c r="O285" s="98"/>
    </row>
    <row r="286" spans="1:15" ht="22.15" customHeight="1" x14ac:dyDescent="0.2">
      <c r="A286" s="57" t="str">
        <f>IF(B286&lt;&gt;"",282,"")</f>
        <v/>
      </c>
      <c r="B286" s="57"/>
      <c r="C286" s="59"/>
      <c r="D286" s="57"/>
      <c r="E286" s="57"/>
      <c r="F286" s="57"/>
      <c r="G286" s="59"/>
      <c r="H286" s="57"/>
      <c r="I286" s="57"/>
      <c r="J286" s="63"/>
      <c r="K286" s="63"/>
      <c r="L286" s="58"/>
      <c r="M286" s="59"/>
      <c r="N286" s="57"/>
      <c r="O286" s="99"/>
    </row>
    <row r="287" spans="1:15" ht="22.15" customHeight="1" x14ac:dyDescent="0.2">
      <c r="A287" s="53" t="str">
        <f>IF(B287&lt;&gt;"",283,"")</f>
        <v/>
      </c>
      <c r="B287" s="53"/>
      <c r="C287" s="55"/>
      <c r="D287" s="53"/>
      <c r="E287" s="53"/>
      <c r="F287" s="53"/>
      <c r="G287" s="55"/>
      <c r="H287" s="53"/>
      <c r="I287" s="53"/>
      <c r="J287" s="62"/>
      <c r="K287" s="62"/>
      <c r="L287" s="54"/>
      <c r="M287" s="55"/>
      <c r="N287" s="53"/>
      <c r="O287" s="98"/>
    </row>
    <row r="288" spans="1:15" ht="22.15" customHeight="1" x14ac:dyDescent="0.2">
      <c r="A288" s="57" t="str">
        <f>IF(B288&lt;&gt;"",284,"")</f>
        <v/>
      </c>
      <c r="B288" s="57"/>
      <c r="C288" s="59"/>
      <c r="D288" s="57"/>
      <c r="E288" s="57"/>
      <c r="F288" s="57"/>
      <c r="G288" s="59"/>
      <c r="H288" s="57"/>
      <c r="I288" s="57"/>
      <c r="J288" s="63"/>
      <c r="K288" s="63"/>
      <c r="L288" s="58"/>
      <c r="M288" s="59"/>
      <c r="N288" s="57"/>
      <c r="O288" s="99"/>
    </row>
    <row r="289" spans="1:15" ht="22.15" customHeight="1" x14ac:dyDescent="0.2">
      <c r="A289" s="53" t="str">
        <f>IF(B289&lt;&gt;"",285,"")</f>
        <v/>
      </c>
      <c r="B289" s="53"/>
      <c r="C289" s="55"/>
      <c r="D289" s="53"/>
      <c r="E289" s="53"/>
      <c r="F289" s="53"/>
      <c r="G289" s="55"/>
      <c r="H289" s="53"/>
      <c r="I289" s="53"/>
      <c r="J289" s="62"/>
      <c r="K289" s="62"/>
      <c r="L289" s="54"/>
      <c r="M289" s="55"/>
      <c r="N289" s="53"/>
      <c r="O289" s="98"/>
    </row>
    <row r="290" spans="1:15" ht="22.15" customHeight="1" x14ac:dyDescent="0.2">
      <c r="A290" s="57" t="str">
        <f>IF(B290&lt;&gt;"",286,"")</f>
        <v/>
      </c>
      <c r="B290" s="57"/>
      <c r="C290" s="59"/>
      <c r="D290" s="57"/>
      <c r="E290" s="57"/>
      <c r="F290" s="57"/>
      <c r="G290" s="59"/>
      <c r="H290" s="57"/>
      <c r="I290" s="57"/>
      <c r="J290" s="63"/>
      <c r="K290" s="63"/>
      <c r="L290" s="58"/>
      <c r="M290" s="59"/>
      <c r="N290" s="57"/>
      <c r="O290" s="99"/>
    </row>
    <row r="291" spans="1:15" ht="22.15" customHeight="1" x14ac:dyDescent="0.2">
      <c r="A291" s="53" t="str">
        <f>IF(B291&lt;&gt;"",287,"")</f>
        <v/>
      </c>
      <c r="B291" s="53"/>
      <c r="C291" s="55"/>
      <c r="D291" s="53"/>
      <c r="E291" s="53"/>
      <c r="F291" s="53"/>
      <c r="G291" s="55"/>
      <c r="H291" s="53"/>
      <c r="I291" s="53"/>
      <c r="J291" s="62"/>
      <c r="K291" s="62"/>
      <c r="L291" s="54"/>
      <c r="M291" s="55"/>
      <c r="N291" s="53"/>
      <c r="O291" s="98"/>
    </row>
    <row r="292" spans="1:15" ht="22.15" customHeight="1" x14ac:dyDescent="0.2">
      <c r="A292" s="57" t="str">
        <f>IF(B292&lt;&gt;"",288,"")</f>
        <v/>
      </c>
      <c r="B292" s="57"/>
      <c r="C292" s="59"/>
      <c r="D292" s="57"/>
      <c r="E292" s="57"/>
      <c r="F292" s="57"/>
      <c r="G292" s="59"/>
      <c r="H292" s="57"/>
      <c r="I292" s="57"/>
      <c r="J292" s="63"/>
      <c r="K292" s="63"/>
      <c r="L292" s="58"/>
      <c r="M292" s="59"/>
      <c r="N292" s="57"/>
      <c r="O292" s="99"/>
    </row>
    <row r="293" spans="1:15" ht="22.15" customHeight="1" x14ac:dyDescent="0.2">
      <c r="A293" s="53" t="str">
        <f>IF(B293&lt;&gt;"",289,"")</f>
        <v/>
      </c>
      <c r="B293" s="53"/>
      <c r="C293" s="55"/>
      <c r="D293" s="53"/>
      <c r="E293" s="53"/>
      <c r="F293" s="53"/>
      <c r="G293" s="55"/>
      <c r="H293" s="53"/>
      <c r="I293" s="53"/>
      <c r="J293" s="62"/>
      <c r="K293" s="62"/>
      <c r="L293" s="54"/>
      <c r="M293" s="55"/>
      <c r="N293" s="53"/>
      <c r="O293" s="98"/>
    </row>
    <row r="294" spans="1:15" ht="22.15" customHeight="1" x14ac:dyDescent="0.2">
      <c r="A294" s="57" t="str">
        <f>IF(B294&lt;&gt;"",290,"")</f>
        <v/>
      </c>
      <c r="B294" s="57"/>
      <c r="C294" s="59"/>
      <c r="D294" s="57"/>
      <c r="E294" s="57"/>
      <c r="F294" s="57"/>
      <c r="G294" s="59"/>
      <c r="H294" s="57"/>
      <c r="I294" s="57"/>
      <c r="J294" s="63"/>
      <c r="K294" s="63"/>
      <c r="L294" s="58"/>
      <c r="M294" s="59"/>
      <c r="N294" s="57"/>
      <c r="O294" s="99"/>
    </row>
    <row r="295" spans="1:15" ht="22.15" customHeight="1" x14ac:dyDescent="0.2">
      <c r="A295" s="53" t="str">
        <f>IF(B295&lt;&gt;"",291,"")</f>
        <v/>
      </c>
      <c r="B295" s="53"/>
      <c r="C295" s="55"/>
      <c r="D295" s="53"/>
      <c r="E295" s="53"/>
      <c r="F295" s="53"/>
      <c r="G295" s="55"/>
      <c r="H295" s="53"/>
      <c r="I295" s="53"/>
      <c r="J295" s="62"/>
      <c r="K295" s="62"/>
      <c r="L295" s="54"/>
      <c r="M295" s="55"/>
      <c r="N295" s="53"/>
      <c r="O295" s="98"/>
    </row>
    <row r="296" spans="1:15" ht="22.15" customHeight="1" x14ac:dyDescent="0.2">
      <c r="A296" s="57" t="str">
        <f>IF(B296&lt;&gt;"",292,"")</f>
        <v/>
      </c>
      <c r="B296" s="57"/>
      <c r="C296" s="59"/>
      <c r="D296" s="57"/>
      <c r="E296" s="57"/>
      <c r="F296" s="57"/>
      <c r="G296" s="59"/>
      <c r="H296" s="57"/>
      <c r="I296" s="57"/>
      <c r="J296" s="63"/>
      <c r="K296" s="63"/>
      <c r="L296" s="58"/>
      <c r="M296" s="59"/>
      <c r="N296" s="57"/>
      <c r="O296" s="99"/>
    </row>
    <row r="297" spans="1:15" ht="22.15" customHeight="1" x14ac:dyDescent="0.2">
      <c r="A297" s="53" t="str">
        <f>IF(B297&lt;&gt;"",293,"")</f>
        <v/>
      </c>
      <c r="B297" s="53"/>
      <c r="C297" s="55"/>
      <c r="D297" s="53"/>
      <c r="E297" s="53"/>
      <c r="F297" s="53"/>
      <c r="G297" s="55"/>
      <c r="H297" s="53"/>
      <c r="I297" s="53"/>
      <c r="J297" s="62"/>
      <c r="K297" s="62"/>
      <c r="L297" s="54"/>
      <c r="M297" s="55"/>
      <c r="N297" s="53"/>
      <c r="O297" s="98"/>
    </row>
    <row r="298" spans="1:15" ht="22.15" customHeight="1" x14ac:dyDescent="0.2">
      <c r="A298" s="57" t="str">
        <f>IF(B298&lt;&gt;"",294,"")</f>
        <v/>
      </c>
      <c r="B298" s="57"/>
      <c r="C298" s="59"/>
      <c r="D298" s="57"/>
      <c r="E298" s="57"/>
      <c r="F298" s="57"/>
      <c r="G298" s="59"/>
      <c r="H298" s="57"/>
      <c r="I298" s="57"/>
      <c r="J298" s="63"/>
      <c r="K298" s="63"/>
      <c r="L298" s="58"/>
      <c r="M298" s="59"/>
      <c r="N298" s="57"/>
      <c r="O298" s="99"/>
    </row>
    <row r="299" spans="1:15" ht="22.15" customHeight="1" x14ac:dyDescent="0.2">
      <c r="A299" s="53" t="str">
        <f>IF(B299&lt;&gt;"",295,"")</f>
        <v/>
      </c>
      <c r="B299" s="53"/>
      <c r="C299" s="55"/>
      <c r="D299" s="53"/>
      <c r="E299" s="53"/>
      <c r="F299" s="53"/>
      <c r="G299" s="55"/>
      <c r="H299" s="53"/>
      <c r="I299" s="53"/>
      <c r="J299" s="62"/>
      <c r="K299" s="62"/>
      <c r="L299" s="54"/>
      <c r="M299" s="55"/>
      <c r="N299" s="53"/>
      <c r="O299" s="98"/>
    </row>
    <row r="300" spans="1:15" ht="22.15" customHeight="1" x14ac:dyDescent="0.2">
      <c r="A300" s="57" t="str">
        <f>IF(B300&lt;&gt;"",296,"")</f>
        <v/>
      </c>
      <c r="B300" s="57"/>
      <c r="C300" s="59"/>
      <c r="D300" s="57"/>
      <c r="E300" s="57"/>
      <c r="F300" s="57"/>
      <c r="G300" s="59"/>
      <c r="H300" s="57"/>
      <c r="I300" s="57"/>
      <c r="J300" s="63"/>
      <c r="K300" s="63"/>
      <c r="L300" s="58"/>
      <c r="M300" s="59"/>
      <c r="N300" s="57"/>
      <c r="O300" s="99"/>
    </row>
    <row r="301" spans="1:15" ht="22.15" customHeight="1" x14ac:dyDescent="0.2">
      <c r="A301" s="53" t="str">
        <f>IF(B301&lt;&gt;"",297,"")</f>
        <v/>
      </c>
      <c r="B301" s="53"/>
      <c r="C301" s="55"/>
      <c r="D301" s="53"/>
      <c r="E301" s="53"/>
      <c r="F301" s="53"/>
      <c r="G301" s="55"/>
      <c r="H301" s="53"/>
      <c r="I301" s="53"/>
      <c r="J301" s="62"/>
      <c r="K301" s="62"/>
      <c r="L301" s="54"/>
      <c r="M301" s="55"/>
      <c r="N301" s="53"/>
      <c r="O301" s="98"/>
    </row>
    <row r="302" spans="1:15" ht="22.15" customHeight="1" x14ac:dyDescent="0.2">
      <c r="A302" s="57" t="str">
        <f>IF(B302&lt;&gt;"",298,"")</f>
        <v/>
      </c>
      <c r="B302" s="57"/>
      <c r="C302" s="59"/>
      <c r="D302" s="57"/>
      <c r="E302" s="57"/>
      <c r="F302" s="57"/>
      <c r="G302" s="59"/>
      <c r="H302" s="57"/>
      <c r="I302" s="57"/>
      <c r="J302" s="63"/>
      <c r="K302" s="63"/>
      <c r="L302" s="58"/>
      <c r="M302" s="59"/>
      <c r="N302" s="57"/>
      <c r="O302" s="99"/>
    </row>
    <row r="303" spans="1:15" ht="22.15" customHeight="1" x14ac:dyDescent="0.2">
      <c r="A303" s="53" t="str">
        <f>IF(B303&lt;&gt;"",299,"")</f>
        <v/>
      </c>
      <c r="B303" s="53"/>
      <c r="C303" s="55"/>
      <c r="D303" s="53"/>
      <c r="E303" s="53"/>
      <c r="F303" s="53"/>
      <c r="G303" s="55"/>
      <c r="H303" s="53"/>
      <c r="I303" s="53"/>
      <c r="J303" s="62"/>
      <c r="K303" s="62"/>
      <c r="L303" s="54"/>
      <c r="M303" s="55"/>
      <c r="N303" s="53"/>
      <c r="O303" s="98"/>
    </row>
    <row r="304" spans="1:15" ht="22.15" customHeight="1" x14ac:dyDescent="0.2">
      <c r="A304" s="57" t="str">
        <f>IF(B304&lt;&gt;"",300,"")</f>
        <v/>
      </c>
      <c r="B304" s="57"/>
      <c r="C304" s="59"/>
      <c r="D304" s="57"/>
      <c r="E304" s="57"/>
      <c r="F304" s="57"/>
      <c r="G304" s="59"/>
      <c r="H304" s="57"/>
      <c r="I304" s="57"/>
      <c r="J304" s="63"/>
      <c r="K304" s="63"/>
      <c r="L304" s="58"/>
      <c r="M304" s="59"/>
      <c r="N304" s="57"/>
      <c r="O304" s="99"/>
    </row>
  </sheetData>
  <mergeCells count="2">
    <mergeCell ref="A1:Z1"/>
    <mergeCell ref="A2:Z2"/>
  </mergeCells>
  <dataValidations count="4">
    <dataValidation type="list" allowBlank="1" sqref="F5:F300" xr:uid="{00000000-0002-0000-0700-000000000000}">
      <formula1>"فرز السير,مقابلة أولى,مقابلة ثانية,عرض وظيفي,قيد التعيين,تم التعيين,مرفوض"</formula1>
    </dataValidation>
    <dataValidation type="list" allowBlank="1" sqref="H5:H300" xr:uid="{00000000-0002-0000-0700-000001000000}">
      <formula1>"LinkedIn,بيت.كم,جدارة,توصية داخلية,موقع الشركة,وكالة توظيف,أخرى"</formula1>
    </dataValidation>
    <dataValidation type="list" allowBlank="1" sqref="J5:J300" xr:uid="{00000000-0002-0000-0700-000002000000}">
      <formula1>"ناجح,فاشل,معلق,لم يحضر"</formula1>
    </dataValidation>
    <dataValidation type="list" allowBlank="1" sqref="N5:N300" xr:uid="{00000000-0002-0000-0700-000003000000}">
      <formula1>"نشط,مغلق,معلق"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E293B"/>
  </sheetPr>
  <dimension ref="A1:Z23"/>
  <sheetViews>
    <sheetView showGridLines="0" rightToLeft="1" zoomScaleNormal="100" workbookViewId="0">
      <selection sqref="A1:Z1"/>
    </sheetView>
  </sheetViews>
  <sheetFormatPr defaultRowHeight="14.25" x14ac:dyDescent="0.2"/>
  <cols>
    <col min="1" max="1" width="22.625" customWidth="1"/>
    <col min="2" max="2" width="4.625" customWidth="1"/>
    <col min="3" max="3" width="14.625" customWidth="1"/>
    <col min="4" max="4" width="4.625" customWidth="1"/>
    <col min="5" max="5" width="18.625" customWidth="1"/>
    <col min="6" max="6" width="4.625" customWidth="1"/>
    <col min="7" max="7" width="14.625" customWidth="1"/>
    <col min="8" max="8" width="4.625" customWidth="1"/>
  </cols>
  <sheetData>
    <row r="1" spans="1:26" ht="38.1" customHeight="1" x14ac:dyDescent="0.2">
      <c r="A1" s="220" t="s">
        <v>142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 spans="1:26" ht="20.100000000000001" customHeight="1" x14ac:dyDescent="0.2">
      <c r="A2" s="192" t="s">
        <v>143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spans="1:26" ht="15" customHeight="1" x14ac:dyDescent="0.2"/>
    <row r="4" spans="1:26" ht="30" customHeight="1" x14ac:dyDescent="0.2">
      <c r="A4" s="219" t="s">
        <v>144</v>
      </c>
      <c r="B4" s="219"/>
      <c r="C4" s="219"/>
      <c r="D4" s="219"/>
      <c r="E4" s="219"/>
      <c r="F4" s="226"/>
      <c r="G4" s="226"/>
      <c r="H4" s="226"/>
    </row>
    <row r="5" spans="1:26" ht="36" customHeight="1" x14ac:dyDescent="0.2">
      <c r="A5" s="200" t="s">
        <v>145</v>
      </c>
      <c r="B5" s="201"/>
      <c r="C5" s="201"/>
      <c r="D5" s="201"/>
      <c r="E5" s="213">
        <f>COUNTA('👥 بيانات الموظفين'!B5:B200)</f>
        <v>30</v>
      </c>
      <c r="F5" s="207"/>
      <c r="G5" s="207"/>
      <c r="H5" s="208"/>
    </row>
    <row r="6" spans="1:26" ht="36" customHeight="1" x14ac:dyDescent="0.2">
      <c r="A6" s="225" t="s">
        <v>146</v>
      </c>
      <c r="B6" s="201"/>
      <c r="C6" s="201"/>
      <c r="D6" s="201"/>
      <c r="E6" s="206">
        <f>COUNTIF('👥 بيانات الموظفين'!G5:G200,"نشط")</f>
        <v>28</v>
      </c>
      <c r="F6" s="207"/>
      <c r="G6" s="207"/>
      <c r="H6" s="208"/>
    </row>
    <row r="7" spans="1:26" ht="36" customHeight="1" x14ac:dyDescent="0.2">
      <c r="A7" s="218" t="s">
        <v>147</v>
      </c>
      <c r="B7" s="201"/>
      <c r="C7" s="201"/>
      <c r="D7" s="201"/>
      <c r="E7" s="213">
        <f>SUM('💰 الرواتب'!O5:O204)</f>
        <v>597533.54166666663</v>
      </c>
      <c r="F7" s="207"/>
      <c r="G7" s="207"/>
      <c r="H7" s="208"/>
    </row>
    <row r="8" spans="1:26" ht="36" customHeight="1" x14ac:dyDescent="0.2">
      <c r="A8" s="204" t="s">
        <v>13</v>
      </c>
      <c r="B8" s="201"/>
      <c r="C8" s="201"/>
      <c r="D8" s="201"/>
      <c r="E8" s="206">
        <f>IFERROR(AVERAGE('👥 بيانات الموظفين'!H5:H200),0)</f>
        <v>13966.666666666666</v>
      </c>
      <c r="F8" s="207"/>
      <c r="G8" s="207"/>
      <c r="H8" s="208"/>
    </row>
    <row r="9" spans="1:26" ht="36" customHeight="1" x14ac:dyDescent="0.2">
      <c r="A9" s="216" t="s">
        <v>148</v>
      </c>
      <c r="B9" s="201"/>
      <c r="C9" s="201"/>
      <c r="D9" s="201"/>
      <c r="E9" s="213">
        <f>IFERROR(COUNTIF('📅 الحضور'!E5:E500,"حاضر")/COUNTA('📅 الحضور'!B5:B500),0)</f>
        <v>0.84309133489461363</v>
      </c>
      <c r="F9" s="207"/>
      <c r="G9" s="207"/>
      <c r="H9" s="208"/>
    </row>
    <row r="10" spans="1:26" ht="36" customHeight="1" x14ac:dyDescent="0.2">
      <c r="A10" s="214" t="s">
        <v>149</v>
      </c>
      <c r="B10" s="201"/>
      <c r="C10" s="201"/>
      <c r="D10" s="201"/>
      <c r="E10" s="206">
        <f>COUNTIF('🌴 الإجازات'!F5:F500,"قيد المراجعة")</f>
        <v>0</v>
      </c>
      <c r="F10" s="207"/>
      <c r="G10" s="207"/>
      <c r="H10" s="208"/>
    </row>
    <row r="11" spans="1:26" ht="36" customHeight="1" x14ac:dyDescent="0.2">
      <c r="A11" s="222" t="s">
        <v>150</v>
      </c>
      <c r="B11" s="201"/>
      <c r="C11" s="201"/>
      <c r="D11" s="201"/>
      <c r="E11" s="213">
        <f>COUNTIF('🎯 التوظيف'!N5:N300,"نشط")</f>
        <v>0</v>
      </c>
      <c r="F11" s="207"/>
      <c r="G11" s="207"/>
      <c r="H11" s="208"/>
    </row>
    <row r="12" spans="1:26" ht="36" customHeight="1" x14ac:dyDescent="0.2">
      <c r="A12" s="225" t="s">
        <v>151</v>
      </c>
      <c r="B12" s="201"/>
      <c r="C12" s="201"/>
      <c r="D12" s="201"/>
      <c r="E12" s="206">
        <f>IFERROR(AVERAGE('📊 KPI الأداء'!K5:K300),0)</f>
        <v>85.533333333333331</v>
      </c>
      <c r="F12" s="207"/>
      <c r="G12" s="207"/>
      <c r="H12" s="208"/>
    </row>
    <row r="14" spans="1:26" ht="30" customHeight="1" x14ac:dyDescent="0.2">
      <c r="A14" s="219" t="s">
        <v>152</v>
      </c>
      <c r="B14" s="219"/>
      <c r="C14" s="219"/>
      <c r="D14" s="219"/>
      <c r="E14" s="219"/>
      <c r="F14" s="219"/>
      <c r="G14" s="219"/>
      <c r="H14" s="219"/>
    </row>
    <row r="15" spans="1:26" ht="28.15" customHeight="1" x14ac:dyDescent="0.2">
      <c r="A15" s="205" t="s">
        <v>10</v>
      </c>
      <c r="B15" s="205"/>
      <c r="C15" s="205" t="s">
        <v>11</v>
      </c>
      <c r="D15" s="205"/>
      <c r="E15" s="205" t="s">
        <v>12</v>
      </c>
      <c r="F15" s="205"/>
      <c r="G15" s="205" t="s">
        <v>153</v>
      </c>
      <c r="H15" s="103"/>
    </row>
    <row r="16" spans="1:26" ht="24" customHeight="1" x14ac:dyDescent="0.2">
      <c r="A16" s="217" t="s">
        <v>16</v>
      </c>
      <c r="B16" s="210"/>
      <c r="C16" s="215">
        <f>COUNTIF('👥 بيانات الموظفين'!E5:E200,"الموارد البشرية")</f>
        <v>2</v>
      </c>
      <c r="D16" s="210"/>
      <c r="E16" s="209">
        <f>SUMIF('👥 بيانات الموظفين'!E5:E200,"الموارد البشرية",'👥 بيانات الموظفين'!K5:K200)</f>
        <v>32425</v>
      </c>
      <c r="F16" s="210"/>
      <c r="G16" s="221">
        <f>IFERROR(C16/COUNTA('👥 بيانات الموظفين'!B5:B200),0)</f>
        <v>6.6666666666666666E-2</v>
      </c>
      <c r="H16" s="203"/>
    </row>
    <row r="17" spans="1:8" ht="24" customHeight="1" x14ac:dyDescent="0.2">
      <c r="A17" s="223" t="s">
        <v>17</v>
      </c>
      <c r="B17" s="212"/>
      <c r="C17" s="224">
        <f>COUNTIF('👥 بيانات الموظفين'!E5:E200,"المحاسبة")</f>
        <v>3</v>
      </c>
      <c r="D17" s="212"/>
      <c r="E17" s="211">
        <f>SUMIF('👥 بيانات الموظفين'!E5:E200,"المحاسبة",'👥 بيانات الموظفين'!K5:K200)</f>
        <v>45675</v>
      </c>
      <c r="F17" s="212"/>
      <c r="G17" s="202">
        <f>IFERROR(C17/COUNTA('👥 بيانات الموظفين'!B5:B200),0)</f>
        <v>0.1</v>
      </c>
      <c r="H17" s="203"/>
    </row>
    <row r="18" spans="1:8" ht="24" customHeight="1" x14ac:dyDescent="0.2">
      <c r="A18" s="217" t="s">
        <v>18</v>
      </c>
      <c r="B18" s="210"/>
      <c r="C18" s="215">
        <f>COUNTIF('👥 بيانات الموظفين'!E5:E200,"المبيعات")</f>
        <v>5</v>
      </c>
      <c r="D18" s="210"/>
      <c r="E18" s="209">
        <f>SUMIF('👥 بيانات الموظفين'!E5:E200,"المبيعات",'👥 بيانات الموظفين'!K5:K200)</f>
        <v>69750</v>
      </c>
      <c r="F18" s="210"/>
      <c r="G18" s="221">
        <f>IFERROR(C18/COUNTA('👥 بيانات الموظفين'!B5:B200),0)</f>
        <v>0.16666666666666666</v>
      </c>
      <c r="H18" s="203"/>
    </row>
    <row r="19" spans="1:8" ht="24" customHeight="1" x14ac:dyDescent="0.2">
      <c r="A19" s="223" t="s">
        <v>19</v>
      </c>
      <c r="B19" s="212"/>
      <c r="C19" s="224">
        <f>COUNTIF('👥 بيانات الموظفين'!E5:E200,"خدمة العملاء")</f>
        <v>4</v>
      </c>
      <c r="D19" s="212"/>
      <c r="E19" s="211">
        <f>SUMIF('👥 بيانات الموظفين'!E5:E200,"خدمة العملاء",'👥 بيانات الموظفين'!K5:K200)</f>
        <v>38025</v>
      </c>
      <c r="F19" s="212"/>
      <c r="G19" s="202">
        <f>IFERROR(C19/COUNTA('👥 بيانات الموظفين'!B5:B200),0)</f>
        <v>0.13333333333333333</v>
      </c>
      <c r="H19" s="203"/>
    </row>
    <row r="20" spans="1:8" ht="24" customHeight="1" x14ac:dyDescent="0.2">
      <c r="A20" s="217" t="s">
        <v>20</v>
      </c>
      <c r="B20" s="210"/>
      <c r="C20" s="215">
        <f>COUNTIF('👥 بيانات الموظفين'!E5:E200,"تقنية المعلومات")</f>
        <v>8</v>
      </c>
      <c r="D20" s="210"/>
      <c r="E20" s="209">
        <f>SUMIF('👥 بيانات الموظفين'!E5:E200,"تقنية المعلومات",'👥 بيانات الموظفين'!K5:K200)</f>
        <v>149025</v>
      </c>
      <c r="F20" s="210"/>
      <c r="G20" s="221">
        <f>IFERROR(C20/COUNTA('👥 بيانات الموظفين'!B5:B200),0)</f>
        <v>0.26666666666666666</v>
      </c>
      <c r="H20" s="203"/>
    </row>
    <row r="21" spans="1:8" ht="24" customHeight="1" x14ac:dyDescent="0.2">
      <c r="A21" s="223" t="s">
        <v>21</v>
      </c>
      <c r="B21" s="212"/>
      <c r="C21" s="224">
        <f>COUNTIF('👥 بيانات الموظفين'!E5:E200,"العمليات")</f>
        <v>2</v>
      </c>
      <c r="D21" s="212"/>
      <c r="E21" s="211">
        <f>SUMIF('👥 بيانات الموظفين'!E5:E200,"العمليات",'👥 بيانات الموظفين'!K5:K200)</f>
        <v>31075</v>
      </c>
      <c r="F21" s="212"/>
      <c r="G21" s="202">
        <f>IFERROR(C21/COUNTA('👥 بيانات الموظفين'!B5:B200),0)</f>
        <v>6.6666666666666666E-2</v>
      </c>
      <c r="H21" s="203"/>
    </row>
    <row r="22" spans="1:8" ht="24" customHeight="1" x14ac:dyDescent="0.2">
      <c r="A22" s="217" t="s">
        <v>22</v>
      </c>
      <c r="B22" s="210"/>
      <c r="C22" s="215">
        <f>COUNTIF('👥 بيانات الموظفين'!E5:E200,"التسويق")</f>
        <v>3</v>
      </c>
      <c r="D22" s="210"/>
      <c r="E22" s="209">
        <f>SUMIF('👥 بيانات الموظفين'!E5:E200,"التسويق",'👥 بيانات الموظفين'!K5:K200)</f>
        <v>48375</v>
      </c>
      <c r="F22" s="210"/>
      <c r="G22" s="221">
        <f>IFERROR(C22/COUNTA('👥 بيانات الموظفين'!B5:B200),0)</f>
        <v>0.1</v>
      </c>
      <c r="H22" s="203"/>
    </row>
    <row r="23" spans="1:8" ht="24" customHeight="1" x14ac:dyDescent="0.2">
      <c r="A23" s="223" t="s">
        <v>23</v>
      </c>
      <c r="B23" s="212"/>
      <c r="C23" s="224">
        <f>COUNTIF('👥 بيانات الموظفين'!E5:E200,"الإدارة")</f>
        <v>3</v>
      </c>
      <c r="D23" s="212"/>
      <c r="E23" s="211">
        <f>SUMIF('👥 بيانات الموظفين'!E5:E200,"الإدارة",'👥 بيانات الموظفين'!K5:K200)</f>
        <v>140050</v>
      </c>
      <c r="F23" s="212"/>
      <c r="G23" s="202">
        <f>IFERROR(C23/COUNTA('👥 بيانات الموظفين'!B5:B200),0)</f>
        <v>0.1</v>
      </c>
      <c r="H23" s="203"/>
    </row>
  </sheetData>
  <mergeCells count="56">
    <mergeCell ref="A2:Z2"/>
    <mergeCell ref="A17:B17"/>
    <mergeCell ref="A23:B23"/>
    <mergeCell ref="C17:D17"/>
    <mergeCell ref="E10:H10"/>
    <mergeCell ref="C23:D23"/>
    <mergeCell ref="A22:B22"/>
    <mergeCell ref="A4:H4"/>
    <mergeCell ref="A20:B20"/>
    <mergeCell ref="G20:H20"/>
    <mergeCell ref="E9:H9"/>
    <mergeCell ref="E16:F16"/>
    <mergeCell ref="G16:H16"/>
    <mergeCell ref="A12:D12"/>
    <mergeCell ref="A19:B19"/>
    <mergeCell ref="C19:D19"/>
    <mergeCell ref="A1:Z1"/>
    <mergeCell ref="G22:H22"/>
    <mergeCell ref="E12:H12"/>
    <mergeCell ref="E19:F19"/>
    <mergeCell ref="G19:H19"/>
    <mergeCell ref="C22:D22"/>
    <mergeCell ref="A11:D11"/>
    <mergeCell ref="A18:B18"/>
    <mergeCell ref="G18:H18"/>
    <mergeCell ref="E5:H5"/>
    <mergeCell ref="A21:B21"/>
    <mergeCell ref="C21:D21"/>
    <mergeCell ref="A6:D6"/>
    <mergeCell ref="E8:H8"/>
    <mergeCell ref="E15:F15"/>
    <mergeCell ref="G15:H15"/>
    <mergeCell ref="E23:F23"/>
    <mergeCell ref="E7:H7"/>
    <mergeCell ref="G23:H23"/>
    <mergeCell ref="A10:D10"/>
    <mergeCell ref="E17:F17"/>
    <mergeCell ref="G17:H17"/>
    <mergeCell ref="C20:D20"/>
    <mergeCell ref="A9:D9"/>
    <mergeCell ref="A16:B16"/>
    <mergeCell ref="E20:F20"/>
    <mergeCell ref="C16:D16"/>
    <mergeCell ref="A7:D7"/>
    <mergeCell ref="A14:H14"/>
    <mergeCell ref="E22:F22"/>
    <mergeCell ref="C18:D18"/>
    <mergeCell ref="E11:H11"/>
    <mergeCell ref="A5:D5"/>
    <mergeCell ref="G21:H21"/>
    <mergeCell ref="A8:D8"/>
    <mergeCell ref="A15:B15"/>
    <mergeCell ref="C15:D15"/>
    <mergeCell ref="E6:H6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10</vt:i4>
      </vt:variant>
      <vt:variant>
        <vt:lpstr>النطاقات المسماة</vt:lpstr>
      </vt:variant>
      <vt:variant>
        <vt:i4>21</vt:i4>
      </vt:variant>
    </vt:vector>
  </HeadingPairs>
  <TitlesOfParts>
    <vt:vector size="31" baseType="lpstr">
      <vt:lpstr>🏠 لوحة التحكم</vt:lpstr>
      <vt:lpstr>⚙️ الإعدادات</vt:lpstr>
      <vt:lpstr>👥 بيانات الموظفين</vt:lpstr>
      <vt:lpstr>📅 الحضور</vt:lpstr>
      <vt:lpstr>💰 الرواتب</vt:lpstr>
      <vt:lpstr>🌴 الإجازات</vt:lpstr>
      <vt:lpstr>➕ الخصومات والمكافآت</vt:lpstr>
      <vt:lpstr>📊 KPI الأداء</vt:lpstr>
      <vt:lpstr>🎯 التوظيف</vt:lpstr>
      <vt:lpstr>📈 التقارير</vt:lpstr>
      <vt:lpstr>Currency</vt:lpstr>
      <vt:lpstr>ExpiryWarnDays</vt:lpstr>
      <vt:lpstr>GosiCeiling</vt:lpstr>
      <vt:lpstr>GosiCoRate</vt:lpstr>
      <vt:lpstr>GosiEmpRate</vt:lpstr>
      <vt:lpstr>LeaveDaysJunior</vt:lpstr>
      <vt:lpstr>LeaveDaysSenior</vt:lpstr>
      <vt:lpstr>ListAttState</vt:lpstr>
      <vt:lpstr>ListContractType</vt:lpstr>
      <vt:lpstr>ListDepts</vt:lpstr>
      <vt:lpstr>ListLeaveStatus</vt:lpstr>
      <vt:lpstr>ListLeaveType</vt:lpstr>
      <vt:lpstr>ListStatus</vt:lpstr>
      <vt:lpstr>OTRateHoliday</vt:lpstr>
      <vt:lpstr>OTRateRegular</vt:lpstr>
      <vt:lpstr>PayMonth</vt:lpstr>
      <vt:lpstr>PayPeriod</vt:lpstr>
      <vt:lpstr>PayYear</vt:lpstr>
      <vt:lpstr>WorkDaysMonth</vt:lpstr>
      <vt:lpstr>WorkHoursDay</vt:lpstr>
      <vt:lpstr>WorkHoursMonth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samy bobol</cp:lastModifiedBy>
  <dcterms:created xsi:type="dcterms:W3CDTF">2026-05-01T11:35:52Z</dcterms:created>
  <dcterms:modified xsi:type="dcterms:W3CDTF">2026-05-04T14:48:05Z</dcterms:modified>
</cp:coreProperties>
</file>